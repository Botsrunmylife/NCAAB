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032\Downloads\NCAAB\"/>
    </mc:Choice>
  </mc:AlternateContent>
  <xr:revisionPtr revIDLastSave="0" documentId="13_ncr:1_{24D8F33C-062F-44EC-AF2C-830F7EAE9B65}" xr6:coauthVersionLast="47" xr6:coauthVersionMax="47" xr10:uidLastSave="{00000000-0000-0000-0000-000000000000}"/>
  <bookViews>
    <workbookView xWindow="-120" yWindow="-120" windowWidth="38640" windowHeight="21120" tabRatio="821" activeTab="1" xr2:uid="{00000000-000D-0000-FFFF-FFFF00000000}"/>
  </bookViews>
  <sheets>
    <sheet name="📋 Bracket Input" sheetId="1" r:id="rId1"/>
    <sheet name="⚙️ Sim Engine" sheetId="2" r:id="rId2"/>
    <sheet name="Enhanced Matchup Model" sheetId="3" r:id="rId3"/>
    <sheet name="📊 Team Lookup" sheetId="4" r:id="rId4"/>
    <sheet name="🏆 Results Dashboard" sheetId="5" state="hidden" r:id="rId5"/>
    <sheet name="Quick Start Guide" sheetId="6" state="hidden" r:id="rId6"/>
    <sheet name="Model Documentation" sheetId="7" state="hidden" r:id="rId7"/>
    <sheet name="Team Stats" sheetId="8" r:id="rId8"/>
    <sheet name="Opponents stats vs" sheetId="9" r:id="rId9"/>
    <sheet name="SOS" sheetId="10" r:id="rId10"/>
    <sheet name="SOR bracket" sheetId="11" r:id="rId11"/>
    <sheet name="Four Factors" sheetId="12" r:id="rId12"/>
    <sheet name="Backtest Results" sheetId="13" state="hidden" r:id="rId13"/>
    <sheet name="🔍 Seed Comparison" sheetId="14" r:id="rId14"/>
  </sheets>
  <definedNames>
    <definedName name="_xlnm._FilterDatabase" localSheetId="8" hidden="1">'Opponents stats vs'!$A$1:$U$351</definedName>
    <definedName name="_xlnm._FilterDatabase" localSheetId="9" hidden="1">SOS!$A$1:$J$366</definedName>
    <definedName name="_xlnm._FilterDatabase" localSheetId="7" hidden="1">'Team Stats'!$A$1:$U$301</definedName>
    <definedName name="_xlnm._FilterDatabase" localSheetId="13" hidden="1">'🔍 Seed Comparison'!$A$4:$K$72</definedName>
    <definedName name="TeamList">'📊 Team Lookup'!$A$3:$A$367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2" i="14" l="1"/>
  <c r="C139" i="14"/>
  <c r="B136" i="14"/>
  <c r="C135" i="14"/>
  <c r="C133" i="14"/>
  <c r="C131" i="14"/>
  <c r="C130" i="14"/>
  <c r="C129" i="14"/>
  <c r="C126" i="14"/>
  <c r="C123" i="14"/>
  <c r="C119" i="14"/>
  <c r="C117" i="14"/>
  <c r="C115" i="14"/>
  <c r="C113" i="14"/>
  <c r="B111" i="14"/>
  <c r="C110" i="14"/>
  <c r="C103" i="14"/>
  <c r="C101" i="14"/>
  <c r="C99" i="14"/>
  <c r="C97" i="14"/>
  <c r="B95" i="14"/>
  <c r="C94" i="14"/>
  <c r="B94" i="14"/>
  <c r="C88" i="14"/>
  <c r="C87" i="14"/>
  <c r="C85" i="14"/>
  <c r="C83" i="14"/>
  <c r="C82" i="14"/>
  <c r="C81" i="14"/>
  <c r="C77" i="14"/>
  <c r="C72" i="14"/>
  <c r="B72" i="14"/>
  <c r="T69" i="14"/>
  <c r="C144" i="14" s="1"/>
  <c r="P69" i="14"/>
  <c r="O69" i="14"/>
  <c r="N69" i="14"/>
  <c r="A72" i="14" s="1"/>
  <c r="C69" i="14"/>
  <c r="T68" i="14"/>
  <c r="C143" i="14" s="1"/>
  <c r="P68" i="14"/>
  <c r="C71" i="14" s="1"/>
  <c r="O68" i="14"/>
  <c r="B71" i="14" s="1"/>
  <c r="N68" i="14"/>
  <c r="A71" i="14" s="1"/>
  <c r="B68" i="14"/>
  <c r="A68" i="14"/>
  <c r="T67" i="14"/>
  <c r="P67" i="14"/>
  <c r="C70" i="14" s="1"/>
  <c r="O67" i="14"/>
  <c r="B70" i="14" s="1"/>
  <c r="N67" i="14"/>
  <c r="A70" i="14" s="1"/>
  <c r="C67" i="14"/>
  <c r="B67" i="14"/>
  <c r="T66" i="14"/>
  <c r="C141" i="14" s="1"/>
  <c r="P66" i="14"/>
  <c r="O66" i="14"/>
  <c r="B69" i="14" s="1"/>
  <c r="N66" i="14"/>
  <c r="A69" i="14" s="1"/>
  <c r="C66" i="14"/>
  <c r="A66" i="14"/>
  <c r="T65" i="14"/>
  <c r="C140" i="14" s="1"/>
  <c r="P65" i="14"/>
  <c r="C68" i="14" s="1"/>
  <c r="O65" i="14"/>
  <c r="N65" i="14"/>
  <c r="B65" i="14"/>
  <c r="A65" i="14"/>
  <c r="T64" i="14"/>
  <c r="P64" i="14"/>
  <c r="O64" i="14"/>
  <c r="N64" i="14"/>
  <c r="A67" i="14" s="1"/>
  <c r="C64" i="14"/>
  <c r="B64" i="14"/>
  <c r="A64" i="14"/>
  <c r="T63" i="14"/>
  <c r="C138" i="14" s="1"/>
  <c r="P63" i="14"/>
  <c r="O63" i="14"/>
  <c r="B66" i="14" s="1"/>
  <c r="N63" i="14"/>
  <c r="C63" i="14"/>
  <c r="B63" i="14"/>
  <c r="A63" i="14"/>
  <c r="T62" i="14"/>
  <c r="C137" i="14" s="1"/>
  <c r="S62" i="14"/>
  <c r="B137" i="14" s="1"/>
  <c r="P62" i="14"/>
  <c r="C65" i="14" s="1"/>
  <c r="O62" i="14"/>
  <c r="N62" i="14"/>
  <c r="C62" i="14"/>
  <c r="A62" i="14"/>
  <c r="T61" i="14"/>
  <c r="C136" i="14" s="1"/>
  <c r="S61" i="14"/>
  <c r="P61" i="14"/>
  <c r="O61" i="14"/>
  <c r="N61" i="14"/>
  <c r="C61" i="14"/>
  <c r="B61" i="14"/>
  <c r="A61" i="14"/>
  <c r="T60" i="14"/>
  <c r="P60" i="14"/>
  <c r="O60" i="14"/>
  <c r="N60" i="14"/>
  <c r="C60" i="14"/>
  <c r="T59" i="14"/>
  <c r="C134" i="14" s="1"/>
  <c r="P59" i="14"/>
  <c r="O59" i="14"/>
  <c r="B62" i="14" s="1"/>
  <c r="N59" i="14"/>
  <c r="C59" i="14"/>
  <c r="A59" i="14"/>
  <c r="T58" i="14"/>
  <c r="P58" i="14"/>
  <c r="O58" i="14"/>
  <c r="N58" i="14"/>
  <c r="B58" i="14"/>
  <c r="T57" i="14"/>
  <c r="C132" i="14" s="1"/>
  <c r="P57" i="14"/>
  <c r="O57" i="14"/>
  <c r="B60" i="14" s="1"/>
  <c r="N57" i="14"/>
  <c r="A60" i="14" s="1"/>
  <c r="C57" i="14"/>
  <c r="T56" i="14"/>
  <c r="P56" i="14"/>
  <c r="O56" i="14"/>
  <c r="B59" i="14" s="1"/>
  <c r="N56" i="14"/>
  <c r="T55" i="14"/>
  <c r="P55" i="14"/>
  <c r="C58" i="14" s="1"/>
  <c r="O55" i="14"/>
  <c r="N55" i="14"/>
  <c r="A58" i="14" s="1"/>
  <c r="A55" i="14"/>
  <c r="T54" i="14"/>
  <c r="P54" i="14"/>
  <c r="O54" i="14"/>
  <c r="B57" i="14" s="1"/>
  <c r="N54" i="14"/>
  <c r="A57" i="14" s="1"/>
  <c r="B54" i="14"/>
  <c r="T53" i="14"/>
  <c r="C128" i="14" s="1"/>
  <c r="P53" i="14"/>
  <c r="C56" i="14" s="1"/>
  <c r="O53" i="14"/>
  <c r="B56" i="14" s="1"/>
  <c r="N53" i="14"/>
  <c r="A56" i="14" s="1"/>
  <c r="T52" i="14"/>
  <c r="C127" i="14" s="1"/>
  <c r="P52" i="14"/>
  <c r="C55" i="14" s="1"/>
  <c r="O52" i="14"/>
  <c r="B55" i="14" s="1"/>
  <c r="N52" i="14"/>
  <c r="B52" i="14"/>
  <c r="A52" i="14"/>
  <c r="T51" i="14"/>
  <c r="P51" i="14"/>
  <c r="C54" i="14" s="1"/>
  <c r="O51" i="14"/>
  <c r="N51" i="14"/>
  <c r="A54" i="14" s="1"/>
  <c r="B51" i="14"/>
  <c r="T50" i="14"/>
  <c r="C125" i="14" s="1"/>
  <c r="P50" i="14"/>
  <c r="C53" i="14" s="1"/>
  <c r="O50" i="14"/>
  <c r="B53" i="14" s="1"/>
  <c r="N50" i="14"/>
  <c r="A53" i="14" s="1"/>
  <c r="C50" i="14"/>
  <c r="A50" i="14"/>
  <c r="T49" i="14"/>
  <c r="C124" i="14" s="1"/>
  <c r="P49" i="14"/>
  <c r="C52" i="14" s="1"/>
  <c r="O49" i="14"/>
  <c r="N49" i="14"/>
  <c r="B49" i="14"/>
  <c r="A49" i="14"/>
  <c r="T48" i="14"/>
  <c r="P48" i="14"/>
  <c r="C51" i="14" s="1"/>
  <c r="O48" i="14"/>
  <c r="N48" i="14"/>
  <c r="A51" i="14" s="1"/>
  <c r="C48" i="14"/>
  <c r="B48" i="14"/>
  <c r="A48" i="14"/>
  <c r="T47" i="14"/>
  <c r="C122" i="14" s="1"/>
  <c r="P47" i="14"/>
  <c r="O47" i="14"/>
  <c r="B50" i="14" s="1"/>
  <c r="N47" i="14"/>
  <c r="C47" i="14"/>
  <c r="B47" i="14"/>
  <c r="T46" i="14"/>
  <c r="C121" i="14" s="1"/>
  <c r="P46" i="14"/>
  <c r="C49" i="14" s="1"/>
  <c r="O46" i="14"/>
  <c r="N46" i="14"/>
  <c r="C46" i="14"/>
  <c r="A46" i="14"/>
  <c r="T45" i="14"/>
  <c r="C120" i="14" s="1"/>
  <c r="P45" i="14"/>
  <c r="O45" i="14"/>
  <c r="N45" i="14"/>
  <c r="C45" i="14"/>
  <c r="B45" i="14"/>
  <c r="A45" i="14"/>
  <c r="T44" i="14"/>
  <c r="P44" i="14"/>
  <c r="O44" i="14"/>
  <c r="N44" i="14"/>
  <c r="A47" i="14" s="1"/>
  <c r="C44" i="14"/>
  <c r="T43" i="14"/>
  <c r="C118" i="14" s="1"/>
  <c r="P43" i="14"/>
  <c r="O43" i="14"/>
  <c r="B46" i="14" s="1"/>
  <c r="N43" i="14"/>
  <c r="C43" i="14"/>
  <c r="A43" i="14"/>
  <c r="T42" i="14"/>
  <c r="P42" i="14"/>
  <c r="O42" i="14"/>
  <c r="N42" i="14"/>
  <c r="B42" i="14"/>
  <c r="T41" i="14"/>
  <c r="C116" i="14" s="1"/>
  <c r="P41" i="14"/>
  <c r="O41" i="14"/>
  <c r="B44" i="14" s="1"/>
  <c r="N41" i="14"/>
  <c r="A44" i="14" s="1"/>
  <c r="C41" i="14"/>
  <c r="T40" i="14"/>
  <c r="P40" i="14"/>
  <c r="O40" i="14"/>
  <c r="B43" i="14" s="1"/>
  <c r="N40" i="14"/>
  <c r="T39" i="14"/>
  <c r="C114" i="14" s="1"/>
  <c r="P39" i="14"/>
  <c r="C42" i="14" s="1"/>
  <c r="O39" i="14"/>
  <c r="N39" i="14"/>
  <c r="A42" i="14" s="1"/>
  <c r="A39" i="14"/>
  <c r="T38" i="14"/>
  <c r="P38" i="14"/>
  <c r="O38" i="14"/>
  <c r="B41" i="14" s="1"/>
  <c r="N38" i="14"/>
  <c r="A41" i="14" s="1"/>
  <c r="T37" i="14"/>
  <c r="C112" i="14" s="1"/>
  <c r="S37" i="14"/>
  <c r="B112" i="14" s="1"/>
  <c r="P37" i="14"/>
  <c r="C40" i="14" s="1"/>
  <c r="O37" i="14"/>
  <c r="B40" i="14" s="1"/>
  <c r="N37" i="14"/>
  <c r="A40" i="14" s="1"/>
  <c r="C37" i="14"/>
  <c r="A37" i="14"/>
  <c r="T36" i="14"/>
  <c r="C111" i="14" s="1"/>
  <c r="S36" i="14"/>
  <c r="P36" i="14"/>
  <c r="C39" i="14" s="1"/>
  <c r="O36" i="14"/>
  <c r="B39" i="14" s="1"/>
  <c r="N36" i="14"/>
  <c r="A36" i="14"/>
  <c r="T35" i="14"/>
  <c r="P35" i="14"/>
  <c r="C38" i="14" s="1"/>
  <c r="O35" i="14"/>
  <c r="B38" i="14" s="1"/>
  <c r="N35" i="14"/>
  <c r="A38" i="14" s="1"/>
  <c r="B35" i="14"/>
  <c r="T34" i="14"/>
  <c r="C109" i="14" s="1"/>
  <c r="P34" i="14"/>
  <c r="O34" i="14"/>
  <c r="B37" i="14" s="1"/>
  <c r="N34" i="14"/>
  <c r="C34" i="14"/>
  <c r="A34" i="14"/>
  <c r="T33" i="14"/>
  <c r="C108" i="14" s="1"/>
  <c r="P33" i="14"/>
  <c r="C36" i="14" s="1"/>
  <c r="O33" i="14"/>
  <c r="B36" i="14" s="1"/>
  <c r="N33" i="14"/>
  <c r="B33" i="14"/>
  <c r="A33" i="14"/>
  <c r="T32" i="14"/>
  <c r="C107" i="14" s="1"/>
  <c r="P32" i="14"/>
  <c r="C35" i="14" s="1"/>
  <c r="O32" i="14"/>
  <c r="N32" i="14"/>
  <c r="A35" i="14" s="1"/>
  <c r="C32" i="14"/>
  <c r="B32" i="14"/>
  <c r="A32" i="14"/>
  <c r="T31" i="14"/>
  <c r="C106" i="14" s="1"/>
  <c r="P31" i="14"/>
  <c r="O31" i="14"/>
  <c r="B34" i="14" s="1"/>
  <c r="N31" i="14"/>
  <c r="C31" i="14"/>
  <c r="B31" i="14"/>
  <c r="T30" i="14"/>
  <c r="C105" i="14" s="1"/>
  <c r="P30" i="14"/>
  <c r="C33" i="14" s="1"/>
  <c r="O30" i="14"/>
  <c r="N30" i="14"/>
  <c r="C30" i="14"/>
  <c r="A30" i="14"/>
  <c r="T29" i="14"/>
  <c r="C104" i="14" s="1"/>
  <c r="P29" i="14"/>
  <c r="O29" i="14"/>
  <c r="N29" i="14"/>
  <c r="C29" i="14"/>
  <c r="B29" i="14"/>
  <c r="A29" i="14"/>
  <c r="T28" i="14"/>
  <c r="P28" i="14"/>
  <c r="O28" i="14"/>
  <c r="N28" i="14"/>
  <c r="A31" i="14" s="1"/>
  <c r="C28" i="14"/>
  <c r="B28" i="14"/>
  <c r="T27" i="14"/>
  <c r="C102" i="14" s="1"/>
  <c r="P27" i="14"/>
  <c r="O27" i="14"/>
  <c r="B30" i="14" s="1"/>
  <c r="N27" i="14"/>
  <c r="A27" i="14"/>
  <c r="T26" i="14"/>
  <c r="P26" i="14"/>
  <c r="O26" i="14"/>
  <c r="N26" i="14"/>
  <c r="B26" i="14"/>
  <c r="T25" i="14"/>
  <c r="C100" i="14" s="1"/>
  <c r="P25" i="14"/>
  <c r="O25" i="14"/>
  <c r="N25" i="14"/>
  <c r="A28" i="14" s="1"/>
  <c r="C25" i="14"/>
  <c r="T24" i="14"/>
  <c r="P24" i="14"/>
  <c r="C27" i="14" s="1"/>
  <c r="O24" i="14"/>
  <c r="B27" i="14" s="1"/>
  <c r="N24" i="14"/>
  <c r="B24" i="14"/>
  <c r="T23" i="14"/>
  <c r="C98" i="14" s="1"/>
  <c r="P23" i="14"/>
  <c r="C26" i="14" s="1"/>
  <c r="O23" i="14"/>
  <c r="N23" i="14"/>
  <c r="A26" i="14" s="1"/>
  <c r="A23" i="14"/>
  <c r="T22" i="14"/>
  <c r="P22" i="14"/>
  <c r="O22" i="14"/>
  <c r="B25" i="14" s="1"/>
  <c r="N22" i="14"/>
  <c r="A25" i="14" s="1"/>
  <c r="T21" i="14"/>
  <c r="C96" i="14" s="1"/>
  <c r="P21" i="14"/>
  <c r="C24" i="14" s="1"/>
  <c r="O21" i="14"/>
  <c r="N21" i="14"/>
  <c r="A24" i="14" s="1"/>
  <c r="C21" i="14"/>
  <c r="A21" i="14"/>
  <c r="T20" i="14"/>
  <c r="C95" i="14" s="1"/>
  <c r="S20" i="14"/>
  <c r="P20" i="14"/>
  <c r="C23" i="14" s="1"/>
  <c r="O20" i="14"/>
  <c r="B23" i="14" s="1"/>
  <c r="N20" i="14"/>
  <c r="A20" i="14"/>
  <c r="T19" i="14"/>
  <c r="S19" i="14"/>
  <c r="P19" i="14"/>
  <c r="C22" i="14" s="1"/>
  <c r="O19" i="14"/>
  <c r="B22" i="14" s="1"/>
  <c r="N19" i="14"/>
  <c r="A22" i="14" s="1"/>
  <c r="C19" i="14"/>
  <c r="B19" i="14"/>
  <c r="T18" i="14"/>
  <c r="C93" i="14" s="1"/>
  <c r="P18" i="14"/>
  <c r="O18" i="14"/>
  <c r="B21" i="14" s="1"/>
  <c r="N18" i="14"/>
  <c r="C18" i="14"/>
  <c r="A18" i="14"/>
  <c r="T17" i="14"/>
  <c r="C92" i="14" s="1"/>
  <c r="P17" i="14"/>
  <c r="C20" i="14" s="1"/>
  <c r="O17" i="14"/>
  <c r="B20" i="14" s="1"/>
  <c r="N17" i="14"/>
  <c r="B17" i="14"/>
  <c r="T16" i="14"/>
  <c r="C91" i="14" s="1"/>
  <c r="P16" i="14"/>
  <c r="O16" i="14"/>
  <c r="N16" i="14"/>
  <c r="A19" i="14" s="1"/>
  <c r="C16" i="14"/>
  <c r="A16" i="14"/>
  <c r="T15" i="14"/>
  <c r="C90" i="14" s="1"/>
  <c r="P15" i="14"/>
  <c r="O15" i="14"/>
  <c r="B18" i="14" s="1"/>
  <c r="N15" i="14"/>
  <c r="B15" i="14"/>
  <c r="T14" i="14"/>
  <c r="C89" i="14" s="1"/>
  <c r="P14" i="14"/>
  <c r="C17" i="14" s="1"/>
  <c r="O14" i="14"/>
  <c r="N14" i="14"/>
  <c r="A17" i="14" s="1"/>
  <c r="C14" i="14"/>
  <c r="A14" i="14"/>
  <c r="T13" i="14"/>
  <c r="P13" i="14"/>
  <c r="O13" i="14"/>
  <c r="B16" i="14" s="1"/>
  <c r="N13" i="14"/>
  <c r="B13" i="14"/>
  <c r="T12" i="14"/>
  <c r="P12" i="14"/>
  <c r="C15" i="14" s="1"/>
  <c r="O12" i="14"/>
  <c r="N12" i="14"/>
  <c r="A15" i="14" s="1"/>
  <c r="C12" i="14"/>
  <c r="B12" i="14"/>
  <c r="T11" i="14"/>
  <c r="C86" i="14" s="1"/>
  <c r="P11" i="14"/>
  <c r="O11" i="14"/>
  <c r="B14" i="14" s="1"/>
  <c r="N11" i="14"/>
  <c r="A11" i="14"/>
  <c r="T10" i="14"/>
  <c r="P10" i="14"/>
  <c r="C13" i="14" s="1"/>
  <c r="O10" i="14"/>
  <c r="N10" i="14"/>
  <c r="A13" i="14" s="1"/>
  <c r="B10" i="14"/>
  <c r="T9" i="14"/>
  <c r="C84" i="14" s="1"/>
  <c r="P9" i="14"/>
  <c r="O9" i="14"/>
  <c r="N9" i="14"/>
  <c r="A12" i="14" s="1"/>
  <c r="C9" i="14"/>
  <c r="T8" i="14"/>
  <c r="P8" i="14"/>
  <c r="C11" i="14" s="1"/>
  <c r="O8" i="14"/>
  <c r="B11" i="14" s="1"/>
  <c r="N8" i="14"/>
  <c r="B8" i="14"/>
  <c r="T7" i="14"/>
  <c r="P7" i="14"/>
  <c r="C10" i="14" s="1"/>
  <c r="O7" i="14"/>
  <c r="N7" i="14"/>
  <c r="A10" i="14" s="1"/>
  <c r="C7" i="14"/>
  <c r="A7" i="14"/>
  <c r="T6" i="14"/>
  <c r="P6" i="14"/>
  <c r="O6" i="14"/>
  <c r="B9" i="14" s="1"/>
  <c r="N6" i="14"/>
  <c r="A9" i="14" s="1"/>
  <c r="B6" i="14"/>
  <c r="T5" i="14"/>
  <c r="C80" i="14" s="1"/>
  <c r="P5" i="14"/>
  <c r="C8" i="14" s="1"/>
  <c r="O5" i="14"/>
  <c r="N5" i="14"/>
  <c r="A8" i="14" s="1"/>
  <c r="C5" i="14"/>
  <c r="A5" i="14"/>
  <c r="T4" i="14"/>
  <c r="C79" i="14" s="1"/>
  <c r="P4" i="14"/>
  <c r="O4" i="14"/>
  <c r="B7" i="14" s="1"/>
  <c r="N4" i="14"/>
  <c r="T3" i="14"/>
  <c r="C78" i="14" s="1"/>
  <c r="S3" i="14"/>
  <c r="B78" i="14" s="1"/>
  <c r="P3" i="14"/>
  <c r="C6" i="14" s="1"/>
  <c r="O3" i="14"/>
  <c r="N3" i="14"/>
  <c r="A6" i="14" s="1"/>
  <c r="T2" i="14"/>
  <c r="S2" i="14"/>
  <c r="B77" i="14" s="1"/>
  <c r="P2" i="14"/>
  <c r="O2" i="14"/>
  <c r="B5" i="14" s="1"/>
  <c r="N2" i="14"/>
  <c r="H366" i="12"/>
  <c r="F366" i="12"/>
  <c r="G366" i="12" s="1"/>
  <c r="E366" i="12"/>
  <c r="D366" i="12"/>
  <c r="C366" i="12"/>
  <c r="B366" i="12" a="1"/>
  <c r="B366" i="12"/>
  <c r="H365" i="12"/>
  <c r="G365" i="12"/>
  <c r="F365" i="12"/>
  <c r="E365" i="12"/>
  <c r="D365" i="12"/>
  <c r="C365" i="12"/>
  <c r="B365" i="12" a="1"/>
  <c r="B365" i="12" s="1"/>
  <c r="H364" i="12"/>
  <c r="G364" i="12"/>
  <c r="F364" i="12"/>
  <c r="E364" i="12"/>
  <c r="D364" i="12"/>
  <c r="C364" i="12"/>
  <c r="B364" i="12" a="1"/>
  <c r="B364" i="12" s="1"/>
  <c r="H363" i="12"/>
  <c r="F363" i="12"/>
  <c r="G363" i="12" s="1"/>
  <c r="E363" i="12"/>
  <c r="D363" i="12"/>
  <c r="C363" i="12"/>
  <c r="B363" i="12" a="1"/>
  <c r="B363" i="12" s="1"/>
  <c r="H362" i="12"/>
  <c r="F362" i="12"/>
  <c r="G362" i="12" s="1"/>
  <c r="E362" i="12"/>
  <c r="D362" i="12"/>
  <c r="C362" i="12"/>
  <c r="B362" i="12" a="1"/>
  <c r="B362" i="12" s="1"/>
  <c r="H361" i="12"/>
  <c r="F361" i="12"/>
  <c r="G361" i="12" s="1"/>
  <c r="E361" i="12"/>
  <c r="D361" i="12"/>
  <c r="C361" i="12"/>
  <c r="B361" i="12" a="1"/>
  <c r="B361" i="12" s="1"/>
  <c r="H360" i="12"/>
  <c r="F360" i="12"/>
  <c r="G360" i="12" s="1"/>
  <c r="E360" i="12"/>
  <c r="D360" i="12"/>
  <c r="C360" i="12"/>
  <c r="B360" i="12" a="1"/>
  <c r="B360" i="12" s="1"/>
  <c r="H359" i="12"/>
  <c r="F359" i="12"/>
  <c r="G359" i="12" s="1"/>
  <c r="E359" i="12"/>
  <c r="D359" i="12"/>
  <c r="C359" i="12"/>
  <c r="B359" i="12" a="1"/>
  <c r="B359" i="12" s="1"/>
  <c r="H358" i="12"/>
  <c r="G358" i="12"/>
  <c r="F358" i="12"/>
  <c r="E358" i="12"/>
  <c r="D358" i="12"/>
  <c r="C358" i="12"/>
  <c r="B358" i="12" a="1"/>
  <c r="B358" i="12" s="1"/>
  <c r="H357" i="12"/>
  <c r="G357" i="12"/>
  <c r="F357" i="12"/>
  <c r="E357" i="12"/>
  <c r="D357" i="12"/>
  <c r="C357" i="12"/>
  <c r="B357" i="12" a="1"/>
  <c r="B357" i="12" s="1"/>
  <c r="H356" i="12"/>
  <c r="F356" i="12"/>
  <c r="G356" i="12" s="1"/>
  <c r="E356" i="12"/>
  <c r="D356" i="12"/>
  <c r="C356" i="12"/>
  <c r="B356" i="12" a="1"/>
  <c r="B356" i="12"/>
  <c r="H355" i="12"/>
  <c r="F355" i="12"/>
  <c r="G355" i="12" s="1"/>
  <c r="E355" i="12"/>
  <c r="D355" i="12"/>
  <c r="C355" i="12"/>
  <c r="B355" i="12" a="1"/>
  <c r="B355" i="12" s="1"/>
  <c r="H354" i="12"/>
  <c r="F354" i="12"/>
  <c r="G354" i="12" s="1"/>
  <c r="E354" i="12"/>
  <c r="D354" i="12"/>
  <c r="C354" i="12"/>
  <c r="B354" i="12" a="1"/>
  <c r="B354" i="12"/>
  <c r="H353" i="12"/>
  <c r="F353" i="12"/>
  <c r="G353" i="12" s="1"/>
  <c r="E353" i="12"/>
  <c r="D353" i="12"/>
  <c r="C353" i="12"/>
  <c r="B353" i="12" a="1"/>
  <c r="B353" i="12" s="1"/>
  <c r="H352" i="12"/>
  <c r="F352" i="12"/>
  <c r="G352" i="12" s="1"/>
  <c r="E352" i="12"/>
  <c r="D352" i="12"/>
  <c r="C352" i="12"/>
  <c r="B352" i="12" a="1"/>
  <c r="B352" i="12"/>
  <c r="H351" i="12"/>
  <c r="G351" i="12"/>
  <c r="F351" i="12"/>
  <c r="E351" i="12"/>
  <c r="D351" i="12"/>
  <c r="C351" i="12"/>
  <c r="B351" i="12" a="1"/>
  <c r="B351" i="12" s="1"/>
  <c r="H350" i="12"/>
  <c r="G350" i="12"/>
  <c r="F350" i="12"/>
  <c r="E350" i="12"/>
  <c r="D350" i="12"/>
  <c r="C350" i="12"/>
  <c r="B350" i="12" a="1"/>
  <c r="B350" i="12" s="1"/>
  <c r="H349" i="12"/>
  <c r="G349" i="12"/>
  <c r="F349" i="12"/>
  <c r="E349" i="12"/>
  <c r="D349" i="12"/>
  <c r="C349" i="12"/>
  <c r="B349" i="12" a="1"/>
  <c r="B349" i="12" s="1"/>
  <c r="H348" i="12"/>
  <c r="F348" i="12"/>
  <c r="G348" i="12" s="1"/>
  <c r="E348" i="12"/>
  <c r="D348" i="12"/>
  <c r="C348" i="12"/>
  <c r="B348" i="12" a="1"/>
  <c r="B348" i="12" s="1"/>
  <c r="H347" i="12"/>
  <c r="F347" i="12"/>
  <c r="G347" i="12" s="1"/>
  <c r="E347" i="12"/>
  <c r="D347" i="12"/>
  <c r="C347" i="12"/>
  <c r="B347" i="12" a="1"/>
  <c r="B347" i="12" s="1"/>
  <c r="H346" i="12"/>
  <c r="F346" i="12"/>
  <c r="G346" i="12" s="1"/>
  <c r="E346" i="12"/>
  <c r="D346" i="12"/>
  <c r="C346" i="12"/>
  <c r="B346" i="12" a="1"/>
  <c r="B346" i="12"/>
  <c r="H345" i="12"/>
  <c r="F345" i="12"/>
  <c r="G345" i="12" s="1"/>
  <c r="E345" i="12"/>
  <c r="D345" i="12"/>
  <c r="C345" i="12"/>
  <c r="B345" i="12" a="1"/>
  <c r="B345" i="12" s="1"/>
  <c r="H344" i="12"/>
  <c r="G344" i="12"/>
  <c r="F344" i="12"/>
  <c r="E344" i="12"/>
  <c r="D344" i="12"/>
  <c r="C344" i="12"/>
  <c r="B344" i="12" a="1"/>
  <c r="B344" i="12" s="1"/>
  <c r="H343" i="12"/>
  <c r="F343" i="12"/>
  <c r="G343" i="12" s="1"/>
  <c r="E343" i="12"/>
  <c r="D343" i="12"/>
  <c r="C343" i="12"/>
  <c r="B343" i="12" a="1"/>
  <c r="B343" i="12" s="1"/>
  <c r="H342" i="12"/>
  <c r="F342" i="12"/>
  <c r="G342" i="12" s="1"/>
  <c r="E342" i="12"/>
  <c r="D342" i="12"/>
  <c r="C342" i="12"/>
  <c r="B342" i="12" a="1"/>
  <c r="B342" i="12"/>
  <c r="H341" i="12"/>
  <c r="G341" i="12"/>
  <c r="F341" i="12"/>
  <c r="E341" i="12"/>
  <c r="D341" i="12"/>
  <c r="C341" i="12"/>
  <c r="B341" i="12" a="1"/>
  <c r="B341" i="12" s="1"/>
  <c r="H340" i="12"/>
  <c r="G340" i="12"/>
  <c r="F340" i="12"/>
  <c r="E340" i="12"/>
  <c r="D340" i="12"/>
  <c r="C340" i="12"/>
  <c r="B340" i="12" a="1"/>
  <c r="B340" i="12" s="1"/>
  <c r="H339" i="12"/>
  <c r="F339" i="12"/>
  <c r="G339" i="12" s="1"/>
  <c r="E339" i="12"/>
  <c r="D339" i="12"/>
  <c r="C339" i="12"/>
  <c r="B339" i="12" a="1"/>
  <c r="B339" i="12" s="1"/>
  <c r="H338" i="12"/>
  <c r="F338" i="12"/>
  <c r="G338" i="12" s="1"/>
  <c r="E338" i="12"/>
  <c r="D338" i="12"/>
  <c r="C338" i="12"/>
  <c r="B338" i="12" a="1"/>
  <c r="B338" i="12" s="1"/>
  <c r="H337" i="12"/>
  <c r="G337" i="12"/>
  <c r="F337" i="12"/>
  <c r="E337" i="12"/>
  <c r="D337" i="12"/>
  <c r="C337" i="12"/>
  <c r="B337" i="12" a="1"/>
  <c r="B337" i="12" s="1"/>
  <c r="H336" i="12"/>
  <c r="G336" i="12"/>
  <c r="F336" i="12"/>
  <c r="E336" i="12"/>
  <c r="D336" i="12"/>
  <c r="C336" i="12"/>
  <c r="B336" i="12" a="1"/>
  <c r="B336" i="12" s="1"/>
  <c r="H335" i="12"/>
  <c r="F335" i="12"/>
  <c r="G335" i="12" s="1"/>
  <c r="E335" i="12"/>
  <c r="D335" i="12"/>
  <c r="C335" i="12"/>
  <c r="B335" i="12" a="1"/>
  <c r="B335" i="12" s="1"/>
  <c r="H334" i="12"/>
  <c r="G334" i="12"/>
  <c r="F334" i="12"/>
  <c r="E334" i="12"/>
  <c r="D334" i="12"/>
  <c r="C334" i="12"/>
  <c r="B334" i="12" a="1"/>
  <c r="B334" i="12" s="1"/>
  <c r="H333" i="12"/>
  <c r="G333" i="12"/>
  <c r="F333" i="12"/>
  <c r="E333" i="12"/>
  <c r="D333" i="12"/>
  <c r="C333" i="12"/>
  <c r="B333" i="12" a="1"/>
  <c r="B333" i="12" s="1"/>
  <c r="H332" i="12"/>
  <c r="F332" i="12"/>
  <c r="G332" i="12" s="1"/>
  <c r="E332" i="12"/>
  <c r="D332" i="12"/>
  <c r="C332" i="12"/>
  <c r="B332" i="12" a="1"/>
  <c r="B332" i="12"/>
  <c r="H331" i="12"/>
  <c r="F331" i="12"/>
  <c r="G331" i="12" s="1"/>
  <c r="E331" i="12"/>
  <c r="D331" i="12"/>
  <c r="C331" i="12"/>
  <c r="B331" i="12" a="1"/>
  <c r="B331" i="12" s="1"/>
  <c r="H330" i="12"/>
  <c r="F330" i="12"/>
  <c r="G330" i="12" s="1"/>
  <c r="E330" i="12"/>
  <c r="D330" i="12"/>
  <c r="C330" i="12"/>
  <c r="B330" i="12" a="1"/>
  <c r="B330" i="12" s="1"/>
  <c r="H329" i="12"/>
  <c r="F329" i="12"/>
  <c r="G329" i="12" s="1"/>
  <c r="E329" i="12"/>
  <c r="D329" i="12"/>
  <c r="C329" i="12"/>
  <c r="B329" i="12" a="1"/>
  <c r="B329" i="12" s="1"/>
  <c r="H328" i="12"/>
  <c r="F328" i="12"/>
  <c r="G328" i="12" s="1"/>
  <c r="E328" i="12"/>
  <c r="D328" i="12"/>
  <c r="C328" i="12"/>
  <c r="B328" i="12" a="1"/>
  <c r="B328" i="12"/>
  <c r="H327" i="12"/>
  <c r="G327" i="12"/>
  <c r="F327" i="12"/>
  <c r="E327" i="12"/>
  <c r="D327" i="12"/>
  <c r="C327" i="12"/>
  <c r="B327" i="12" a="1"/>
  <c r="B327" i="12" s="1"/>
  <c r="H326" i="12"/>
  <c r="G326" i="12"/>
  <c r="F326" i="12"/>
  <c r="E326" i="12"/>
  <c r="D326" i="12"/>
  <c r="C326" i="12"/>
  <c r="B326" i="12" a="1"/>
  <c r="B326" i="12" s="1"/>
  <c r="H325" i="12"/>
  <c r="F325" i="12"/>
  <c r="G325" i="12" s="1"/>
  <c r="E325" i="12"/>
  <c r="D325" i="12"/>
  <c r="C325" i="12"/>
  <c r="B325" i="12" a="1"/>
  <c r="B325" i="12" s="1"/>
  <c r="H324" i="12"/>
  <c r="F324" i="12"/>
  <c r="G324" i="12" s="1"/>
  <c r="E324" i="12"/>
  <c r="D324" i="12"/>
  <c r="C324" i="12"/>
  <c r="B324" i="12" a="1"/>
  <c r="B324" i="12" s="1"/>
  <c r="H323" i="12"/>
  <c r="G323" i="12"/>
  <c r="F323" i="12"/>
  <c r="E323" i="12"/>
  <c r="D323" i="12"/>
  <c r="C323" i="12"/>
  <c r="B323" i="12" a="1"/>
  <c r="B323" i="12" s="1"/>
  <c r="H322" i="12"/>
  <c r="G322" i="12"/>
  <c r="F322" i="12"/>
  <c r="E322" i="12"/>
  <c r="D322" i="12"/>
  <c r="C322" i="12"/>
  <c r="B322" i="12" a="1"/>
  <c r="B322" i="12"/>
  <c r="H321" i="12"/>
  <c r="F321" i="12"/>
  <c r="G321" i="12" s="1"/>
  <c r="E321" i="12"/>
  <c r="D321" i="12"/>
  <c r="C321" i="12"/>
  <c r="B321" i="12" a="1"/>
  <c r="B321" i="12" s="1"/>
  <c r="H320" i="12"/>
  <c r="F320" i="12"/>
  <c r="G320" i="12" s="1"/>
  <c r="E320" i="12"/>
  <c r="D320" i="12"/>
  <c r="C320" i="12"/>
  <c r="B320" i="12" a="1"/>
  <c r="B320" i="12"/>
  <c r="H319" i="12"/>
  <c r="G319" i="12"/>
  <c r="F319" i="12"/>
  <c r="E319" i="12"/>
  <c r="D319" i="12"/>
  <c r="C319" i="12"/>
  <c r="B319" i="12" a="1"/>
  <c r="B319" i="12" s="1"/>
  <c r="H318" i="12"/>
  <c r="G318" i="12"/>
  <c r="F318" i="12"/>
  <c r="E318" i="12"/>
  <c r="D318" i="12"/>
  <c r="C318" i="12"/>
  <c r="B318" i="12" a="1"/>
  <c r="B318" i="12" s="1"/>
  <c r="H317" i="12"/>
  <c r="F317" i="12"/>
  <c r="G317" i="12" s="1"/>
  <c r="E317" i="12"/>
  <c r="D317" i="12"/>
  <c r="C317" i="12"/>
  <c r="B317" i="12" a="1"/>
  <c r="B317" i="12" s="1"/>
  <c r="H316" i="12"/>
  <c r="F316" i="12"/>
  <c r="G316" i="12" s="1"/>
  <c r="E316" i="12"/>
  <c r="D316" i="12"/>
  <c r="C316" i="12"/>
  <c r="B316" i="12" a="1"/>
  <c r="B316" i="12" s="1"/>
  <c r="H315" i="12"/>
  <c r="F315" i="12"/>
  <c r="G315" i="12" s="1"/>
  <c r="E315" i="12"/>
  <c r="D315" i="12"/>
  <c r="C315" i="12"/>
  <c r="B315" i="12" a="1"/>
  <c r="B315" i="12" s="1"/>
  <c r="H314" i="12"/>
  <c r="F314" i="12"/>
  <c r="G314" i="12" s="1"/>
  <c r="E314" i="12"/>
  <c r="D314" i="12"/>
  <c r="C314" i="12"/>
  <c r="B314" i="12" a="1"/>
  <c r="B314" i="12"/>
  <c r="H313" i="12"/>
  <c r="F313" i="12"/>
  <c r="G313" i="12" s="1"/>
  <c r="E313" i="12"/>
  <c r="D313" i="12"/>
  <c r="C313" i="12"/>
  <c r="B313" i="12" a="1"/>
  <c r="B313" i="12" s="1"/>
  <c r="H312" i="12"/>
  <c r="G312" i="12"/>
  <c r="F312" i="12"/>
  <c r="E312" i="12"/>
  <c r="D312" i="12"/>
  <c r="C312" i="12"/>
  <c r="B312" i="12" a="1"/>
  <c r="B312" i="12" s="1"/>
  <c r="H311" i="12"/>
  <c r="F311" i="12"/>
  <c r="G311" i="12" s="1"/>
  <c r="E311" i="12"/>
  <c r="D311" i="12"/>
  <c r="C311" i="12"/>
  <c r="B311" i="12" a="1"/>
  <c r="B311" i="12" s="1"/>
  <c r="H310" i="12"/>
  <c r="F310" i="12"/>
  <c r="G310" i="12" s="1"/>
  <c r="E310" i="12"/>
  <c r="D310" i="12"/>
  <c r="C310" i="12"/>
  <c r="B310" i="12" a="1"/>
  <c r="B310" i="12"/>
  <c r="H309" i="12"/>
  <c r="G309" i="12"/>
  <c r="F309" i="12"/>
  <c r="E309" i="12"/>
  <c r="D309" i="12"/>
  <c r="C309" i="12"/>
  <c r="B309" i="12" a="1"/>
  <c r="B309" i="12" s="1"/>
  <c r="H308" i="12"/>
  <c r="G308" i="12"/>
  <c r="F308" i="12"/>
  <c r="E308" i="12"/>
  <c r="D308" i="12"/>
  <c r="C308" i="12"/>
  <c r="B308" i="12" a="1"/>
  <c r="B308" i="12" s="1"/>
  <c r="H307" i="12"/>
  <c r="F307" i="12"/>
  <c r="G307" i="12" s="1"/>
  <c r="E307" i="12"/>
  <c r="D307" i="12"/>
  <c r="C307" i="12"/>
  <c r="B307" i="12" a="1"/>
  <c r="B307" i="12" s="1"/>
  <c r="H306" i="12"/>
  <c r="F306" i="12"/>
  <c r="G306" i="12" s="1"/>
  <c r="E306" i="12"/>
  <c r="D306" i="12"/>
  <c r="C306" i="12"/>
  <c r="B306" i="12" a="1"/>
  <c r="B306" i="12" s="1"/>
  <c r="H305" i="12"/>
  <c r="G305" i="12"/>
  <c r="F305" i="12"/>
  <c r="E305" i="12"/>
  <c r="D305" i="12"/>
  <c r="C305" i="12"/>
  <c r="B305" i="12" a="1"/>
  <c r="B305" i="12" s="1"/>
  <c r="H304" i="12"/>
  <c r="G304" i="12"/>
  <c r="F304" i="12"/>
  <c r="E304" i="12"/>
  <c r="D304" i="12"/>
  <c r="C304" i="12"/>
  <c r="B304" i="12" a="1"/>
  <c r="B304" i="12" s="1"/>
  <c r="H303" i="12"/>
  <c r="F303" i="12"/>
  <c r="G303" i="12" s="1"/>
  <c r="E303" i="12"/>
  <c r="D303" i="12"/>
  <c r="C303" i="12"/>
  <c r="B303" i="12" a="1"/>
  <c r="B303" i="12" s="1"/>
  <c r="H302" i="12"/>
  <c r="F302" i="12"/>
  <c r="G302" i="12" s="1"/>
  <c r="E302" i="12"/>
  <c r="D302" i="12"/>
  <c r="C302" i="12"/>
  <c r="B302" i="12" a="1"/>
  <c r="B302" i="12" s="1"/>
  <c r="H301" i="12"/>
  <c r="G301" i="12"/>
  <c r="F301" i="12"/>
  <c r="E301" i="12"/>
  <c r="D301" i="12"/>
  <c r="C301" i="12"/>
  <c r="B301" i="12" a="1"/>
  <c r="B301" i="12" s="1"/>
  <c r="H300" i="12"/>
  <c r="F300" i="12"/>
  <c r="G300" i="12" s="1"/>
  <c r="E300" i="12"/>
  <c r="D300" i="12"/>
  <c r="C300" i="12"/>
  <c r="B300" i="12" a="1"/>
  <c r="B300" i="12"/>
  <c r="H299" i="12"/>
  <c r="F299" i="12"/>
  <c r="G299" i="12" s="1"/>
  <c r="E299" i="12"/>
  <c r="D299" i="12"/>
  <c r="C299" i="12"/>
  <c r="B299" i="12" a="1"/>
  <c r="B299" i="12" s="1"/>
  <c r="H298" i="12"/>
  <c r="F298" i="12"/>
  <c r="G298" i="12" s="1"/>
  <c r="E298" i="12"/>
  <c r="D298" i="12"/>
  <c r="C298" i="12"/>
  <c r="B298" i="12" a="1"/>
  <c r="B298" i="12" s="1"/>
  <c r="H297" i="12"/>
  <c r="F297" i="12"/>
  <c r="G297" i="12" s="1"/>
  <c r="E297" i="12"/>
  <c r="D297" i="12"/>
  <c r="C297" i="12"/>
  <c r="B297" i="12" a="1"/>
  <c r="B297" i="12" s="1"/>
  <c r="H296" i="12"/>
  <c r="F296" i="12"/>
  <c r="G296" i="12" s="1"/>
  <c r="E296" i="12"/>
  <c r="D296" i="12"/>
  <c r="C296" i="12"/>
  <c r="B296" i="12" a="1"/>
  <c r="B296" i="12"/>
  <c r="H295" i="12"/>
  <c r="G295" i="12"/>
  <c r="F295" i="12"/>
  <c r="E295" i="12"/>
  <c r="D295" i="12"/>
  <c r="C295" i="12"/>
  <c r="B295" i="12" a="1"/>
  <c r="B295" i="12" s="1"/>
  <c r="H294" i="12"/>
  <c r="G294" i="12"/>
  <c r="F294" i="12"/>
  <c r="E294" i="12"/>
  <c r="D294" i="12"/>
  <c r="C294" i="12"/>
  <c r="B294" i="12" a="1"/>
  <c r="B294" i="12" s="1"/>
  <c r="H293" i="12"/>
  <c r="F293" i="12"/>
  <c r="G293" i="12" s="1"/>
  <c r="E293" i="12"/>
  <c r="D293" i="12"/>
  <c r="C293" i="12"/>
  <c r="B293" i="12" a="1"/>
  <c r="B293" i="12" s="1"/>
  <c r="H292" i="12"/>
  <c r="F292" i="12"/>
  <c r="G292" i="12" s="1"/>
  <c r="E292" i="12"/>
  <c r="D292" i="12"/>
  <c r="C292" i="12"/>
  <c r="B292" i="12" a="1"/>
  <c r="B292" i="12" s="1"/>
  <c r="H291" i="12"/>
  <c r="G291" i="12"/>
  <c r="F291" i="12"/>
  <c r="E291" i="12"/>
  <c r="D291" i="12"/>
  <c r="C291" i="12"/>
  <c r="B291" i="12" a="1"/>
  <c r="B291" i="12" s="1"/>
  <c r="H290" i="12"/>
  <c r="G290" i="12"/>
  <c r="F290" i="12"/>
  <c r="E290" i="12"/>
  <c r="D290" i="12"/>
  <c r="C290" i="12"/>
  <c r="B290" i="12" a="1"/>
  <c r="B290" i="12"/>
  <c r="H289" i="12"/>
  <c r="F289" i="12"/>
  <c r="G289" i="12" s="1"/>
  <c r="E289" i="12"/>
  <c r="D289" i="12"/>
  <c r="C289" i="12"/>
  <c r="B289" i="12" a="1"/>
  <c r="B289" i="12" s="1"/>
  <c r="H288" i="12"/>
  <c r="F288" i="12"/>
  <c r="G288" i="12" s="1"/>
  <c r="E288" i="12"/>
  <c r="D288" i="12"/>
  <c r="C288" i="12"/>
  <c r="B288" i="12" a="1"/>
  <c r="B288" i="12"/>
  <c r="H287" i="12"/>
  <c r="G287" i="12"/>
  <c r="F287" i="12"/>
  <c r="E287" i="12"/>
  <c r="D287" i="12"/>
  <c r="C287" i="12"/>
  <c r="B287" i="12" a="1"/>
  <c r="B287" i="12" s="1"/>
  <c r="H286" i="12"/>
  <c r="G286" i="12"/>
  <c r="F286" i="12"/>
  <c r="E286" i="12"/>
  <c r="D286" i="12"/>
  <c r="C286" i="12"/>
  <c r="B286" i="12" a="1"/>
  <c r="B286" i="12" s="1"/>
  <c r="H285" i="12"/>
  <c r="F285" i="12"/>
  <c r="G285" i="12" s="1"/>
  <c r="E285" i="12"/>
  <c r="D285" i="12"/>
  <c r="C285" i="12"/>
  <c r="B285" i="12" a="1"/>
  <c r="B285" i="12" s="1"/>
  <c r="H284" i="12"/>
  <c r="F284" i="12"/>
  <c r="G284" i="12" s="1"/>
  <c r="E284" i="12"/>
  <c r="D284" i="12"/>
  <c r="C284" i="12"/>
  <c r="B284" i="12" a="1"/>
  <c r="B284" i="12" s="1"/>
  <c r="H283" i="12"/>
  <c r="F283" i="12"/>
  <c r="G283" i="12" s="1"/>
  <c r="E283" i="12"/>
  <c r="D283" i="12"/>
  <c r="C283" i="12"/>
  <c r="B283" i="12" a="1"/>
  <c r="B283" i="12" s="1"/>
  <c r="H282" i="12"/>
  <c r="F282" i="12"/>
  <c r="G282" i="12" s="1"/>
  <c r="E282" i="12"/>
  <c r="D282" i="12"/>
  <c r="C282" i="12"/>
  <c r="B282" i="12" a="1"/>
  <c r="B282" i="12"/>
  <c r="H281" i="12"/>
  <c r="F281" i="12"/>
  <c r="G281" i="12" s="1"/>
  <c r="E281" i="12"/>
  <c r="D281" i="12"/>
  <c r="C281" i="12"/>
  <c r="B281" i="12" a="1"/>
  <c r="B281" i="12" s="1"/>
  <c r="H280" i="12"/>
  <c r="G280" i="12"/>
  <c r="F280" i="12"/>
  <c r="E280" i="12"/>
  <c r="D280" i="12"/>
  <c r="C280" i="12"/>
  <c r="B280" i="12" a="1"/>
  <c r="B280" i="12" s="1"/>
  <c r="H279" i="12"/>
  <c r="F279" i="12"/>
  <c r="G279" i="12" s="1"/>
  <c r="E279" i="12"/>
  <c r="D279" i="12"/>
  <c r="C279" i="12"/>
  <c r="B279" i="12" a="1"/>
  <c r="B279" i="12" s="1"/>
  <c r="H278" i="12"/>
  <c r="F278" i="12"/>
  <c r="G278" i="12" s="1"/>
  <c r="E278" i="12"/>
  <c r="D278" i="12"/>
  <c r="C278" i="12"/>
  <c r="B278" i="12" a="1"/>
  <c r="B278" i="12"/>
  <c r="H277" i="12"/>
  <c r="G277" i="12"/>
  <c r="F277" i="12"/>
  <c r="E277" i="12"/>
  <c r="D277" i="12"/>
  <c r="C277" i="12"/>
  <c r="B277" i="12" a="1"/>
  <c r="B277" i="12" s="1"/>
  <c r="H276" i="12"/>
  <c r="G276" i="12"/>
  <c r="F276" i="12"/>
  <c r="E276" i="12"/>
  <c r="D276" i="12"/>
  <c r="C276" i="12"/>
  <c r="B276" i="12" a="1"/>
  <c r="B276" i="12" s="1"/>
  <c r="H275" i="12"/>
  <c r="F275" i="12"/>
  <c r="G275" i="12" s="1"/>
  <c r="E275" i="12"/>
  <c r="D275" i="12"/>
  <c r="C275" i="12"/>
  <c r="B275" i="12" a="1"/>
  <c r="B275" i="12" s="1"/>
  <c r="H274" i="12"/>
  <c r="F274" i="12"/>
  <c r="G274" i="12" s="1"/>
  <c r="E274" i="12"/>
  <c r="D274" i="12"/>
  <c r="C274" i="12"/>
  <c r="B274" i="12" a="1"/>
  <c r="B274" i="12"/>
  <c r="H273" i="12"/>
  <c r="G273" i="12"/>
  <c r="F273" i="12"/>
  <c r="E273" i="12"/>
  <c r="D273" i="12"/>
  <c r="C273" i="12"/>
  <c r="B273" i="12" a="1"/>
  <c r="B273" i="12" s="1"/>
  <c r="H272" i="12"/>
  <c r="G272" i="12"/>
  <c r="F272" i="12"/>
  <c r="E272" i="12"/>
  <c r="D272" i="12"/>
  <c r="C272" i="12"/>
  <c r="B272" i="12" a="1"/>
  <c r="B272" i="12" s="1"/>
  <c r="H271" i="12"/>
  <c r="F271" i="12"/>
  <c r="G271" i="12" s="1"/>
  <c r="E271" i="12"/>
  <c r="D271" i="12"/>
  <c r="C271" i="12"/>
  <c r="B271" i="12" a="1"/>
  <c r="B271" i="12" s="1"/>
  <c r="H270" i="12"/>
  <c r="F270" i="12"/>
  <c r="G270" i="12" s="1"/>
  <c r="E270" i="12"/>
  <c r="D270" i="12"/>
  <c r="C270" i="12"/>
  <c r="B270" i="12" a="1"/>
  <c r="B270" i="12"/>
  <c r="H269" i="12"/>
  <c r="G269" i="12"/>
  <c r="F269" i="12"/>
  <c r="E269" i="12"/>
  <c r="D269" i="12"/>
  <c r="C269" i="12"/>
  <c r="B269" i="12" a="1"/>
  <c r="B269" i="12" s="1"/>
  <c r="H268" i="12"/>
  <c r="F268" i="12"/>
  <c r="G268" i="12" s="1"/>
  <c r="E268" i="12"/>
  <c r="D268" i="12"/>
  <c r="C268" i="12"/>
  <c r="B268" i="12" a="1"/>
  <c r="B268" i="12" s="1"/>
  <c r="H267" i="12"/>
  <c r="G267" i="12"/>
  <c r="F267" i="12"/>
  <c r="E267" i="12"/>
  <c r="D267" i="12"/>
  <c r="C267" i="12"/>
  <c r="B267" i="12" a="1"/>
  <c r="B267" i="12" s="1"/>
  <c r="H266" i="12"/>
  <c r="F266" i="12"/>
  <c r="G266" i="12" s="1"/>
  <c r="E266" i="12"/>
  <c r="D266" i="12"/>
  <c r="C266" i="12"/>
  <c r="B266" i="12" a="1"/>
  <c r="B266" i="12"/>
  <c r="H265" i="12"/>
  <c r="G265" i="12"/>
  <c r="F265" i="12"/>
  <c r="E265" i="12"/>
  <c r="D265" i="12"/>
  <c r="C265" i="12"/>
  <c r="B265" i="12" a="1"/>
  <c r="B265" i="12" s="1"/>
  <c r="H264" i="12"/>
  <c r="F264" i="12"/>
  <c r="G264" i="12" s="1"/>
  <c r="E264" i="12"/>
  <c r="D264" i="12"/>
  <c r="C264" i="12"/>
  <c r="B264" i="12" a="1"/>
  <c r="B264" i="12" s="1"/>
  <c r="H263" i="12"/>
  <c r="F263" i="12"/>
  <c r="G263" i="12" s="1"/>
  <c r="E263" i="12"/>
  <c r="D263" i="12"/>
  <c r="C263" i="12"/>
  <c r="B263" i="12" a="1"/>
  <c r="B263" i="12" s="1"/>
  <c r="H262" i="12"/>
  <c r="G262" i="12"/>
  <c r="F262" i="12"/>
  <c r="E262" i="12"/>
  <c r="D262" i="12"/>
  <c r="C262" i="12"/>
  <c r="B262" i="12" a="1"/>
  <c r="B262" i="12" s="1"/>
  <c r="H261" i="12"/>
  <c r="G261" i="12"/>
  <c r="F261" i="12"/>
  <c r="E261" i="12"/>
  <c r="D261" i="12"/>
  <c r="C261" i="12"/>
  <c r="B261" i="12" a="1"/>
  <c r="B261" i="12" s="1"/>
  <c r="H260" i="12"/>
  <c r="F260" i="12"/>
  <c r="G260" i="12" s="1"/>
  <c r="E260" i="12"/>
  <c r="D260" i="12"/>
  <c r="C260" i="12"/>
  <c r="B260" i="12" a="1"/>
  <c r="B260" i="12"/>
  <c r="H259" i="12"/>
  <c r="F259" i="12"/>
  <c r="G259" i="12" s="1"/>
  <c r="E259" i="12"/>
  <c r="D259" i="12"/>
  <c r="C259" i="12"/>
  <c r="B259" i="12" a="1"/>
  <c r="B259" i="12" s="1"/>
  <c r="H258" i="12"/>
  <c r="G258" i="12"/>
  <c r="F258" i="12"/>
  <c r="E258" i="12"/>
  <c r="D258" i="12"/>
  <c r="C258" i="12"/>
  <c r="B258" i="12" a="1"/>
  <c r="B258" i="12"/>
  <c r="H257" i="12"/>
  <c r="F257" i="12"/>
  <c r="G257" i="12" s="1"/>
  <c r="E257" i="12"/>
  <c r="D257" i="12"/>
  <c r="C257" i="12"/>
  <c r="B257" i="12" a="1"/>
  <c r="B257" i="12" s="1"/>
  <c r="H256" i="12"/>
  <c r="F256" i="12"/>
  <c r="G256" i="12" s="1"/>
  <c r="E256" i="12"/>
  <c r="D256" i="12"/>
  <c r="C256" i="12"/>
  <c r="B256" i="12" a="1"/>
  <c r="B256" i="12" s="1"/>
  <c r="H255" i="12"/>
  <c r="G255" i="12"/>
  <c r="F255" i="12"/>
  <c r="E255" i="12"/>
  <c r="D255" i="12"/>
  <c r="C255" i="12"/>
  <c r="B255" i="12" a="1"/>
  <c r="B255" i="12" s="1"/>
  <c r="H254" i="12"/>
  <c r="F254" i="12"/>
  <c r="G254" i="12" s="1"/>
  <c r="E254" i="12"/>
  <c r="D254" i="12"/>
  <c r="C254" i="12"/>
  <c r="B254" i="12" a="1"/>
  <c r="B254" i="12" s="1"/>
  <c r="H253" i="12"/>
  <c r="F253" i="12"/>
  <c r="G253" i="12" s="1"/>
  <c r="E253" i="12"/>
  <c r="D253" i="12"/>
  <c r="C253" i="12"/>
  <c r="B253" i="12" a="1"/>
  <c r="B253" i="12" s="1"/>
  <c r="H252" i="12"/>
  <c r="G252" i="12"/>
  <c r="F252" i="12"/>
  <c r="E252" i="12"/>
  <c r="D252" i="12"/>
  <c r="C252" i="12"/>
  <c r="B252" i="12" a="1"/>
  <c r="B252" i="12" s="1"/>
  <c r="H251" i="12"/>
  <c r="F251" i="12"/>
  <c r="G251" i="12" s="1"/>
  <c r="E251" i="12"/>
  <c r="D251" i="12"/>
  <c r="C251" i="12"/>
  <c r="B251" i="12" a="1"/>
  <c r="B251" i="12" s="1"/>
  <c r="H250" i="12"/>
  <c r="G250" i="12"/>
  <c r="F250" i="12"/>
  <c r="E250" i="12"/>
  <c r="D250" i="12"/>
  <c r="C250" i="12"/>
  <c r="B250" i="12" a="1"/>
  <c r="B250" i="12"/>
  <c r="H249" i="12"/>
  <c r="F249" i="12"/>
  <c r="G249" i="12" s="1"/>
  <c r="E249" i="12"/>
  <c r="D249" i="12"/>
  <c r="C249" i="12"/>
  <c r="B249" i="12" a="1"/>
  <c r="B249" i="12" s="1"/>
  <c r="H248" i="12"/>
  <c r="F248" i="12"/>
  <c r="G248" i="12" s="1"/>
  <c r="E248" i="12"/>
  <c r="D248" i="12"/>
  <c r="C248" i="12"/>
  <c r="B248" i="12" a="1"/>
  <c r="B248" i="12" s="1"/>
  <c r="H247" i="12"/>
  <c r="F247" i="12"/>
  <c r="G247" i="12" s="1"/>
  <c r="E247" i="12"/>
  <c r="D247" i="12"/>
  <c r="C247" i="12"/>
  <c r="B247" i="12" a="1"/>
  <c r="B247" i="12" s="1"/>
  <c r="H246" i="12"/>
  <c r="G246" i="12"/>
  <c r="F246" i="12"/>
  <c r="E246" i="12"/>
  <c r="D246" i="12"/>
  <c r="C246" i="12"/>
  <c r="B246" i="12" a="1"/>
  <c r="B246" i="12"/>
  <c r="H245" i="12"/>
  <c r="G245" i="12"/>
  <c r="F245" i="12"/>
  <c r="E245" i="12"/>
  <c r="D245" i="12"/>
  <c r="C245" i="12"/>
  <c r="B245" i="12" a="1"/>
  <c r="B245" i="12" s="1"/>
  <c r="H244" i="12"/>
  <c r="F244" i="12"/>
  <c r="G244" i="12" s="1"/>
  <c r="E244" i="12"/>
  <c r="D244" i="12"/>
  <c r="C244" i="12"/>
  <c r="B244" i="12" a="1"/>
  <c r="B244" i="12"/>
  <c r="H243" i="12"/>
  <c r="F243" i="12"/>
  <c r="G243" i="12" s="1"/>
  <c r="E243" i="12"/>
  <c r="D243" i="12"/>
  <c r="C243" i="12"/>
  <c r="B243" i="12" a="1"/>
  <c r="B243" i="12" s="1"/>
  <c r="H242" i="12"/>
  <c r="F242" i="12"/>
  <c r="G242" i="12" s="1"/>
  <c r="E242" i="12"/>
  <c r="D242" i="12"/>
  <c r="C242" i="12"/>
  <c r="B242" i="12" a="1"/>
  <c r="B242" i="12" s="1"/>
  <c r="H241" i="12"/>
  <c r="G241" i="12"/>
  <c r="F241" i="12"/>
  <c r="E241" i="12"/>
  <c r="D241" i="12"/>
  <c r="C241" i="12"/>
  <c r="B241" i="12" a="1"/>
  <c r="B241" i="12" s="1"/>
  <c r="H240" i="12"/>
  <c r="G240" i="12"/>
  <c r="F240" i="12"/>
  <c r="E240" i="12"/>
  <c r="D240" i="12"/>
  <c r="C240" i="12"/>
  <c r="B240" i="12" a="1"/>
  <c r="B240" i="12" s="1"/>
  <c r="H239" i="12"/>
  <c r="F239" i="12"/>
  <c r="G239" i="12" s="1"/>
  <c r="E239" i="12"/>
  <c r="D239" i="12"/>
  <c r="C239" i="12"/>
  <c r="B239" i="12" a="1"/>
  <c r="B239" i="12" s="1"/>
  <c r="H238" i="12"/>
  <c r="F238" i="12"/>
  <c r="G238" i="12" s="1"/>
  <c r="E238" i="12"/>
  <c r="D238" i="12"/>
  <c r="C238" i="12"/>
  <c r="B238" i="12" a="1"/>
  <c r="B238" i="12"/>
  <c r="H237" i="12"/>
  <c r="F237" i="12"/>
  <c r="G237" i="12" s="1"/>
  <c r="E237" i="12"/>
  <c r="D237" i="12"/>
  <c r="C237" i="12"/>
  <c r="B237" i="12" a="1"/>
  <c r="B237" i="12" s="1"/>
  <c r="H236" i="12"/>
  <c r="F236" i="12"/>
  <c r="G236" i="12" s="1"/>
  <c r="E236" i="12"/>
  <c r="D236" i="12"/>
  <c r="C236" i="12"/>
  <c r="B236" i="12" a="1"/>
  <c r="B236" i="12" s="1"/>
  <c r="H235" i="12"/>
  <c r="G235" i="12"/>
  <c r="F235" i="12"/>
  <c r="E235" i="12"/>
  <c r="D235" i="12"/>
  <c r="C235" i="12"/>
  <c r="B235" i="12" a="1"/>
  <c r="B235" i="12" s="1"/>
  <c r="H234" i="12"/>
  <c r="G234" i="12"/>
  <c r="F234" i="12"/>
  <c r="E234" i="12"/>
  <c r="D234" i="12"/>
  <c r="C234" i="12"/>
  <c r="B234" i="12" a="1"/>
  <c r="B234" i="12"/>
  <c r="H233" i="12"/>
  <c r="G233" i="12"/>
  <c r="F233" i="12"/>
  <c r="E233" i="12"/>
  <c r="D233" i="12"/>
  <c r="C233" i="12"/>
  <c r="B233" i="12" a="1"/>
  <c r="B233" i="12" s="1"/>
  <c r="H232" i="12"/>
  <c r="F232" i="12"/>
  <c r="G232" i="12" s="1"/>
  <c r="E232" i="12"/>
  <c r="D232" i="12"/>
  <c r="C232" i="12"/>
  <c r="B232" i="12" a="1"/>
  <c r="B232" i="12" s="1"/>
  <c r="H231" i="12"/>
  <c r="F231" i="12"/>
  <c r="G231" i="12" s="1"/>
  <c r="E231" i="12"/>
  <c r="D231" i="12"/>
  <c r="C231" i="12"/>
  <c r="B231" i="12" a="1"/>
  <c r="B231" i="12" s="1"/>
  <c r="H230" i="12"/>
  <c r="G230" i="12"/>
  <c r="F230" i="12"/>
  <c r="E230" i="12"/>
  <c r="D230" i="12"/>
  <c r="C230" i="12"/>
  <c r="B230" i="12" a="1"/>
  <c r="B230" i="12" s="1"/>
  <c r="H229" i="12"/>
  <c r="G229" i="12"/>
  <c r="F229" i="12"/>
  <c r="E229" i="12"/>
  <c r="D229" i="12"/>
  <c r="C229" i="12"/>
  <c r="B229" i="12" a="1"/>
  <c r="B229" i="12" s="1"/>
  <c r="H228" i="12"/>
  <c r="F228" i="12"/>
  <c r="G228" i="12" s="1"/>
  <c r="E228" i="12"/>
  <c r="D228" i="12"/>
  <c r="C228" i="12"/>
  <c r="B228" i="12" a="1"/>
  <c r="B228" i="12"/>
  <c r="H227" i="12"/>
  <c r="F227" i="12"/>
  <c r="G227" i="12" s="1"/>
  <c r="E227" i="12"/>
  <c r="D227" i="12"/>
  <c r="C227" i="12"/>
  <c r="B227" i="12" a="1"/>
  <c r="B227" i="12" s="1"/>
  <c r="H226" i="12"/>
  <c r="G226" i="12"/>
  <c r="F226" i="12"/>
  <c r="E226" i="12"/>
  <c r="D226" i="12"/>
  <c r="C226" i="12"/>
  <c r="B226" i="12" a="1"/>
  <c r="B226" i="12"/>
  <c r="H225" i="12"/>
  <c r="F225" i="12"/>
  <c r="G225" i="12" s="1"/>
  <c r="E225" i="12"/>
  <c r="D225" i="12"/>
  <c r="C225" i="12"/>
  <c r="B225" i="12" a="1"/>
  <c r="B225" i="12" s="1"/>
  <c r="H224" i="12"/>
  <c r="F224" i="12"/>
  <c r="G224" i="12" s="1"/>
  <c r="E224" i="12"/>
  <c r="D224" i="12"/>
  <c r="C224" i="12"/>
  <c r="B224" i="12" a="1"/>
  <c r="B224" i="12" s="1"/>
  <c r="H223" i="12"/>
  <c r="G223" i="12"/>
  <c r="F223" i="12"/>
  <c r="E223" i="12"/>
  <c r="D223" i="12"/>
  <c r="C223" i="12"/>
  <c r="B223" i="12" a="1"/>
  <c r="B223" i="12" s="1"/>
  <c r="H222" i="12"/>
  <c r="F222" i="12"/>
  <c r="G222" i="12" s="1"/>
  <c r="E222" i="12"/>
  <c r="D222" i="12"/>
  <c r="C222" i="12"/>
  <c r="B222" i="12" a="1"/>
  <c r="B222" i="12"/>
  <c r="H221" i="12"/>
  <c r="F221" i="12"/>
  <c r="G221" i="12" s="1"/>
  <c r="E221" i="12"/>
  <c r="D221" i="12"/>
  <c r="C221" i="12"/>
  <c r="B221" i="12" a="1"/>
  <c r="B221" i="12" s="1"/>
  <c r="H220" i="12"/>
  <c r="G220" i="12"/>
  <c r="F220" i="12"/>
  <c r="E220" i="12"/>
  <c r="D220" i="12"/>
  <c r="C220" i="12"/>
  <c r="B220" i="12" a="1"/>
  <c r="B220" i="12" s="1"/>
  <c r="H219" i="12"/>
  <c r="F219" i="12"/>
  <c r="G219" i="12" s="1"/>
  <c r="E219" i="12"/>
  <c r="D219" i="12"/>
  <c r="C219" i="12"/>
  <c r="B219" i="12" a="1"/>
  <c r="B219" i="12" s="1"/>
  <c r="H218" i="12"/>
  <c r="G218" i="12"/>
  <c r="F218" i="12"/>
  <c r="E218" i="12"/>
  <c r="D218" i="12"/>
  <c r="C218" i="12"/>
  <c r="B218" i="12" a="1"/>
  <c r="B218" i="12"/>
  <c r="H217" i="12"/>
  <c r="G217" i="12"/>
  <c r="F217" i="12"/>
  <c r="E217" i="12"/>
  <c r="D217" i="12"/>
  <c r="C217" i="12"/>
  <c r="B217" i="12" a="1"/>
  <c r="B217" i="12" s="1"/>
  <c r="H216" i="12"/>
  <c r="F216" i="12"/>
  <c r="G216" i="12" s="1"/>
  <c r="E216" i="12"/>
  <c r="D216" i="12"/>
  <c r="C216" i="12"/>
  <c r="B216" i="12" a="1"/>
  <c r="B216" i="12" s="1"/>
  <c r="H215" i="12"/>
  <c r="F215" i="12"/>
  <c r="G215" i="12" s="1"/>
  <c r="E215" i="12"/>
  <c r="D215" i="12"/>
  <c r="C215" i="12"/>
  <c r="B215" i="12" a="1"/>
  <c r="B215" i="12" s="1"/>
  <c r="H214" i="12"/>
  <c r="G214" i="12"/>
  <c r="F214" i="12"/>
  <c r="E214" i="12"/>
  <c r="D214" i="12"/>
  <c r="C214" i="12"/>
  <c r="B214" i="12" a="1"/>
  <c r="B214" i="12"/>
  <c r="H213" i="12"/>
  <c r="G213" i="12"/>
  <c r="F213" i="12"/>
  <c r="E213" i="12"/>
  <c r="D213" i="12"/>
  <c r="C213" i="12"/>
  <c r="B213" i="12" a="1"/>
  <c r="B213" i="12" s="1"/>
  <c r="H212" i="12"/>
  <c r="F212" i="12"/>
  <c r="G212" i="12" s="1"/>
  <c r="E212" i="12"/>
  <c r="D212" i="12"/>
  <c r="C212" i="12"/>
  <c r="B212" i="12" a="1"/>
  <c r="B212" i="12"/>
  <c r="H211" i="12"/>
  <c r="F211" i="12"/>
  <c r="G211" i="12" s="1"/>
  <c r="E211" i="12"/>
  <c r="D211" i="12"/>
  <c r="C211" i="12"/>
  <c r="B211" i="12" a="1"/>
  <c r="B211" i="12" s="1"/>
  <c r="H210" i="12"/>
  <c r="F210" i="12"/>
  <c r="G210" i="12" s="1"/>
  <c r="E210" i="12"/>
  <c r="D210" i="12"/>
  <c r="C210" i="12"/>
  <c r="B210" i="12" a="1"/>
  <c r="B210" i="12" s="1"/>
  <c r="H209" i="12"/>
  <c r="G209" i="12"/>
  <c r="F209" i="12"/>
  <c r="E209" i="12"/>
  <c r="D209" i="12"/>
  <c r="C209" i="12"/>
  <c r="B209" i="12" a="1"/>
  <c r="B209" i="12" s="1"/>
  <c r="H208" i="12"/>
  <c r="G208" i="12"/>
  <c r="F208" i="12"/>
  <c r="E208" i="12"/>
  <c r="D208" i="12"/>
  <c r="C208" i="12"/>
  <c r="B208" i="12" a="1"/>
  <c r="B208" i="12" s="1"/>
  <c r="H207" i="12"/>
  <c r="F207" i="12"/>
  <c r="G207" i="12" s="1"/>
  <c r="E207" i="12"/>
  <c r="D207" i="12"/>
  <c r="C207" i="12"/>
  <c r="B207" i="12" a="1"/>
  <c r="B207" i="12" s="1"/>
  <c r="H206" i="12"/>
  <c r="F206" i="12"/>
  <c r="G206" i="12" s="1"/>
  <c r="E206" i="12"/>
  <c r="D206" i="12"/>
  <c r="C206" i="12"/>
  <c r="B206" i="12" a="1"/>
  <c r="B206" i="12"/>
  <c r="H205" i="12"/>
  <c r="F205" i="12"/>
  <c r="G205" i="12" s="1"/>
  <c r="E205" i="12"/>
  <c r="D205" i="12"/>
  <c r="C205" i="12"/>
  <c r="B205" i="12" a="1"/>
  <c r="B205" i="12" s="1"/>
  <c r="H204" i="12"/>
  <c r="F204" i="12"/>
  <c r="G204" i="12" s="1"/>
  <c r="E204" i="12"/>
  <c r="D204" i="12"/>
  <c r="C204" i="12"/>
  <c r="B204" i="12" a="1"/>
  <c r="B204" i="12" s="1"/>
  <c r="H203" i="12"/>
  <c r="G203" i="12"/>
  <c r="F203" i="12"/>
  <c r="E203" i="12"/>
  <c r="D203" i="12"/>
  <c r="C203" i="12"/>
  <c r="B203" i="12" a="1"/>
  <c r="B203" i="12" s="1"/>
  <c r="H202" i="12"/>
  <c r="G202" i="12"/>
  <c r="F202" i="12"/>
  <c r="E202" i="12"/>
  <c r="D202" i="12"/>
  <c r="C202" i="12"/>
  <c r="B202" i="12" a="1"/>
  <c r="B202" i="12"/>
  <c r="H201" i="12"/>
  <c r="G201" i="12"/>
  <c r="F201" i="12"/>
  <c r="E201" i="12"/>
  <c r="D201" i="12"/>
  <c r="C201" i="12"/>
  <c r="B201" i="12" a="1"/>
  <c r="B201" i="12" s="1"/>
  <c r="H200" i="12"/>
  <c r="F200" i="12"/>
  <c r="G200" i="12" s="1"/>
  <c r="E200" i="12"/>
  <c r="D200" i="12"/>
  <c r="C200" i="12"/>
  <c r="B200" i="12" a="1"/>
  <c r="B200" i="12"/>
  <c r="H199" i="12"/>
  <c r="F199" i="12"/>
  <c r="G199" i="12" s="1"/>
  <c r="E199" i="12"/>
  <c r="D199" i="12"/>
  <c r="C199" i="12"/>
  <c r="B199" i="12" a="1"/>
  <c r="B199" i="12" s="1"/>
  <c r="H198" i="12"/>
  <c r="G198" i="12"/>
  <c r="F198" i="12"/>
  <c r="E198" i="12"/>
  <c r="D198" i="12"/>
  <c r="C198" i="12"/>
  <c r="B198" i="12" a="1"/>
  <c r="B198" i="12" s="1"/>
  <c r="H197" i="12"/>
  <c r="G197" i="12"/>
  <c r="F197" i="12"/>
  <c r="E197" i="12"/>
  <c r="D197" i="12"/>
  <c r="C197" i="12"/>
  <c r="B197" i="12" a="1"/>
  <c r="B197" i="12" s="1"/>
  <c r="H196" i="12"/>
  <c r="F196" i="12"/>
  <c r="G196" i="12" s="1"/>
  <c r="E196" i="12"/>
  <c r="D196" i="12"/>
  <c r="C196" i="12"/>
  <c r="B196" i="12" a="1"/>
  <c r="B196" i="12"/>
  <c r="H195" i="12"/>
  <c r="F195" i="12"/>
  <c r="G195" i="12" s="1"/>
  <c r="E195" i="12"/>
  <c r="D195" i="12"/>
  <c r="C195" i="12"/>
  <c r="B195" i="12" a="1"/>
  <c r="B195" i="12" s="1"/>
  <c r="H194" i="12"/>
  <c r="G194" i="12"/>
  <c r="F194" i="12"/>
  <c r="E194" i="12"/>
  <c r="D194" i="12"/>
  <c r="C194" i="12"/>
  <c r="B194" i="12" a="1"/>
  <c r="B194" i="12"/>
  <c r="H193" i="12"/>
  <c r="F193" i="12"/>
  <c r="G193" i="12" s="1"/>
  <c r="E193" i="12"/>
  <c r="D193" i="12"/>
  <c r="C193" i="12"/>
  <c r="B193" i="12" a="1"/>
  <c r="B193" i="12" s="1"/>
  <c r="H192" i="12"/>
  <c r="F192" i="12"/>
  <c r="G192" i="12" s="1"/>
  <c r="E192" i="12"/>
  <c r="D192" i="12"/>
  <c r="C192" i="12"/>
  <c r="B192" i="12" a="1"/>
  <c r="B192" i="12" s="1"/>
  <c r="H191" i="12"/>
  <c r="G191" i="12"/>
  <c r="F191" i="12"/>
  <c r="E191" i="12"/>
  <c r="D191" i="12"/>
  <c r="C191" i="12"/>
  <c r="B191" i="12" a="1"/>
  <c r="B191" i="12" s="1"/>
  <c r="H190" i="12"/>
  <c r="F190" i="12"/>
  <c r="G190" i="12" s="1"/>
  <c r="E190" i="12"/>
  <c r="D190" i="12"/>
  <c r="C190" i="12"/>
  <c r="B190" i="12" a="1"/>
  <c r="B190" i="12"/>
  <c r="H189" i="12"/>
  <c r="F189" i="12"/>
  <c r="G189" i="12" s="1"/>
  <c r="E189" i="12"/>
  <c r="D189" i="12"/>
  <c r="C189" i="12"/>
  <c r="B189" i="12" a="1"/>
  <c r="B189" i="12" s="1"/>
  <c r="H188" i="12"/>
  <c r="G188" i="12"/>
  <c r="F188" i="12"/>
  <c r="E188" i="12"/>
  <c r="D188" i="12"/>
  <c r="C188" i="12"/>
  <c r="B188" i="12" a="1"/>
  <c r="B188" i="12" s="1"/>
  <c r="H187" i="12"/>
  <c r="F187" i="12"/>
  <c r="G187" i="12" s="1"/>
  <c r="E187" i="12"/>
  <c r="D187" i="12"/>
  <c r="C187" i="12"/>
  <c r="B187" i="12" a="1"/>
  <c r="B187" i="12" s="1"/>
  <c r="H186" i="12"/>
  <c r="G186" i="12"/>
  <c r="F186" i="12"/>
  <c r="E186" i="12"/>
  <c r="D186" i="12"/>
  <c r="C186" i="12"/>
  <c r="B186" i="12" a="1"/>
  <c r="B186" i="12"/>
  <c r="H185" i="12"/>
  <c r="G185" i="12"/>
  <c r="F185" i="12"/>
  <c r="E185" i="12"/>
  <c r="D185" i="12"/>
  <c r="C185" i="12"/>
  <c r="B185" i="12" a="1"/>
  <c r="B185" i="12" s="1"/>
  <c r="H184" i="12"/>
  <c r="F184" i="12"/>
  <c r="G184" i="12" s="1"/>
  <c r="E184" i="12"/>
  <c r="D184" i="12"/>
  <c r="C184" i="12"/>
  <c r="B184" i="12" a="1"/>
  <c r="B184" i="12" s="1"/>
  <c r="H183" i="12"/>
  <c r="F183" i="12"/>
  <c r="G183" i="12" s="1"/>
  <c r="E183" i="12"/>
  <c r="D183" i="12"/>
  <c r="C183" i="12"/>
  <c r="B183" i="12" a="1"/>
  <c r="B183" i="12" s="1"/>
  <c r="H182" i="12"/>
  <c r="G182" i="12"/>
  <c r="F182" i="12"/>
  <c r="E182" i="12"/>
  <c r="D182" i="12"/>
  <c r="C182" i="12"/>
  <c r="B182" i="12" a="1"/>
  <c r="B182" i="12"/>
  <c r="H181" i="12"/>
  <c r="G181" i="12"/>
  <c r="F181" i="12"/>
  <c r="E181" i="12"/>
  <c r="D181" i="12"/>
  <c r="C181" i="12"/>
  <c r="B181" i="12" a="1"/>
  <c r="B181" i="12" s="1"/>
  <c r="H180" i="12"/>
  <c r="F180" i="12"/>
  <c r="G180" i="12" s="1"/>
  <c r="E180" i="12"/>
  <c r="D180" i="12"/>
  <c r="C180" i="12"/>
  <c r="B180" i="12" a="1"/>
  <c r="B180" i="12"/>
  <c r="H179" i="12"/>
  <c r="F179" i="12"/>
  <c r="G179" i="12" s="1"/>
  <c r="E179" i="12"/>
  <c r="D179" i="12"/>
  <c r="C179" i="12"/>
  <c r="B179" i="12" a="1"/>
  <c r="B179" i="12" s="1"/>
  <c r="H178" i="12"/>
  <c r="F178" i="12"/>
  <c r="G178" i="12" s="1"/>
  <c r="E178" i="12"/>
  <c r="D178" i="12"/>
  <c r="C178" i="12"/>
  <c r="B178" i="12" a="1"/>
  <c r="B178" i="12" s="1"/>
  <c r="H177" i="12"/>
  <c r="G177" i="12"/>
  <c r="F177" i="12"/>
  <c r="E177" i="12"/>
  <c r="D177" i="12"/>
  <c r="C177" i="12"/>
  <c r="B177" i="12" a="1"/>
  <c r="B177" i="12" s="1"/>
  <c r="H176" i="12"/>
  <c r="G176" i="12"/>
  <c r="F176" i="12"/>
  <c r="E176" i="12"/>
  <c r="D176" i="12"/>
  <c r="C176" i="12"/>
  <c r="B176" i="12" a="1"/>
  <c r="B176" i="12" s="1"/>
  <c r="H175" i="12"/>
  <c r="F175" i="12"/>
  <c r="G175" i="12" s="1"/>
  <c r="E175" i="12"/>
  <c r="D175" i="12"/>
  <c r="C175" i="12"/>
  <c r="B175" i="12" a="1"/>
  <c r="B175" i="12" s="1"/>
  <c r="H174" i="12"/>
  <c r="F174" i="12"/>
  <c r="G174" i="12" s="1"/>
  <c r="E174" i="12"/>
  <c r="D174" i="12"/>
  <c r="C174" i="12"/>
  <c r="B174" i="12" a="1"/>
  <c r="B174" i="12"/>
  <c r="H173" i="12"/>
  <c r="F173" i="12"/>
  <c r="G173" i="12" s="1"/>
  <c r="E173" i="12"/>
  <c r="D173" i="12"/>
  <c r="C173" i="12"/>
  <c r="B173" i="12" a="1"/>
  <c r="B173" i="12" s="1"/>
  <c r="H172" i="12"/>
  <c r="F172" i="12"/>
  <c r="G172" i="12" s="1"/>
  <c r="E172" i="12"/>
  <c r="D172" i="12"/>
  <c r="C172" i="12"/>
  <c r="B172" i="12" a="1"/>
  <c r="B172" i="12" s="1"/>
  <c r="H171" i="12"/>
  <c r="G171" i="12"/>
  <c r="F171" i="12"/>
  <c r="E171" i="12"/>
  <c r="D171" i="12"/>
  <c r="C171" i="12"/>
  <c r="B171" i="12" a="1"/>
  <c r="B171" i="12" s="1"/>
  <c r="H170" i="12"/>
  <c r="G170" i="12"/>
  <c r="F170" i="12"/>
  <c r="E170" i="12"/>
  <c r="D170" i="12"/>
  <c r="C170" i="12"/>
  <c r="B170" i="12" a="1"/>
  <c r="B170" i="12"/>
  <c r="H169" i="12"/>
  <c r="G169" i="12"/>
  <c r="F169" i="12"/>
  <c r="E169" i="12"/>
  <c r="D169" i="12"/>
  <c r="C169" i="12"/>
  <c r="B169" i="12" a="1"/>
  <c r="B169" i="12" s="1"/>
  <c r="H168" i="12"/>
  <c r="F168" i="12"/>
  <c r="G168" i="12" s="1"/>
  <c r="E168" i="12"/>
  <c r="D168" i="12"/>
  <c r="C168" i="12"/>
  <c r="B168" i="12" a="1"/>
  <c r="B168" i="12"/>
  <c r="H167" i="12"/>
  <c r="F167" i="12"/>
  <c r="G167" i="12" s="1"/>
  <c r="E167" i="12"/>
  <c r="D167" i="12"/>
  <c r="C167" i="12"/>
  <c r="B167" i="12" a="1"/>
  <c r="B167" i="12" s="1"/>
  <c r="H166" i="12"/>
  <c r="G166" i="12"/>
  <c r="F166" i="12"/>
  <c r="E166" i="12"/>
  <c r="D166" i="12"/>
  <c r="C166" i="12"/>
  <c r="B166" i="12" a="1"/>
  <c r="B166" i="12" s="1"/>
  <c r="H165" i="12"/>
  <c r="G165" i="12"/>
  <c r="F165" i="12"/>
  <c r="E165" i="12"/>
  <c r="D165" i="12"/>
  <c r="C165" i="12"/>
  <c r="B165" i="12" a="1"/>
  <c r="B165" i="12" s="1"/>
  <c r="H164" i="12"/>
  <c r="F164" i="12"/>
  <c r="G164" i="12" s="1"/>
  <c r="E164" i="12"/>
  <c r="D164" i="12"/>
  <c r="C164" i="12"/>
  <c r="B164" i="12" a="1"/>
  <c r="B164" i="12"/>
  <c r="H163" i="12"/>
  <c r="F163" i="12"/>
  <c r="G163" i="12" s="1"/>
  <c r="E163" i="12"/>
  <c r="D163" i="12"/>
  <c r="C163" i="12"/>
  <c r="B163" i="12" a="1"/>
  <c r="B163" i="12" s="1"/>
  <c r="H162" i="12"/>
  <c r="G162" i="12"/>
  <c r="F162" i="12"/>
  <c r="E162" i="12"/>
  <c r="D162" i="12"/>
  <c r="C162" i="12"/>
  <c r="B162" i="12" a="1"/>
  <c r="B162" i="12"/>
  <c r="H161" i="12"/>
  <c r="F161" i="12"/>
  <c r="G161" i="12" s="1"/>
  <c r="E161" i="12"/>
  <c r="D161" i="12"/>
  <c r="C161" i="12"/>
  <c r="B161" i="12" a="1"/>
  <c r="B161" i="12" s="1"/>
  <c r="H160" i="12"/>
  <c r="F160" i="12"/>
  <c r="G160" i="12" s="1"/>
  <c r="E160" i="12"/>
  <c r="D160" i="12"/>
  <c r="C160" i="12"/>
  <c r="B160" i="12" a="1"/>
  <c r="B160" i="12" s="1"/>
  <c r="H159" i="12"/>
  <c r="G159" i="12"/>
  <c r="F159" i="12"/>
  <c r="E159" i="12"/>
  <c r="D159" i="12"/>
  <c r="C159" i="12"/>
  <c r="B159" i="12" a="1"/>
  <c r="B159" i="12" s="1"/>
  <c r="H158" i="12"/>
  <c r="F158" i="12"/>
  <c r="G158" i="12" s="1"/>
  <c r="E158" i="12"/>
  <c r="D158" i="12"/>
  <c r="C158" i="12"/>
  <c r="B158" i="12" a="1"/>
  <c r="B158" i="12"/>
  <c r="H157" i="12"/>
  <c r="F157" i="12"/>
  <c r="G157" i="12" s="1"/>
  <c r="E157" i="12"/>
  <c r="D157" i="12"/>
  <c r="C157" i="12"/>
  <c r="B157" i="12" a="1"/>
  <c r="B157" i="12" s="1"/>
  <c r="H156" i="12"/>
  <c r="G156" i="12"/>
  <c r="F156" i="12"/>
  <c r="E156" i="12"/>
  <c r="D156" i="12"/>
  <c r="C156" i="12"/>
  <c r="B156" i="12" a="1"/>
  <c r="B156" i="12" s="1"/>
  <c r="H155" i="12"/>
  <c r="F155" i="12"/>
  <c r="G155" i="12" s="1"/>
  <c r="E155" i="12"/>
  <c r="D155" i="12"/>
  <c r="C155" i="12"/>
  <c r="B155" i="12" a="1"/>
  <c r="B155" i="12" s="1"/>
  <c r="H154" i="12"/>
  <c r="G154" i="12"/>
  <c r="F154" i="12"/>
  <c r="E154" i="12"/>
  <c r="D154" i="12"/>
  <c r="C154" i="12"/>
  <c r="B154" i="12" a="1"/>
  <c r="B154" i="12"/>
  <c r="H153" i="12"/>
  <c r="G153" i="12"/>
  <c r="F153" i="12"/>
  <c r="E153" i="12"/>
  <c r="D153" i="12"/>
  <c r="C153" i="12"/>
  <c r="B153" i="12" a="1"/>
  <c r="B153" i="12" s="1"/>
  <c r="H152" i="12"/>
  <c r="F152" i="12"/>
  <c r="G152" i="12" s="1"/>
  <c r="E152" i="12"/>
  <c r="D152" i="12"/>
  <c r="C152" i="12"/>
  <c r="B152" i="12" a="1"/>
  <c r="B152" i="12" s="1"/>
  <c r="H151" i="12"/>
  <c r="F151" i="12"/>
  <c r="G151" i="12" s="1"/>
  <c r="E151" i="12"/>
  <c r="D151" i="12"/>
  <c r="C151" i="12"/>
  <c r="B151" i="12" a="1"/>
  <c r="B151" i="12" s="1"/>
  <c r="H150" i="12"/>
  <c r="G150" i="12"/>
  <c r="F150" i="12"/>
  <c r="E150" i="12"/>
  <c r="D150" i="12"/>
  <c r="C150" i="12"/>
  <c r="B150" i="12" a="1"/>
  <c r="B150" i="12"/>
  <c r="H149" i="12"/>
  <c r="G149" i="12"/>
  <c r="F149" i="12"/>
  <c r="E149" i="12"/>
  <c r="D149" i="12"/>
  <c r="C149" i="12"/>
  <c r="B149" i="12" a="1"/>
  <c r="B149" i="12" s="1"/>
  <c r="H148" i="12"/>
  <c r="F148" i="12"/>
  <c r="G148" i="12" s="1"/>
  <c r="E148" i="12"/>
  <c r="D148" i="12"/>
  <c r="C148" i="12"/>
  <c r="B148" i="12" a="1"/>
  <c r="B148" i="12"/>
  <c r="H147" i="12"/>
  <c r="F147" i="12"/>
  <c r="G147" i="12" s="1"/>
  <c r="E147" i="12"/>
  <c r="D147" i="12"/>
  <c r="C147" i="12"/>
  <c r="B147" i="12" a="1"/>
  <c r="B147" i="12" s="1"/>
  <c r="H146" i="12"/>
  <c r="F146" i="12"/>
  <c r="G146" i="12" s="1"/>
  <c r="E146" i="12"/>
  <c r="D146" i="12"/>
  <c r="C146" i="12"/>
  <c r="B146" i="12" a="1"/>
  <c r="B146" i="12" s="1"/>
  <c r="H145" i="12"/>
  <c r="G145" i="12"/>
  <c r="F145" i="12"/>
  <c r="E145" i="12"/>
  <c r="D145" i="12"/>
  <c r="C145" i="12"/>
  <c r="B145" i="12" a="1"/>
  <c r="B145" i="12" s="1"/>
  <c r="H144" i="12"/>
  <c r="G144" i="12"/>
  <c r="F144" i="12"/>
  <c r="E144" i="12"/>
  <c r="D144" i="12"/>
  <c r="C144" i="12"/>
  <c r="B144" i="12" a="1"/>
  <c r="B144" i="12" s="1"/>
  <c r="H143" i="12"/>
  <c r="F143" i="12"/>
  <c r="G143" i="12" s="1"/>
  <c r="E143" i="12"/>
  <c r="D143" i="12"/>
  <c r="C143" i="12"/>
  <c r="B143" i="12" a="1"/>
  <c r="B143" i="12" s="1"/>
  <c r="H142" i="12"/>
  <c r="F142" i="12"/>
  <c r="G142" i="12" s="1"/>
  <c r="E142" i="12"/>
  <c r="D142" i="12"/>
  <c r="C142" i="12"/>
  <c r="B142" i="12" a="1"/>
  <c r="B142" i="12"/>
  <c r="H141" i="12"/>
  <c r="F141" i="12"/>
  <c r="G141" i="12" s="1"/>
  <c r="E141" i="12"/>
  <c r="D141" i="12"/>
  <c r="C141" i="12"/>
  <c r="B141" i="12" a="1"/>
  <c r="B141" i="12" s="1"/>
  <c r="H140" i="12"/>
  <c r="F140" i="12"/>
  <c r="G140" i="12" s="1"/>
  <c r="E140" i="12"/>
  <c r="D140" i="12"/>
  <c r="C140" i="12"/>
  <c r="B140" i="12" a="1"/>
  <c r="B140" i="12" s="1"/>
  <c r="H139" i="12"/>
  <c r="G139" i="12"/>
  <c r="F139" i="12"/>
  <c r="E139" i="12"/>
  <c r="D139" i="12"/>
  <c r="C139" i="12"/>
  <c r="B139" i="12" a="1"/>
  <c r="B139" i="12" s="1"/>
  <c r="H138" i="12"/>
  <c r="G138" i="12"/>
  <c r="F138" i="12"/>
  <c r="E138" i="12"/>
  <c r="D138" i="12"/>
  <c r="C138" i="12"/>
  <c r="B138" i="12" a="1"/>
  <c r="B138" i="12"/>
  <c r="H137" i="12"/>
  <c r="G137" i="12"/>
  <c r="F137" i="12"/>
  <c r="E137" i="12"/>
  <c r="D137" i="12"/>
  <c r="C137" i="12"/>
  <c r="B137" i="12" a="1"/>
  <c r="B137" i="12" s="1"/>
  <c r="H136" i="12"/>
  <c r="F136" i="12"/>
  <c r="G136" i="12" s="1"/>
  <c r="E136" i="12"/>
  <c r="D136" i="12"/>
  <c r="C136" i="12"/>
  <c r="B136" i="12" a="1"/>
  <c r="B136" i="12" s="1"/>
  <c r="H135" i="12"/>
  <c r="F135" i="12"/>
  <c r="G135" i="12" s="1"/>
  <c r="E135" i="12"/>
  <c r="D135" i="12"/>
  <c r="C135" i="12"/>
  <c r="B135" i="12" a="1"/>
  <c r="B135" i="12" s="1"/>
  <c r="H134" i="12"/>
  <c r="G134" i="12"/>
  <c r="F134" i="12"/>
  <c r="E134" i="12"/>
  <c r="D134" i="12"/>
  <c r="C134" i="12"/>
  <c r="B134" i="12" a="1"/>
  <c r="B134" i="12" s="1"/>
  <c r="H133" i="12"/>
  <c r="G133" i="12"/>
  <c r="F133" i="12"/>
  <c r="E133" i="12"/>
  <c r="D133" i="12"/>
  <c r="C133" i="12"/>
  <c r="B133" i="12" a="1"/>
  <c r="B133" i="12" s="1"/>
  <c r="H132" i="12"/>
  <c r="F132" i="12"/>
  <c r="G132" i="12" s="1"/>
  <c r="E132" i="12"/>
  <c r="D132" i="12"/>
  <c r="C132" i="12"/>
  <c r="B132" i="12" a="1"/>
  <c r="B132" i="12"/>
  <c r="H131" i="12"/>
  <c r="F131" i="12"/>
  <c r="G131" i="12" s="1"/>
  <c r="E131" i="12"/>
  <c r="D131" i="12"/>
  <c r="C131" i="12"/>
  <c r="B131" i="12" a="1"/>
  <c r="B131" i="12" s="1"/>
  <c r="H130" i="12"/>
  <c r="G130" i="12"/>
  <c r="F130" i="12"/>
  <c r="E130" i="12"/>
  <c r="D130" i="12"/>
  <c r="C130" i="12"/>
  <c r="B130" i="12" a="1"/>
  <c r="B130" i="12"/>
  <c r="H129" i="12"/>
  <c r="F129" i="12"/>
  <c r="G129" i="12" s="1"/>
  <c r="E129" i="12"/>
  <c r="D129" i="12"/>
  <c r="C129" i="12"/>
  <c r="B129" i="12" a="1"/>
  <c r="B129" i="12" s="1"/>
  <c r="H128" i="12"/>
  <c r="F128" i="12"/>
  <c r="G128" i="12" s="1"/>
  <c r="E128" i="12"/>
  <c r="D128" i="12"/>
  <c r="C128" i="12"/>
  <c r="B128" i="12" a="1"/>
  <c r="B128" i="12" s="1"/>
  <c r="H127" i="12"/>
  <c r="G127" i="12"/>
  <c r="F127" i="12"/>
  <c r="E127" i="12"/>
  <c r="D127" i="12"/>
  <c r="C127" i="12"/>
  <c r="B127" i="12" a="1"/>
  <c r="B127" i="12" s="1"/>
  <c r="H126" i="12"/>
  <c r="F126" i="12"/>
  <c r="G126" i="12" s="1"/>
  <c r="E126" i="12"/>
  <c r="D126" i="12"/>
  <c r="C126" i="12"/>
  <c r="B126" i="12" a="1"/>
  <c r="B126" i="12"/>
  <c r="H125" i="12"/>
  <c r="F125" i="12"/>
  <c r="G125" i="12" s="1"/>
  <c r="E125" i="12"/>
  <c r="D125" i="12"/>
  <c r="C125" i="12"/>
  <c r="B125" i="12" a="1"/>
  <c r="B125" i="12" s="1"/>
  <c r="H124" i="12"/>
  <c r="G124" i="12"/>
  <c r="F124" i="12"/>
  <c r="E124" i="12"/>
  <c r="D124" i="12"/>
  <c r="C124" i="12"/>
  <c r="B124" i="12" a="1"/>
  <c r="B124" i="12" s="1"/>
  <c r="H123" i="12"/>
  <c r="F123" i="12"/>
  <c r="G123" i="12" s="1"/>
  <c r="E123" i="12"/>
  <c r="D123" i="12"/>
  <c r="C123" i="12"/>
  <c r="B123" i="12" a="1"/>
  <c r="B123" i="12" s="1"/>
  <c r="H122" i="12"/>
  <c r="G122" i="12"/>
  <c r="F122" i="12"/>
  <c r="E122" i="12"/>
  <c r="D122" i="12"/>
  <c r="C122" i="12"/>
  <c r="B122" i="12" a="1"/>
  <c r="B122" i="12"/>
  <c r="H121" i="12"/>
  <c r="G121" i="12"/>
  <c r="F121" i="12"/>
  <c r="E121" i="12"/>
  <c r="D121" i="12"/>
  <c r="C121" i="12"/>
  <c r="B121" i="12" a="1"/>
  <c r="B121" i="12" s="1"/>
  <c r="H120" i="12"/>
  <c r="F120" i="12"/>
  <c r="G120" i="12" s="1"/>
  <c r="E120" i="12"/>
  <c r="D120" i="12"/>
  <c r="C120" i="12"/>
  <c r="B120" i="12" a="1"/>
  <c r="B120" i="12" s="1"/>
  <c r="H119" i="12"/>
  <c r="F119" i="12"/>
  <c r="G119" i="12" s="1"/>
  <c r="E119" i="12"/>
  <c r="D119" i="12"/>
  <c r="C119" i="12"/>
  <c r="B119" i="12" a="1"/>
  <c r="B119" i="12" s="1"/>
  <c r="H118" i="12"/>
  <c r="G118" i="12"/>
  <c r="F118" i="12"/>
  <c r="E118" i="12"/>
  <c r="D118" i="12"/>
  <c r="C118" i="12"/>
  <c r="B118" i="12" a="1"/>
  <c r="B118" i="12"/>
  <c r="H117" i="12"/>
  <c r="G117" i="12"/>
  <c r="F117" i="12"/>
  <c r="E117" i="12"/>
  <c r="D117" i="12"/>
  <c r="C117" i="12"/>
  <c r="B117" i="12" a="1"/>
  <c r="B117" i="12" s="1"/>
  <c r="H116" i="12"/>
  <c r="F116" i="12"/>
  <c r="G116" i="12" s="1"/>
  <c r="E116" i="12"/>
  <c r="D116" i="12"/>
  <c r="C116" i="12"/>
  <c r="B116" i="12" a="1"/>
  <c r="B116" i="12"/>
  <c r="H115" i="12"/>
  <c r="F115" i="12"/>
  <c r="G115" i="12" s="1"/>
  <c r="E115" i="12"/>
  <c r="D115" i="12"/>
  <c r="C115" i="12"/>
  <c r="B115" i="12" a="1"/>
  <c r="B115" i="12" s="1"/>
  <c r="H114" i="12"/>
  <c r="F114" i="12"/>
  <c r="G114" i="12" s="1"/>
  <c r="E114" i="12"/>
  <c r="D114" i="12"/>
  <c r="C114" i="12"/>
  <c r="B114" i="12" a="1"/>
  <c r="B114" i="12" s="1"/>
  <c r="H113" i="12"/>
  <c r="G113" i="12"/>
  <c r="F113" i="12"/>
  <c r="E113" i="12"/>
  <c r="D113" i="12"/>
  <c r="C113" i="12"/>
  <c r="B113" i="12" a="1"/>
  <c r="B113" i="12" s="1"/>
  <c r="H112" i="12"/>
  <c r="G112" i="12"/>
  <c r="F112" i="12"/>
  <c r="E112" i="12"/>
  <c r="D112" i="12"/>
  <c r="C112" i="12"/>
  <c r="B112" i="12" a="1"/>
  <c r="B112" i="12" s="1"/>
  <c r="H111" i="12"/>
  <c r="F111" i="12"/>
  <c r="G111" i="12" s="1"/>
  <c r="E111" i="12"/>
  <c r="D111" i="12"/>
  <c r="C111" i="12"/>
  <c r="B111" i="12" a="1"/>
  <c r="B111" i="12" s="1"/>
  <c r="H110" i="12"/>
  <c r="F110" i="12"/>
  <c r="G110" i="12" s="1"/>
  <c r="E110" i="12"/>
  <c r="D110" i="12"/>
  <c r="C110" i="12"/>
  <c r="B110" i="12" a="1"/>
  <c r="B110" i="12"/>
  <c r="H109" i="12"/>
  <c r="F109" i="12"/>
  <c r="G109" i="12" s="1"/>
  <c r="E109" i="12"/>
  <c r="D109" i="12"/>
  <c r="C109" i="12"/>
  <c r="B109" i="12" a="1"/>
  <c r="B109" i="12" s="1"/>
  <c r="H108" i="12"/>
  <c r="F108" i="12"/>
  <c r="G108" i="12" s="1"/>
  <c r="E108" i="12"/>
  <c r="D108" i="12"/>
  <c r="C108" i="12"/>
  <c r="B108" i="12" a="1"/>
  <c r="B108" i="12" s="1"/>
  <c r="H107" i="12"/>
  <c r="G107" i="12"/>
  <c r="F107" i="12"/>
  <c r="E107" i="12"/>
  <c r="D107" i="12"/>
  <c r="C107" i="12"/>
  <c r="B107" i="12" a="1"/>
  <c r="B107" i="12" s="1"/>
  <c r="H106" i="12"/>
  <c r="G106" i="12"/>
  <c r="F106" i="12"/>
  <c r="E106" i="12"/>
  <c r="D106" i="12"/>
  <c r="C106" i="12"/>
  <c r="B106" i="12" a="1"/>
  <c r="B106" i="12"/>
  <c r="H105" i="12"/>
  <c r="G105" i="12"/>
  <c r="F105" i="12"/>
  <c r="E105" i="12"/>
  <c r="D105" i="12"/>
  <c r="C105" i="12"/>
  <c r="B105" i="12" a="1"/>
  <c r="B105" i="12" s="1"/>
  <c r="H104" i="12"/>
  <c r="F104" i="12"/>
  <c r="G104" i="12" s="1"/>
  <c r="E104" i="12"/>
  <c r="D104" i="12"/>
  <c r="C104" i="12"/>
  <c r="B104" i="12" a="1"/>
  <c r="B104" i="12"/>
  <c r="H103" i="12"/>
  <c r="F103" i="12"/>
  <c r="G103" i="12" s="1"/>
  <c r="E103" i="12"/>
  <c r="D103" i="12"/>
  <c r="C103" i="12"/>
  <c r="B103" i="12" a="1"/>
  <c r="B103" i="12" s="1"/>
  <c r="H102" i="12"/>
  <c r="G102" i="12"/>
  <c r="F102" i="12"/>
  <c r="E102" i="12"/>
  <c r="D102" i="12"/>
  <c r="C102" i="12"/>
  <c r="B102" i="12" a="1"/>
  <c r="B102" i="12" s="1"/>
  <c r="H101" i="12"/>
  <c r="G101" i="12"/>
  <c r="F101" i="12"/>
  <c r="E101" i="12"/>
  <c r="D101" i="12"/>
  <c r="C101" i="12"/>
  <c r="B101" i="12" a="1"/>
  <c r="B101" i="12" s="1"/>
  <c r="H100" i="12"/>
  <c r="F100" i="12"/>
  <c r="G100" i="12" s="1"/>
  <c r="E100" i="12"/>
  <c r="D100" i="12"/>
  <c r="C100" i="12"/>
  <c r="B100" i="12" a="1"/>
  <c r="B100" i="12"/>
  <c r="H99" i="12"/>
  <c r="F99" i="12"/>
  <c r="G99" i="12" s="1"/>
  <c r="E99" i="12"/>
  <c r="D99" i="12"/>
  <c r="C99" i="12"/>
  <c r="B99" i="12" a="1"/>
  <c r="B99" i="12" s="1"/>
  <c r="H98" i="12"/>
  <c r="G98" i="12"/>
  <c r="F98" i="12"/>
  <c r="E98" i="12"/>
  <c r="D98" i="12"/>
  <c r="C98" i="12"/>
  <c r="B98" i="12" a="1"/>
  <c r="B98" i="12"/>
  <c r="H97" i="12"/>
  <c r="F97" i="12"/>
  <c r="G97" i="12" s="1"/>
  <c r="E97" i="12"/>
  <c r="D97" i="12"/>
  <c r="C97" i="12"/>
  <c r="B97" i="12" a="1"/>
  <c r="B97" i="12" s="1"/>
  <c r="H96" i="12"/>
  <c r="F96" i="12"/>
  <c r="G96" i="12" s="1"/>
  <c r="E96" i="12"/>
  <c r="D96" i="12"/>
  <c r="C96" i="12"/>
  <c r="B96" i="12" a="1"/>
  <c r="B96" i="12" s="1"/>
  <c r="H95" i="12"/>
  <c r="G95" i="12"/>
  <c r="F95" i="12"/>
  <c r="E95" i="12"/>
  <c r="D95" i="12"/>
  <c r="C95" i="12"/>
  <c r="B95" i="12" a="1"/>
  <c r="B95" i="12" s="1"/>
  <c r="H94" i="12"/>
  <c r="F94" i="12"/>
  <c r="G94" i="12" s="1"/>
  <c r="E94" i="12"/>
  <c r="D94" i="12"/>
  <c r="C94" i="12"/>
  <c r="B94" i="12" a="1"/>
  <c r="B94" i="12"/>
  <c r="H93" i="12"/>
  <c r="F93" i="12"/>
  <c r="G93" i="12" s="1"/>
  <c r="E93" i="12"/>
  <c r="D93" i="12"/>
  <c r="C93" i="12"/>
  <c r="B93" i="12" a="1"/>
  <c r="B93" i="12" s="1"/>
  <c r="H92" i="12"/>
  <c r="G92" i="12"/>
  <c r="F92" i="12"/>
  <c r="E92" i="12"/>
  <c r="D92" i="12"/>
  <c r="C92" i="12"/>
  <c r="B92" i="12" a="1"/>
  <c r="B92" i="12" s="1"/>
  <c r="H91" i="12"/>
  <c r="F91" i="12"/>
  <c r="G91" i="12" s="1"/>
  <c r="E91" i="12"/>
  <c r="D91" i="12"/>
  <c r="C91" i="12"/>
  <c r="B91" i="12" a="1"/>
  <c r="B91" i="12" s="1"/>
  <c r="H90" i="12"/>
  <c r="G90" i="12"/>
  <c r="F90" i="12"/>
  <c r="E90" i="12"/>
  <c r="D90" i="12"/>
  <c r="C90" i="12"/>
  <c r="B90" i="12" a="1"/>
  <c r="B90" i="12"/>
  <c r="H89" i="12"/>
  <c r="G89" i="12"/>
  <c r="F89" i="12"/>
  <c r="E89" i="12"/>
  <c r="D89" i="12"/>
  <c r="C89" i="12"/>
  <c r="B89" i="12" a="1"/>
  <c r="B89" i="12" s="1"/>
  <c r="H88" i="12"/>
  <c r="F88" i="12"/>
  <c r="G88" i="12" s="1"/>
  <c r="E88" i="12"/>
  <c r="D88" i="12"/>
  <c r="C88" i="12"/>
  <c r="B88" i="12" a="1"/>
  <c r="B88" i="12" s="1"/>
  <c r="H87" i="12"/>
  <c r="F87" i="12"/>
  <c r="G87" i="12" s="1"/>
  <c r="E87" i="12"/>
  <c r="D87" i="12"/>
  <c r="C87" i="12"/>
  <c r="B87" i="12" a="1"/>
  <c r="B87" i="12" s="1"/>
  <c r="H86" i="12"/>
  <c r="G86" i="12"/>
  <c r="F86" i="12"/>
  <c r="E86" i="12"/>
  <c r="D86" i="12"/>
  <c r="C86" i="12"/>
  <c r="B86" i="12" a="1"/>
  <c r="B86" i="12"/>
  <c r="H85" i="12"/>
  <c r="G85" i="12"/>
  <c r="F85" i="12"/>
  <c r="E85" i="12"/>
  <c r="D85" i="12"/>
  <c r="C85" i="12"/>
  <c r="B85" i="12" a="1"/>
  <c r="B85" i="12" s="1"/>
  <c r="H84" i="12"/>
  <c r="F84" i="12"/>
  <c r="G84" i="12" s="1"/>
  <c r="E84" i="12"/>
  <c r="D84" i="12"/>
  <c r="C84" i="12"/>
  <c r="B84" i="12" a="1"/>
  <c r="B84" i="12"/>
  <c r="H83" i="12"/>
  <c r="F83" i="12"/>
  <c r="G83" i="12" s="1"/>
  <c r="E83" i="12"/>
  <c r="D83" i="12"/>
  <c r="C83" i="12"/>
  <c r="B83" i="12" a="1"/>
  <c r="B83" i="12" s="1"/>
  <c r="H82" i="12"/>
  <c r="F82" i="12"/>
  <c r="G82" i="12" s="1"/>
  <c r="E82" i="12"/>
  <c r="D82" i="12"/>
  <c r="C82" i="12"/>
  <c r="B82" i="12" a="1"/>
  <c r="B82" i="12" s="1"/>
  <c r="H81" i="12"/>
  <c r="G81" i="12"/>
  <c r="F81" i="12"/>
  <c r="E81" i="12"/>
  <c r="D81" i="12"/>
  <c r="C81" i="12"/>
  <c r="B81" i="12" a="1"/>
  <c r="B81" i="12" s="1"/>
  <c r="H80" i="12"/>
  <c r="G80" i="12"/>
  <c r="F80" i="12"/>
  <c r="E80" i="12"/>
  <c r="D80" i="12"/>
  <c r="C80" i="12"/>
  <c r="B80" i="12" a="1"/>
  <c r="B80" i="12" s="1"/>
  <c r="H79" i="12"/>
  <c r="F79" i="12"/>
  <c r="G79" i="12" s="1"/>
  <c r="E79" i="12"/>
  <c r="D79" i="12"/>
  <c r="C79" i="12"/>
  <c r="B79" i="12" a="1"/>
  <c r="B79" i="12" s="1"/>
  <c r="H78" i="12"/>
  <c r="F78" i="12"/>
  <c r="G78" i="12" s="1"/>
  <c r="E78" i="12"/>
  <c r="D78" i="12"/>
  <c r="C78" i="12"/>
  <c r="B78" i="12" a="1"/>
  <c r="B78" i="12"/>
  <c r="H77" i="12"/>
  <c r="F77" i="12"/>
  <c r="G77" i="12" s="1"/>
  <c r="E77" i="12"/>
  <c r="D77" i="12"/>
  <c r="C77" i="12"/>
  <c r="B77" i="12" a="1"/>
  <c r="B77" i="12" s="1"/>
  <c r="H76" i="12"/>
  <c r="F76" i="12"/>
  <c r="G76" i="12" s="1"/>
  <c r="E76" i="12"/>
  <c r="D76" i="12"/>
  <c r="C76" i="12"/>
  <c r="B76" i="12" a="1"/>
  <c r="B76" i="12" s="1"/>
  <c r="H75" i="12"/>
  <c r="G75" i="12"/>
  <c r="F75" i="12"/>
  <c r="E75" i="12"/>
  <c r="D75" i="12"/>
  <c r="C75" i="12"/>
  <c r="B75" i="12" a="1"/>
  <c r="B75" i="12" s="1"/>
  <c r="H74" i="12"/>
  <c r="G74" i="12"/>
  <c r="F74" i="12"/>
  <c r="E74" i="12"/>
  <c r="D74" i="12"/>
  <c r="C74" i="12"/>
  <c r="B74" i="12" a="1"/>
  <c r="B74" i="12"/>
  <c r="H73" i="12"/>
  <c r="F73" i="12"/>
  <c r="G73" i="12" s="1"/>
  <c r="E73" i="12"/>
  <c r="D73" i="12"/>
  <c r="C73" i="12"/>
  <c r="B73" i="12" a="1"/>
  <c r="B73" i="12" s="1"/>
  <c r="H72" i="12"/>
  <c r="F72" i="12"/>
  <c r="G72" i="12" s="1"/>
  <c r="E72" i="12"/>
  <c r="D72" i="12"/>
  <c r="C72" i="12"/>
  <c r="B72" i="12" a="1"/>
  <c r="B72" i="12"/>
  <c r="H71" i="12"/>
  <c r="F71" i="12"/>
  <c r="G71" i="12" s="1"/>
  <c r="E71" i="12"/>
  <c r="D71" i="12"/>
  <c r="C71" i="12"/>
  <c r="B71" i="12" a="1"/>
  <c r="B71" i="12" s="1"/>
  <c r="H70" i="12"/>
  <c r="G70" i="12"/>
  <c r="F70" i="12"/>
  <c r="E70" i="12"/>
  <c r="D70" i="12"/>
  <c r="C70" i="12"/>
  <c r="B70" i="12" a="1"/>
  <c r="B70" i="12" s="1"/>
  <c r="H69" i="12"/>
  <c r="G69" i="12"/>
  <c r="F69" i="12"/>
  <c r="E69" i="12"/>
  <c r="D69" i="12"/>
  <c r="C69" i="12"/>
  <c r="B69" i="12" a="1"/>
  <c r="B69" i="12" s="1"/>
  <c r="H68" i="12"/>
  <c r="F68" i="12"/>
  <c r="G68" i="12" s="1"/>
  <c r="E68" i="12"/>
  <c r="D68" i="12"/>
  <c r="C68" i="12"/>
  <c r="B68" i="12" a="1"/>
  <c r="B68" i="12"/>
  <c r="H67" i="12"/>
  <c r="G67" i="12"/>
  <c r="F67" i="12"/>
  <c r="E67" i="12"/>
  <c r="D67" i="12"/>
  <c r="C67" i="12"/>
  <c r="B67" i="12" a="1"/>
  <c r="B67" i="12" s="1"/>
  <c r="H66" i="12"/>
  <c r="G66" i="12"/>
  <c r="F66" i="12"/>
  <c r="E66" i="12"/>
  <c r="D66" i="12"/>
  <c r="C66" i="12"/>
  <c r="B66" i="12" a="1"/>
  <c r="B66" i="12"/>
  <c r="H65" i="12"/>
  <c r="F65" i="12"/>
  <c r="G65" i="12" s="1"/>
  <c r="E65" i="12"/>
  <c r="D65" i="12"/>
  <c r="C65" i="12"/>
  <c r="B65" i="12" a="1"/>
  <c r="B65" i="12" s="1"/>
  <c r="H64" i="12"/>
  <c r="F64" i="12"/>
  <c r="G64" i="12" s="1"/>
  <c r="E64" i="12"/>
  <c r="D64" i="12"/>
  <c r="C64" i="12"/>
  <c r="B64" i="12" a="1"/>
  <c r="B64" i="12" s="1"/>
  <c r="H63" i="12"/>
  <c r="G63" i="12"/>
  <c r="F63" i="12"/>
  <c r="E63" i="12"/>
  <c r="D63" i="12"/>
  <c r="C63" i="12"/>
  <c r="B63" i="12" a="1"/>
  <c r="B63" i="12" s="1"/>
  <c r="H62" i="12"/>
  <c r="F62" i="12"/>
  <c r="G62" i="12" s="1"/>
  <c r="E62" i="12"/>
  <c r="D62" i="12"/>
  <c r="C62" i="12"/>
  <c r="B62" i="12" a="1"/>
  <c r="B62" i="12"/>
  <c r="H61" i="12"/>
  <c r="G61" i="12"/>
  <c r="F61" i="12"/>
  <c r="E61" i="12"/>
  <c r="D61" i="12"/>
  <c r="C61" i="12"/>
  <c r="B61" i="12" a="1"/>
  <c r="B61" i="12" s="1"/>
  <c r="H60" i="12"/>
  <c r="G60" i="12"/>
  <c r="F60" i="12"/>
  <c r="E60" i="12"/>
  <c r="D60" i="12"/>
  <c r="C60" i="12"/>
  <c r="B60" i="12" a="1"/>
  <c r="B60" i="12" s="1"/>
  <c r="H59" i="12"/>
  <c r="F59" i="12"/>
  <c r="G59" i="12" s="1"/>
  <c r="E59" i="12"/>
  <c r="D59" i="12"/>
  <c r="C59" i="12"/>
  <c r="B59" i="12" a="1"/>
  <c r="B59" i="12" s="1"/>
  <c r="H58" i="12"/>
  <c r="G58" i="12"/>
  <c r="F58" i="12"/>
  <c r="E58" i="12"/>
  <c r="D58" i="12"/>
  <c r="C58" i="12"/>
  <c r="B58" i="12" a="1"/>
  <c r="B58" i="12"/>
  <c r="H57" i="12"/>
  <c r="G57" i="12"/>
  <c r="F57" i="12"/>
  <c r="E57" i="12"/>
  <c r="D57" i="12"/>
  <c r="C57" i="12"/>
  <c r="B57" i="12" a="1"/>
  <c r="B57" i="12" s="1"/>
  <c r="H56" i="12"/>
  <c r="F56" i="12"/>
  <c r="G56" i="12" s="1"/>
  <c r="E56" i="12"/>
  <c r="D56" i="12"/>
  <c r="C56" i="12"/>
  <c r="B56" i="12" a="1"/>
  <c r="B56" i="12" s="1"/>
  <c r="H55" i="12"/>
  <c r="F55" i="12"/>
  <c r="G55" i="12" s="1"/>
  <c r="E55" i="12"/>
  <c r="D55" i="12"/>
  <c r="C55" i="12"/>
  <c r="B55" i="12" a="1"/>
  <c r="B55" i="12" s="1"/>
  <c r="H54" i="12"/>
  <c r="G54" i="12"/>
  <c r="F54" i="12"/>
  <c r="E54" i="12"/>
  <c r="D54" i="12"/>
  <c r="C54" i="12"/>
  <c r="B54" i="12" a="1"/>
  <c r="B54" i="12"/>
  <c r="H53" i="12"/>
  <c r="G53" i="12"/>
  <c r="F53" i="12"/>
  <c r="E53" i="12"/>
  <c r="D53" i="12"/>
  <c r="C53" i="12"/>
  <c r="B53" i="12" a="1"/>
  <c r="B53" i="12" s="1"/>
  <c r="H52" i="12"/>
  <c r="F52" i="12"/>
  <c r="G52" i="12" s="1"/>
  <c r="E52" i="12"/>
  <c r="D52" i="12"/>
  <c r="C52" i="12"/>
  <c r="B52" i="12" a="1"/>
  <c r="B52" i="12"/>
  <c r="H51" i="12"/>
  <c r="F51" i="12"/>
  <c r="G51" i="12" s="1"/>
  <c r="E51" i="12"/>
  <c r="D51" i="12"/>
  <c r="C51" i="12"/>
  <c r="B51" i="12" a="1"/>
  <c r="B51" i="12" s="1"/>
  <c r="H50" i="12"/>
  <c r="G50" i="12"/>
  <c r="F50" i="12"/>
  <c r="E50" i="12"/>
  <c r="D50" i="12"/>
  <c r="C50" i="12"/>
  <c r="B50" i="12" a="1"/>
  <c r="B50" i="12" s="1"/>
  <c r="H49" i="12"/>
  <c r="G49" i="12"/>
  <c r="F49" i="12"/>
  <c r="E49" i="12"/>
  <c r="D49" i="12"/>
  <c r="C49" i="12"/>
  <c r="B49" i="12" a="1"/>
  <c r="B49" i="12" s="1"/>
  <c r="H48" i="12"/>
  <c r="G48" i="12"/>
  <c r="F48" i="12"/>
  <c r="E48" i="12"/>
  <c r="D48" i="12"/>
  <c r="C48" i="12"/>
  <c r="B48" i="12" a="1"/>
  <c r="B48" i="12"/>
  <c r="H47" i="12"/>
  <c r="F47" i="12"/>
  <c r="G47" i="12" s="1"/>
  <c r="E47" i="12"/>
  <c r="D47" i="12"/>
  <c r="C47" i="12"/>
  <c r="B47" i="12" a="1"/>
  <c r="B47" i="12" s="1"/>
  <c r="H46" i="12"/>
  <c r="F46" i="12"/>
  <c r="G46" i="12" s="1"/>
  <c r="E46" i="12"/>
  <c r="D46" i="12"/>
  <c r="C46" i="12"/>
  <c r="B46" i="12" a="1"/>
  <c r="B46" i="12"/>
  <c r="H45" i="12"/>
  <c r="F45" i="12"/>
  <c r="G45" i="12" s="1"/>
  <c r="E45" i="12"/>
  <c r="D45" i="12"/>
  <c r="C45" i="12"/>
  <c r="B45" i="12" a="1"/>
  <c r="B45" i="12" s="1"/>
  <c r="H44" i="12"/>
  <c r="F44" i="12"/>
  <c r="G44" i="12" s="1"/>
  <c r="E44" i="12"/>
  <c r="D44" i="12"/>
  <c r="C44" i="12"/>
  <c r="B44" i="12" a="1"/>
  <c r="B44" i="12" s="1"/>
  <c r="H43" i="12"/>
  <c r="G43" i="12"/>
  <c r="F43" i="12"/>
  <c r="E43" i="12"/>
  <c r="D43" i="12"/>
  <c r="C43" i="12"/>
  <c r="B43" i="12" a="1"/>
  <c r="B43" i="12" s="1"/>
  <c r="H42" i="12"/>
  <c r="G42" i="12"/>
  <c r="F42" i="12"/>
  <c r="E42" i="12"/>
  <c r="D42" i="12"/>
  <c r="C42" i="12"/>
  <c r="B42" i="12" a="1"/>
  <c r="B42" i="12"/>
  <c r="H41" i="12"/>
  <c r="F41" i="12"/>
  <c r="G41" i="12" s="1"/>
  <c r="E41" i="12"/>
  <c r="D41" i="12"/>
  <c r="C41" i="12"/>
  <c r="B41" i="12" a="1"/>
  <c r="B41" i="12" s="1"/>
  <c r="H40" i="12"/>
  <c r="F40" i="12"/>
  <c r="G40" i="12" s="1"/>
  <c r="E40" i="12"/>
  <c r="D40" i="12"/>
  <c r="C40" i="12"/>
  <c r="B40" i="12" a="1"/>
  <c r="B40" i="12"/>
  <c r="H39" i="12"/>
  <c r="F39" i="12"/>
  <c r="G39" i="12" s="1"/>
  <c r="E39" i="12"/>
  <c r="D39" i="12"/>
  <c r="C39" i="12"/>
  <c r="B39" i="12" a="1"/>
  <c r="B39" i="12" s="1"/>
  <c r="H38" i="12"/>
  <c r="G38" i="12"/>
  <c r="F38" i="12"/>
  <c r="E38" i="12"/>
  <c r="D38" i="12"/>
  <c r="C38" i="12"/>
  <c r="B38" i="12" a="1"/>
  <c r="B38" i="12" s="1"/>
  <c r="H37" i="12"/>
  <c r="G37" i="12"/>
  <c r="F37" i="12"/>
  <c r="E37" i="12"/>
  <c r="D37" i="12"/>
  <c r="C37" i="12"/>
  <c r="B37" i="12" a="1"/>
  <c r="B37" i="12" s="1"/>
  <c r="H36" i="12"/>
  <c r="F36" i="12"/>
  <c r="G36" i="12" s="1"/>
  <c r="E36" i="12"/>
  <c r="D36" i="12"/>
  <c r="C36" i="12"/>
  <c r="B36" i="12" a="1"/>
  <c r="B36" i="12"/>
  <c r="H35" i="12"/>
  <c r="F35" i="12"/>
  <c r="G35" i="12" s="1"/>
  <c r="E35" i="12"/>
  <c r="D35" i="12"/>
  <c r="C35" i="12"/>
  <c r="B35" i="12" a="1"/>
  <c r="B35" i="12" s="1"/>
  <c r="H34" i="12"/>
  <c r="G34" i="12"/>
  <c r="F34" i="12"/>
  <c r="E34" i="12"/>
  <c r="D34" i="12"/>
  <c r="C34" i="12"/>
  <c r="B34" i="12" a="1"/>
  <c r="B34" i="12"/>
  <c r="H33" i="12"/>
  <c r="G33" i="12"/>
  <c r="F33" i="12"/>
  <c r="E33" i="12"/>
  <c r="D33" i="12"/>
  <c r="C33" i="12"/>
  <c r="B33" i="12" a="1"/>
  <c r="B33" i="12" s="1"/>
  <c r="H32" i="12"/>
  <c r="F32" i="12"/>
  <c r="G32" i="12" s="1"/>
  <c r="E32" i="12"/>
  <c r="D32" i="12"/>
  <c r="C32" i="12"/>
  <c r="B32" i="12" a="1"/>
  <c r="B32" i="12" s="1"/>
  <c r="H31" i="12"/>
  <c r="F31" i="12"/>
  <c r="G31" i="12" s="1"/>
  <c r="E31" i="12"/>
  <c r="D31" i="12"/>
  <c r="C31" i="12"/>
  <c r="B31" i="12" a="1"/>
  <c r="B31" i="12" s="1"/>
  <c r="H30" i="12"/>
  <c r="F30" i="12"/>
  <c r="G30" i="12" s="1"/>
  <c r="E30" i="12"/>
  <c r="D30" i="12"/>
  <c r="C30" i="12"/>
  <c r="B30" i="12" a="1"/>
  <c r="B30" i="12" s="1"/>
  <c r="H29" i="12"/>
  <c r="G29" i="12"/>
  <c r="F29" i="12"/>
  <c r="E29" i="12"/>
  <c r="D29" i="12"/>
  <c r="C29" i="12"/>
  <c r="B29" i="12" a="1"/>
  <c r="B29" i="12" s="1"/>
  <c r="H28" i="12"/>
  <c r="G28" i="12"/>
  <c r="F28" i="12"/>
  <c r="E28" i="12"/>
  <c r="D28" i="12"/>
  <c r="C28" i="12"/>
  <c r="B28" i="12" a="1"/>
  <c r="B28" i="12" s="1"/>
  <c r="H27" i="12"/>
  <c r="F27" i="12"/>
  <c r="G27" i="12" s="1"/>
  <c r="E27" i="12"/>
  <c r="D27" i="12"/>
  <c r="C27" i="12"/>
  <c r="B27" i="12" a="1"/>
  <c r="B27" i="12" s="1"/>
  <c r="H26" i="12"/>
  <c r="F26" i="12"/>
  <c r="G26" i="12" s="1"/>
  <c r="E26" i="12"/>
  <c r="D26" i="12"/>
  <c r="C26" i="12"/>
  <c r="B26" i="12" a="1"/>
  <c r="B26" i="12"/>
  <c r="H25" i="12"/>
  <c r="G25" i="12"/>
  <c r="F25" i="12"/>
  <c r="E25" i="12"/>
  <c r="D25" i="12"/>
  <c r="C25" i="12"/>
  <c r="B25" i="12" a="1"/>
  <c r="B25" i="12" s="1"/>
  <c r="H24" i="12"/>
  <c r="F24" i="12"/>
  <c r="G24" i="12" s="1"/>
  <c r="E24" i="12"/>
  <c r="D24" i="12"/>
  <c r="C24" i="12"/>
  <c r="B24" i="12" a="1"/>
  <c r="B24" i="12" s="1"/>
  <c r="H23" i="12"/>
  <c r="G23" i="12"/>
  <c r="F23" i="12"/>
  <c r="E23" i="12"/>
  <c r="D23" i="12"/>
  <c r="C23" i="12"/>
  <c r="B23" i="12" a="1"/>
  <c r="B23" i="12" s="1"/>
  <c r="H22" i="12"/>
  <c r="G22" i="12"/>
  <c r="F22" i="12"/>
  <c r="E22" i="12"/>
  <c r="D22" i="12"/>
  <c r="C22" i="12"/>
  <c r="B22" i="12" a="1"/>
  <c r="B22" i="12"/>
  <c r="H21" i="12"/>
  <c r="G21" i="12"/>
  <c r="F21" i="12"/>
  <c r="E21" i="12"/>
  <c r="D21" i="12"/>
  <c r="C21" i="12"/>
  <c r="B21" i="12" a="1"/>
  <c r="B21" i="12" s="1"/>
  <c r="H20" i="12"/>
  <c r="G20" i="12"/>
  <c r="F20" i="12"/>
  <c r="E20" i="12"/>
  <c r="D20" i="12"/>
  <c r="C20" i="12"/>
  <c r="B20" i="12" a="1"/>
  <c r="B20" i="12"/>
  <c r="H19" i="12"/>
  <c r="F19" i="12"/>
  <c r="G19" i="12" s="1"/>
  <c r="E19" i="12"/>
  <c r="D19" i="12"/>
  <c r="C19" i="12"/>
  <c r="B19" i="12" a="1"/>
  <c r="B19" i="12" s="1"/>
  <c r="H18" i="12"/>
  <c r="F18" i="12"/>
  <c r="G18" i="12" s="1"/>
  <c r="E18" i="12"/>
  <c r="D18" i="12"/>
  <c r="C18" i="12"/>
  <c r="B18" i="12" a="1"/>
  <c r="B18" i="12" s="1"/>
  <c r="H17" i="12"/>
  <c r="G17" i="12"/>
  <c r="F17" i="12"/>
  <c r="E17" i="12"/>
  <c r="D17" i="12"/>
  <c r="C17" i="12"/>
  <c r="B17" i="12" a="1"/>
  <c r="B17" i="12" s="1"/>
  <c r="H16" i="12"/>
  <c r="G16" i="12"/>
  <c r="F16" i="12"/>
  <c r="E16" i="12"/>
  <c r="D16" i="12"/>
  <c r="C16" i="12"/>
  <c r="B16" i="12" a="1"/>
  <c r="B16" i="12"/>
  <c r="H15" i="12"/>
  <c r="G15" i="12"/>
  <c r="F15" i="12"/>
  <c r="E15" i="12"/>
  <c r="D15" i="12"/>
  <c r="C15" i="12"/>
  <c r="B15" i="12" a="1"/>
  <c r="B15" i="12" s="1"/>
  <c r="H14" i="12"/>
  <c r="F14" i="12"/>
  <c r="G14" i="12" s="1"/>
  <c r="E14" i="12"/>
  <c r="D14" i="12"/>
  <c r="C14" i="12"/>
  <c r="B14" i="12" a="1"/>
  <c r="B14" i="12"/>
  <c r="H13" i="12"/>
  <c r="F13" i="12"/>
  <c r="G13" i="12" s="1"/>
  <c r="E13" i="12"/>
  <c r="D13" i="12"/>
  <c r="C13" i="12"/>
  <c r="B13" i="12" a="1"/>
  <c r="B13" i="12" s="1"/>
  <c r="H12" i="12"/>
  <c r="G12" i="12"/>
  <c r="F12" i="12"/>
  <c r="E12" i="12"/>
  <c r="D12" i="12"/>
  <c r="C12" i="12"/>
  <c r="B12" i="12" a="1"/>
  <c r="B12" i="12" s="1"/>
  <c r="H11" i="12"/>
  <c r="G11" i="12"/>
  <c r="F11" i="12"/>
  <c r="E11" i="12"/>
  <c r="D11" i="12"/>
  <c r="C11" i="12"/>
  <c r="B11" i="12" a="1"/>
  <c r="B11" i="12" s="1"/>
  <c r="H10" i="12"/>
  <c r="G10" i="12"/>
  <c r="F10" i="12"/>
  <c r="E10" i="12"/>
  <c r="D10" i="12"/>
  <c r="C10" i="12"/>
  <c r="B10" i="12" a="1"/>
  <c r="B10" i="12" s="1"/>
  <c r="H9" i="12"/>
  <c r="F9" i="12"/>
  <c r="G9" i="12" s="1"/>
  <c r="E9" i="12"/>
  <c r="D9" i="12"/>
  <c r="C9" i="12"/>
  <c r="B9" i="12" a="1"/>
  <c r="B9" i="12" s="1"/>
  <c r="H8" i="12"/>
  <c r="F8" i="12"/>
  <c r="G8" i="12" s="1"/>
  <c r="E8" i="12"/>
  <c r="D8" i="12"/>
  <c r="C8" i="12"/>
  <c r="B8" i="12" a="1"/>
  <c r="B8" i="12"/>
  <c r="H7" i="12"/>
  <c r="F7" i="12"/>
  <c r="G7" i="12" s="1"/>
  <c r="E7" i="12"/>
  <c r="D7" i="12"/>
  <c r="C7" i="12"/>
  <c r="B7" i="12" a="1"/>
  <c r="B7" i="12" s="1"/>
  <c r="H6" i="12"/>
  <c r="G6" i="12"/>
  <c r="F6" i="12"/>
  <c r="E6" i="12"/>
  <c r="D6" i="12"/>
  <c r="C6" i="12"/>
  <c r="B6" i="12" a="1"/>
  <c r="B6" i="12" s="1"/>
  <c r="H5" i="12"/>
  <c r="G5" i="12"/>
  <c r="F5" i="12"/>
  <c r="E5" i="12"/>
  <c r="D5" i="12"/>
  <c r="C5" i="12"/>
  <c r="B5" i="12" a="1"/>
  <c r="B5" i="12" s="1"/>
  <c r="H4" i="12"/>
  <c r="G4" i="12"/>
  <c r="F4" i="12"/>
  <c r="E4" i="12"/>
  <c r="D4" i="12"/>
  <c r="C4" i="12"/>
  <c r="B4" i="12" a="1"/>
  <c r="B4" i="12"/>
  <c r="H3" i="12"/>
  <c r="F3" i="12"/>
  <c r="G3" i="12" s="1"/>
  <c r="E3" i="12"/>
  <c r="D3" i="12"/>
  <c r="C3" i="12"/>
  <c r="B3" i="12" a="1"/>
  <c r="B3" i="12" s="1"/>
  <c r="H2" i="12"/>
  <c r="F2" i="12"/>
  <c r="G2" i="12" s="1"/>
  <c r="E2" i="12"/>
  <c r="D2" i="12"/>
  <c r="C2" i="12"/>
  <c r="B2" i="12" a="1"/>
  <c r="B2" i="12" s="1"/>
  <c r="F46" i="11"/>
  <c r="S69" i="14" s="1"/>
  <c r="B144" i="14" s="1"/>
  <c r="C46" i="11"/>
  <c r="S68" i="14" s="1"/>
  <c r="B143" i="14" s="1"/>
  <c r="B46" i="11"/>
  <c r="F45" i="11"/>
  <c r="S67" i="14" s="1"/>
  <c r="B142" i="14" s="1"/>
  <c r="C45" i="11"/>
  <c r="S66" i="14" s="1"/>
  <c r="B141" i="14" s="1"/>
  <c r="B45" i="11"/>
  <c r="F44" i="11"/>
  <c r="S65" i="14" s="1"/>
  <c r="B140" i="14" s="1"/>
  <c r="C44" i="11"/>
  <c r="S64" i="14" s="1"/>
  <c r="B139" i="14" s="1"/>
  <c r="B44" i="11"/>
  <c r="C43" i="11"/>
  <c r="S63" i="14" s="1"/>
  <c r="B138" i="14" s="1"/>
  <c r="B43" i="11"/>
  <c r="F41" i="11"/>
  <c r="S60" i="14" s="1"/>
  <c r="B135" i="14" s="1"/>
  <c r="C41" i="11"/>
  <c r="S59" i="14" s="1"/>
  <c r="B134" i="14" s="1"/>
  <c r="B41" i="11"/>
  <c r="F40" i="11"/>
  <c r="S58" i="14" s="1"/>
  <c r="B133" i="14" s="1"/>
  <c r="C40" i="11"/>
  <c r="S57" i="14" s="1"/>
  <c r="B132" i="14" s="1"/>
  <c r="F39" i="11"/>
  <c r="S56" i="14" s="1"/>
  <c r="B131" i="14" s="1"/>
  <c r="C39" i="11"/>
  <c r="S55" i="14" s="1"/>
  <c r="B130" i="14" s="1"/>
  <c r="F38" i="11"/>
  <c r="S54" i="14" s="1"/>
  <c r="B129" i="14" s="1"/>
  <c r="C38" i="11"/>
  <c r="S53" i="14" s="1"/>
  <c r="B128" i="14" s="1"/>
  <c r="B38" i="11"/>
  <c r="F35" i="11"/>
  <c r="S52" i="14" s="1"/>
  <c r="B127" i="14" s="1"/>
  <c r="C35" i="11"/>
  <c r="S51" i="14" s="1"/>
  <c r="B126" i="14" s="1"/>
  <c r="F34" i="11"/>
  <c r="S50" i="14" s="1"/>
  <c r="B125" i="14" s="1"/>
  <c r="C34" i="11"/>
  <c r="F33" i="11"/>
  <c r="S48" i="14" s="1"/>
  <c r="B123" i="14" s="1"/>
  <c r="C33" i="11"/>
  <c r="S47" i="14" s="1"/>
  <c r="B122" i="14" s="1"/>
  <c r="B33" i="11"/>
  <c r="F32" i="11"/>
  <c r="S46" i="14" s="1"/>
  <c r="B121" i="14" s="1"/>
  <c r="C32" i="11"/>
  <c r="F31" i="11"/>
  <c r="S44" i="14" s="1"/>
  <c r="B119" i="14" s="1"/>
  <c r="C31" i="11"/>
  <c r="S43" i="14" s="1"/>
  <c r="B118" i="14" s="1"/>
  <c r="F30" i="11"/>
  <c r="S42" i="14" s="1"/>
  <c r="B117" i="14" s="1"/>
  <c r="C30" i="11"/>
  <c r="S41" i="14" s="1"/>
  <c r="B116" i="14" s="1"/>
  <c r="B30" i="11"/>
  <c r="F29" i="11"/>
  <c r="S40" i="14" s="1"/>
  <c r="B115" i="14" s="1"/>
  <c r="C29" i="11"/>
  <c r="S39" i="14" s="1"/>
  <c r="B114" i="14" s="1"/>
  <c r="B29" i="11"/>
  <c r="C28" i="11"/>
  <c r="S38" i="14" s="1"/>
  <c r="B113" i="14" s="1"/>
  <c r="B28" i="11"/>
  <c r="F24" i="11"/>
  <c r="S35" i="14" s="1"/>
  <c r="B110" i="14" s="1"/>
  <c r="C24" i="11"/>
  <c r="F23" i="11"/>
  <c r="S33" i="14" s="1"/>
  <c r="B108" i="14" s="1"/>
  <c r="C23" i="11"/>
  <c r="F22" i="11"/>
  <c r="S31" i="14" s="1"/>
  <c r="B106" i="14" s="1"/>
  <c r="C22" i="11"/>
  <c r="S30" i="14" s="1"/>
  <c r="B105" i="14" s="1"/>
  <c r="C21" i="11"/>
  <c r="S29" i="14" s="1"/>
  <c r="B104" i="14" s="1"/>
  <c r="F20" i="11"/>
  <c r="S28" i="14" s="1"/>
  <c r="B103" i="14" s="1"/>
  <c r="C20" i="11"/>
  <c r="S27" i="14" s="1"/>
  <c r="B102" i="14" s="1"/>
  <c r="F19" i="11"/>
  <c r="S26" i="14" s="1"/>
  <c r="B101" i="14" s="1"/>
  <c r="C19" i="11"/>
  <c r="S25" i="14" s="1"/>
  <c r="B100" i="14" s="1"/>
  <c r="F18" i="11"/>
  <c r="S24" i="14" s="1"/>
  <c r="B99" i="14" s="1"/>
  <c r="C18" i="11"/>
  <c r="S23" i="14" s="1"/>
  <c r="B98" i="14" s="1"/>
  <c r="F17" i="11"/>
  <c r="S22" i="14" s="1"/>
  <c r="B97" i="14" s="1"/>
  <c r="C17" i="11"/>
  <c r="F13" i="11"/>
  <c r="S18" i="14" s="1"/>
  <c r="B93" i="14" s="1"/>
  <c r="C13" i="11"/>
  <c r="S17" i="14" s="1"/>
  <c r="B92" i="14" s="1"/>
  <c r="F12" i="11"/>
  <c r="S16" i="14" s="1"/>
  <c r="B91" i="14" s="1"/>
  <c r="C12" i="11"/>
  <c r="S15" i="14" s="1"/>
  <c r="B90" i="14" s="1"/>
  <c r="F11" i="11"/>
  <c r="S14" i="14" s="1"/>
  <c r="B89" i="14" s="1"/>
  <c r="C11" i="11"/>
  <c r="S13" i="14" s="1"/>
  <c r="B88" i="14" s="1"/>
  <c r="B11" i="11"/>
  <c r="F10" i="11"/>
  <c r="S12" i="14" s="1"/>
  <c r="B87" i="14" s="1"/>
  <c r="C10" i="11"/>
  <c r="F9" i="11"/>
  <c r="S10" i="14" s="1"/>
  <c r="B85" i="14" s="1"/>
  <c r="C9" i="11"/>
  <c r="S9" i="14" s="1"/>
  <c r="B84" i="14" s="1"/>
  <c r="F8" i="11"/>
  <c r="S8" i="14" s="1"/>
  <c r="B83" i="14" s="1"/>
  <c r="C8" i="11"/>
  <c r="S7" i="14" s="1"/>
  <c r="B82" i="14" s="1"/>
  <c r="B8" i="11"/>
  <c r="F7" i="11"/>
  <c r="S6" i="14" s="1"/>
  <c r="B81" i="14" s="1"/>
  <c r="C7" i="11"/>
  <c r="S5" i="14" s="1"/>
  <c r="B80" i="14" s="1"/>
  <c r="C6" i="11"/>
  <c r="S4" i="14" s="1"/>
  <c r="B79" i="14" s="1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C325" i="10" s="1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C264" i="10" s="1"/>
  <c r="E289" i="4" s="1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C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C218" i="10" s="1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C143" i="10" s="1"/>
  <c r="E332" i="4" s="1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C112" i="10" s="1"/>
  <c r="E359" i="4" s="1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C82" i="10" s="1"/>
  <c r="J81" i="10"/>
  <c r="J80" i="10"/>
  <c r="C80" i="10" s="1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C72" i="10" s="1"/>
  <c r="E348" i="4" s="1"/>
  <c r="J11" i="10"/>
  <c r="J10" i="10"/>
  <c r="J9" i="10"/>
  <c r="J8" i="10"/>
  <c r="J7" i="10"/>
  <c r="J6" i="10"/>
  <c r="J5" i="10"/>
  <c r="J4" i="10"/>
  <c r="J3" i="10"/>
  <c r="J2" i="10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F367" i="4"/>
  <c r="G367" i="4" s="1"/>
  <c r="D367" i="4"/>
  <c r="H367" i="4" s="1"/>
  <c r="C367" i="4"/>
  <c r="B367" i="4"/>
  <c r="H366" i="4"/>
  <c r="F366" i="4"/>
  <c r="D366" i="4"/>
  <c r="C366" i="4"/>
  <c r="B366" i="4"/>
  <c r="G366" i="4" s="1"/>
  <c r="F365" i="4"/>
  <c r="C365" i="4"/>
  <c r="D365" i="4" s="1"/>
  <c r="H365" i="4" s="1"/>
  <c r="B365" i="4"/>
  <c r="G365" i="4" s="1"/>
  <c r="F364" i="4"/>
  <c r="C364" i="4"/>
  <c r="D364" i="4" s="1"/>
  <c r="H364" i="4" s="1"/>
  <c r="B364" i="4"/>
  <c r="G364" i="4" s="1"/>
  <c r="G363" i="4"/>
  <c r="F363" i="4"/>
  <c r="D363" i="4"/>
  <c r="H363" i="4" s="1"/>
  <c r="C363" i="4"/>
  <c r="B363" i="4"/>
  <c r="G362" i="4"/>
  <c r="F362" i="4"/>
  <c r="D362" i="4"/>
  <c r="H362" i="4" s="1"/>
  <c r="C362" i="4"/>
  <c r="B362" i="4"/>
  <c r="H361" i="4"/>
  <c r="F361" i="4"/>
  <c r="D361" i="4"/>
  <c r="C361" i="4"/>
  <c r="B361" i="4"/>
  <c r="G361" i="4" s="1"/>
  <c r="F360" i="4"/>
  <c r="D360" i="4"/>
  <c r="H360" i="4" s="1"/>
  <c r="C360" i="4"/>
  <c r="B360" i="4"/>
  <c r="G360" i="4" s="1"/>
  <c r="F359" i="4"/>
  <c r="C359" i="4"/>
  <c r="D359" i="4" s="1"/>
  <c r="H359" i="4" s="1"/>
  <c r="B359" i="4"/>
  <c r="G359" i="4" s="1"/>
  <c r="G358" i="4"/>
  <c r="F358" i="4"/>
  <c r="C358" i="4"/>
  <c r="D358" i="4" s="1"/>
  <c r="H358" i="4" s="1"/>
  <c r="B358" i="4"/>
  <c r="G357" i="4"/>
  <c r="F357" i="4"/>
  <c r="C357" i="4"/>
  <c r="D357" i="4" s="1"/>
  <c r="H357" i="4" s="1"/>
  <c r="B357" i="4"/>
  <c r="F356" i="4"/>
  <c r="C356" i="4"/>
  <c r="D356" i="4" s="1"/>
  <c r="H356" i="4" s="1"/>
  <c r="B356" i="4"/>
  <c r="G356" i="4" s="1"/>
  <c r="H355" i="4"/>
  <c r="F355" i="4"/>
  <c r="C355" i="4"/>
  <c r="D355" i="4" s="1"/>
  <c r="B355" i="4"/>
  <c r="G355" i="4" s="1"/>
  <c r="F354" i="4"/>
  <c r="G354" i="4" s="1"/>
  <c r="C354" i="4"/>
  <c r="D354" i="4" s="1"/>
  <c r="H354" i="4" s="1"/>
  <c r="B354" i="4"/>
  <c r="F353" i="4"/>
  <c r="C353" i="4"/>
  <c r="D353" i="4" s="1"/>
  <c r="B353" i="4"/>
  <c r="F352" i="4"/>
  <c r="G352" i="4" s="1"/>
  <c r="D352" i="4"/>
  <c r="H352" i="4" s="1"/>
  <c r="C352" i="4"/>
  <c r="B352" i="4"/>
  <c r="F351" i="4"/>
  <c r="D351" i="4"/>
  <c r="H351" i="4" s="1"/>
  <c r="C351" i="4"/>
  <c r="B351" i="4"/>
  <c r="G351" i="4" s="1"/>
  <c r="H350" i="4"/>
  <c r="F350" i="4"/>
  <c r="D350" i="4"/>
  <c r="C350" i="4"/>
  <c r="B350" i="4"/>
  <c r="G350" i="4" s="1"/>
  <c r="F349" i="4"/>
  <c r="C349" i="4"/>
  <c r="D349" i="4" s="1"/>
  <c r="H349" i="4" s="1"/>
  <c r="B349" i="4"/>
  <c r="G349" i="4" s="1"/>
  <c r="F348" i="4"/>
  <c r="C348" i="4"/>
  <c r="D348" i="4" s="1"/>
  <c r="H348" i="4" s="1"/>
  <c r="B348" i="4"/>
  <c r="G348" i="4" s="1"/>
  <c r="G347" i="4"/>
  <c r="F347" i="4"/>
  <c r="D347" i="4"/>
  <c r="H347" i="4" s="1"/>
  <c r="C347" i="4"/>
  <c r="B347" i="4"/>
  <c r="G346" i="4"/>
  <c r="F346" i="4"/>
  <c r="D346" i="4"/>
  <c r="H346" i="4" s="1"/>
  <c r="C346" i="4"/>
  <c r="B346" i="4"/>
  <c r="H345" i="4"/>
  <c r="G345" i="4"/>
  <c r="F345" i="4"/>
  <c r="D345" i="4"/>
  <c r="C345" i="4"/>
  <c r="B345" i="4"/>
  <c r="F344" i="4"/>
  <c r="D344" i="4"/>
  <c r="H344" i="4" s="1"/>
  <c r="C344" i="4"/>
  <c r="B344" i="4"/>
  <c r="G344" i="4" s="1"/>
  <c r="F343" i="4"/>
  <c r="C343" i="4"/>
  <c r="D343" i="4" s="1"/>
  <c r="H343" i="4" s="1"/>
  <c r="B343" i="4"/>
  <c r="G343" i="4" s="1"/>
  <c r="G342" i="4"/>
  <c r="F342" i="4"/>
  <c r="C342" i="4"/>
  <c r="D342" i="4" s="1"/>
  <c r="H342" i="4" s="1"/>
  <c r="B342" i="4"/>
  <c r="G341" i="4"/>
  <c r="F341" i="4"/>
  <c r="C341" i="4"/>
  <c r="D341" i="4" s="1"/>
  <c r="H341" i="4" s="1"/>
  <c r="B341" i="4"/>
  <c r="F340" i="4"/>
  <c r="C340" i="4"/>
  <c r="D340" i="4" s="1"/>
  <c r="H340" i="4" s="1"/>
  <c r="B340" i="4"/>
  <c r="G340" i="4" s="1"/>
  <c r="H339" i="4"/>
  <c r="F339" i="4"/>
  <c r="D339" i="4"/>
  <c r="C339" i="4"/>
  <c r="B339" i="4"/>
  <c r="G339" i="4" s="1"/>
  <c r="F338" i="4"/>
  <c r="G338" i="4" s="1"/>
  <c r="C338" i="4"/>
  <c r="D338" i="4" s="1"/>
  <c r="H338" i="4" s="1"/>
  <c r="B338" i="4"/>
  <c r="F337" i="4"/>
  <c r="C337" i="4"/>
  <c r="D337" i="4" s="1"/>
  <c r="H337" i="4" s="1"/>
  <c r="B337" i="4"/>
  <c r="F336" i="4"/>
  <c r="G336" i="4" s="1"/>
  <c r="D336" i="4"/>
  <c r="H336" i="4" s="1"/>
  <c r="C336" i="4"/>
  <c r="B336" i="4"/>
  <c r="F335" i="4"/>
  <c r="D335" i="4"/>
  <c r="H335" i="4" s="1"/>
  <c r="C335" i="4"/>
  <c r="B335" i="4"/>
  <c r="G335" i="4" s="1"/>
  <c r="H334" i="4"/>
  <c r="F334" i="4"/>
  <c r="D334" i="4"/>
  <c r="C334" i="4"/>
  <c r="B334" i="4"/>
  <c r="G334" i="4" s="1"/>
  <c r="F333" i="4"/>
  <c r="C333" i="4"/>
  <c r="D333" i="4" s="1"/>
  <c r="H333" i="4" s="1"/>
  <c r="B333" i="4"/>
  <c r="G333" i="4" s="1"/>
  <c r="F332" i="4"/>
  <c r="C332" i="4"/>
  <c r="D332" i="4" s="1"/>
  <c r="B332" i="4"/>
  <c r="G332" i="4" s="1"/>
  <c r="H331" i="4"/>
  <c r="G331" i="4"/>
  <c r="F331" i="4"/>
  <c r="D331" i="4"/>
  <c r="C331" i="4"/>
  <c r="B331" i="4"/>
  <c r="G330" i="4"/>
  <c r="F330" i="4"/>
  <c r="D330" i="4"/>
  <c r="H330" i="4" s="1"/>
  <c r="C330" i="4"/>
  <c r="B330" i="4"/>
  <c r="G329" i="4"/>
  <c r="F329" i="4"/>
  <c r="H329" i="4" s="1"/>
  <c r="D329" i="4"/>
  <c r="C329" i="4"/>
  <c r="B329" i="4"/>
  <c r="F328" i="4"/>
  <c r="D328" i="4"/>
  <c r="H328" i="4" s="1"/>
  <c r="C328" i="4"/>
  <c r="B328" i="4"/>
  <c r="G328" i="4" s="1"/>
  <c r="F327" i="4"/>
  <c r="G327" i="4" s="1"/>
  <c r="C327" i="4"/>
  <c r="D327" i="4" s="1"/>
  <c r="H327" i="4" s="1"/>
  <c r="B327" i="4"/>
  <c r="G326" i="4"/>
  <c r="F326" i="4"/>
  <c r="C326" i="4"/>
  <c r="D326" i="4" s="1"/>
  <c r="H326" i="4" s="1"/>
  <c r="B326" i="4"/>
  <c r="G325" i="4"/>
  <c r="F325" i="4"/>
  <c r="C325" i="4"/>
  <c r="D325" i="4" s="1"/>
  <c r="H325" i="4" s="1"/>
  <c r="B325" i="4"/>
  <c r="H324" i="4"/>
  <c r="F324" i="4"/>
  <c r="C324" i="4"/>
  <c r="D324" i="4" s="1"/>
  <c r="B324" i="4"/>
  <c r="G324" i="4" s="1"/>
  <c r="H323" i="4"/>
  <c r="F323" i="4"/>
  <c r="D323" i="4"/>
  <c r="C323" i="4"/>
  <c r="B323" i="4"/>
  <c r="G323" i="4" s="1"/>
  <c r="F322" i="4"/>
  <c r="G322" i="4" s="1"/>
  <c r="C322" i="4"/>
  <c r="D322" i="4" s="1"/>
  <c r="B322" i="4"/>
  <c r="F321" i="4"/>
  <c r="C321" i="4"/>
  <c r="D321" i="4" s="1"/>
  <c r="H321" i="4" s="1"/>
  <c r="B321" i="4"/>
  <c r="G321" i="4" s="1"/>
  <c r="F320" i="4"/>
  <c r="G320" i="4" s="1"/>
  <c r="D320" i="4"/>
  <c r="H320" i="4" s="1"/>
  <c r="C320" i="4"/>
  <c r="B320" i="4"/>
  <c r="F319" i="4"/>
  <c r="G319" i="4" s="1"/>
  <c r="D319" i="4"/>
  <c r="H319" i="4" s="1"/>
  <c r="C319" i="4"/>
  <c r="B319" i="4"/>
  <c r="H318" i="4"/>
  <c r="F318" i="4"/>
  <c r="D318" i="4"/>
  <c r="C318" i="4"/>
  <c r="B318" i="4"/>
  <c r="G318" i="4" s="1"/>
  <c r="F317" i="4"/>
  <c r="C317" i="4"/>
  <c r="D317" i="4" s="1"/>
  <c r="H317" i="4" s="1"/>
  <c r="B317" i="4"/>
  <c r="G317" i="4" s="1"/>
  <c r="F316" i="4"/>
  <c r="C316" i="4"/>
  <c r="D316" i="4" s="1"/>
  <c r="B316" i="4"/>
  <c r="G315" i="4"/>
  <c r="F315" i="4"/>
  <c r="C315" i="4"/>
  <c r="D315" i="4" s="1"/>
  <c r="H315" i="4" s="1"/>
  <c r="B315" i="4"/>
  <c r="G314" i="4"/>
  <c r="F314" i="4"/>
  <c r="D314" i="4"/>
  <c r="H314" i="4" s="1"/>
  <c r="C314" i="4"/>
  <c r="B314" i="4"/>
  <c r="H313" i="4"/>
  <c r="G313" i="4"/>
  <c r="F313" i="4"/>
  <c r="D313" i="4"/>
  <c r="C313" i="4"/>
  <c r="B313" i="4"/>
  <c r="F312" i="4"/>
  <c r="C312" i="4"/>
  <c r="D312" i="4" s="1"/>
  <c r="H312" i="4" s="1"/>
  <c r="B312" i="4"/>
  <c r="G312" i="4" s="1"/>
  <c r="F311" i="4"/>
  <c r="G311" i="4" s="1"/>
  <c r="C311" i="4"/>
  <c r="D311" i="4" s="1"/>
  <c r="H311" i="4" s="1"/>
  <c r="B311" i="4"/>
  <c r="G310" i="4"/>
  <c r="F310" i="4"/>
  <c r="C310" i="4"/>
  <c r="D310" i="4" s="1"/>
  <c r="H310" i="4" s="1"/>
  <c r="B310" i="4"/>
  <c r="G309" i="4"/>
  <c r="F309" i="4"/>
  <c r="C309" i="4"/>
  <c r="D309" i="4" s="1"/>
  <c r="H309" i="4" s="1"/>
  <c r="B309" i="4"/>
  <c r="F308" i="4"/>
  <c r="C308" i="4"/>
  <c r="D308" i="4" s="1"/>
  <c r="H308" i="4" s="1"/>
  <c r="B308" i="4"/>
  <c r="G308" i="4" s="1"/>
  <c r="H307" i="4"/>
  <c r="F307" i="4"/>
  <c r="D307" i="4"/>
  <c r="C307" i="4"/>
  <c r="B307" i="4"/>
  <c r="G307" i="4" s="1"/>
  <c r="F306" i="4"/>
  <c r="G306" i="4" s="1"/>
  <c r="C306" i="4"/>
  <c r="D306" i="4" s="1"/>
  <c r="B306" i="4"/>
  <c r="F305" i="4"/>
  <c r="C305" i="4"/>
  <c r="D305" i="4" s="1"/>
  <c r="H305" i="4" s="1"/>
  <c r="B305" i="4"/>
  <c r="F304" i="4"/>
  <c r="G304" i="4" s="1"/>
  <c r="D304" i="4"/>
  <c r="H304" i="4" s="1"/>
  <c r="C304" i="4"/>
  <c r="B304" i="4"/>
  <c r="F303" i="4"/>
  <c r="G303" i="4" s="1"/>
  <c r="D303" i="4"/>
  <c r="H303" i="4" s="1"/>
  <c r="C303" i="4"/>
  <c r="B303" i="4"/>
  <c r="H302" i="4"/>
  <c r="F302" i="4"/>
  <c r="D302" i="4"/>
  <c r="C302" i="4"/>
  <c r="B302" i="4"/>
  <c r="G302" i="4" s="1"/>
  <c r="F301" i="4"/>
  <c r="D301" i="4"/>
  <c r="H301" i="4" s="1"/>
  <c r="C301" i="4"/>
  <c r="B301" i="4"/>
  <c r="G301" i="4" s="1"/>
  <c r="F300" i="4"/>
  <c r="C300" i="4"/>
  <c r="D300" i="4" s="1"/>
  <c r="H300" i="4" s="1"/>
  <c r="B300" i="4"/>
  <c r="G300" i="4" s="1"/>
  <c r="H299" i="4"/>
  <c r="G299" i="4"/>
  <c r="F299" i="4"/>
  <c r="D299" i="4"/>
  <c r="C299" i="4"/>
  <c r="B299" i="4"/>
  <c r="G298" i="4"/>
  <c r="F298" i="4"/>
  <c r="D298" i="4"/>
  <c r="H298" i="4" s="1"/>
  <c r="C298" i="4"/>
  <c r="B298" i="4"/>
  <c r="H297" i="4"/>
  <c r="G297" i="4"/>
  <c r="F297" i="4"/>
  <c r="D297" i="4"/>
  <c r="C297" i="4"/>
  <c r="B297" i="4"/>
  <c r="F296" i="4"/>
  <c r="C296" i="4"/>
  <c r="D296" i="4" s="1"/>
  <c r="H296" i="4" s="1"/>
  <c r="B296" i="4"/>
  <c r="G296" i="4" s="1"/>
  <c r="F295" i="4"/>
  <c r="G295" i="4" s="1"/>
  <c r="C295" i="4"/>
  <c r="D295" i="4" s="1"/>
  <c r="H295" i="4" s="1"/>
  <c r="B295" i="4"/>
  <c r="G294" i="4"/>
  <c r="F294" i="4"/>
  <c r="C294" i="4"/>
  <c r="D294" i="4" s="1"/>
  <c r="H294" i="4" s="1"/>
  <c r="B294" i="4"/>
  <c r="F293" i="4"/>
  <c r="G293" i="4" s="1"/>
  <c r="C293" i="4"/>
  <c r="D293" i="4" s="1"/>
  <c r="B293" i="4"/>
  <c r="F292" i="4"/>
  <c r="C292" i="4"/>
  <c r="D292" i="4" s="1"/>
  <c r="H292" i="4" s="1"/>
  <c r="B292" i="4"/>
  <c r="G292" i="4" s="1"/>
  <c r="F291" i="4"/>
  <c r="D291" i="4"/>
  <c r="H291" i="4" s="1"/>
  <c r="C291" i="4"/>
  <c r="B291" i="4"/>
  <c r="G291" i="4" s="1"/>
  <c r="F290" i="4"/>
  <c r="G290" i="4" s="1"/>
  <c r="C290" i="4"/>
  <c r="D290" i="4" s="1"/>
  <c r="H290" i="4" s="1"/>
  <c r="B290" i="4"/>
  <c r="F289" i="4"/>
  <c r="C289" i="4"/>
  <c r="D289" i="4" s="1"/>
  <c r="B289" i="4"/>
  <c r="G289" i="4" s="1"/>
  <c r="G288" i="4"/>
  <c r="F288" i="4"/>
  <c r="D288" i="4"/>
  <c r="C288" i="4"/>
  <c r="B288" i="4"/>
  <c r="F287" i="4"/>
  <c r="G287" i="4" s="1"/>
  <c r="D287" i="4"/>
  <c r="H287" i="4" s="1"/>
  <c r="C287" i="4"/>
  <c r="B287" i="4"/>
  <c r="F286" i="4"/>
  <c r="D286" i="4"/>
  <c r="H286" i="4" s="1"/>
  <c r="C286" i="4"/>
  <c r="B286" i="4"/>
  <c r="G286" i="4" s="1"/>
  <c r="F285" i="4"/>
  <c r="C285" i="4"/>
  <c r="D285" i="4" s="1"/>
  <c r="H285" i="4" s="1"/>
  <c r="B285" i="4"/>
  <c r="G285" i="4" s="1"/>
  <c r="F284" i="4"/>
  <c r="C284" i="4"/>
  <c r="D284" i="4" s="1"/>
  <c r="H284" i="4" s="1"/>
  <c r="B284" i="4"/>
  <c r="G284" i="4" s="1"/>
  <c r="G283" i="4"/>
  <c r="F283" i="4"/>
  <c r="D283" i="4"/>
  <c r="H283" i="4" s="1"/>
  <c r="C283" i="4"/>
  <c r="B283" i="4"/>
  <c r="G282" i="4"/>
  <c r="F282" i="4"/>
  <c r="C282" i="4"/>
  <c r="D282" i="4" s="1"/>
  <c r="H282" i="4" s="1"/>
  <c r="B282" i="4"/>
  <c r="H281" i="4"/>
  <c r="G281" i="4"/>
  <c r="F281" i="4"/>
  <c r="D281" i="4"/>
  <c r="C281" i="4"/>
  <c r="B281" i="4"/>
  <c r="F280" i="4"/>
  <c r="C280" i="4"/>
  <c r="D280" i="4" s="1"/>
  <c r="H280" i="4" s="1"/>
  <c r="B280" i="4"/>
  <c r="G280" i="4" s="1"/>
  <c r="G279" i="4"/>
  <c r="F279" i="4"/>
  <c r="C279" i="4"/>
  <c r="D279" i="4" s="1"/>
  <c r="H279" i="4" s="1"/>
  <c r="B279" i="4"/>
  <c r="G278" i="4"/>
  <c r="F278" i="4"/>
  <c r="C278" i="4"/>
  <c r="D278" i="4" s="1"/>
  <c r="H278" i="4" s="1"/>
  <c r="B278" i="4"/>
  <c r="F277" i="4"/>
  <c r="C277" i="4"/>
  <c r="D277" i="4" s="1"/>
  <c r="H277" i="4" s="1"/>
  <c r="B277" i="4"/>
  <c r="G277" i="4" s="1"/>
  <c r="G276" i="4"/>
  <c r="F276" i="4"/>
  <c r="C276" i="4"/>
  <c r="D276" i="4" s="1"/>
  <c r="H276" i="4" s="1"/>
  <c r="B276" i="4"/>
  <c r="F275" i="4"/>
  <c r="D275" i="4"/>
  <c r="H275" i="4" s="1"/>
  <c r="C275" i="4"/>
  <c r="B275" i="4"/>
  <c r="G275" i="4" s="1"/>
  <c r="F274" i="4"/>
  <c r="G274" i="4" s="1"/>
  <c r="C274" i="4"/>
  <c r="D274" i="4" s="1"/>
  <c r="H274" i="4" s="1"/>
  <c r="B274" i="4"/>
  <c r="F273" i="4"/>
  <c r="H273" i="4" s="1"/>
  <c r="C273" i="4"/>
  <c r="D273" i="4" s="1"/>
  <c r="B273" i="4"/>
  <c r="F272" i="4"/>
  <c r="G272" i="4" s="1"/>
  <c r="C272" i="4"/>
  <c r="D272" i="4" s="1"/>
  <c r="H272" i="4" s="1"/>
  <c r="B272" i="4"/>
  <c r="H271" i="4"/>
  <c r="F271" i="4"/>
  <c r="G271" i="4" s="1"/>
  <c r="D271" i="4"/>
  <c r="C271" i="4"/>
  <c r="B271" i="4"/>
  <c r="F270" i="4"/>
  <c r="G270" i="4" s="1"/>
  <c r="D270" i="4"/>
  <c r="H270" i="4" s="1"/>
  <c r="C270" i="4"/>
  <c r="B270" i="4"/>
  <c r="F269" i="4"/>
  <c r="C269" i="4"/>
  <c r="D269" i="4" s="1"/>
  <c r="H269" i="4" s="1"/>
  <c r="B269" i="4"/>
  <c r="G269" i="4" s="1"/>
  <c r="F268" i="4"/>
  <c r="C268" i="4"/>
  <c r="D268" i="4" s="1"/>
  <c r="H268" i="4" s="1"/>
  <c r="B268" i="4"/>
  <c r="G268" i="4" s="1"/>
  <c r="H267" i="4"/>
  <c r="F267" i="4"/>
  <c r="D267" i="4"/>
  <c r="C267" i="4"/>
  <c r="B267" i="4"/>
  <c r="G267" i="4" s="1"/>
  <c r="G266" i="4"/>
  <c r="F266" i="4"/>
  <c r="C266" i="4"/>
  <c r="D266" i="4" s="1"/>
  <c r="H266" i="4" s="1"/>
  <c r="B266" i="4"/>
  <c r="G265" i="4"/>
  <c r="F265" i="4"/>
  <c r="H265" i="4" s="1"/>
  <c r="D265" i="4"/>
  <c r="C265" i="4"/>
  <c r="B265" i="4"/>
  <c r="F264" i="4"/>
  <c r="C264" i="4"/>
  <c r="D264" i="4" s="1"/>
  <c r="H264" i="4" s="1"/>
  <c r="B264" i="4"/>
  <c r="G264" i="4" s="1"/>
  <c r="G263" i="4"/>
  <c r="F263" i="4"/>
  <c r="C263" i="4"/>
  <c r="D263" i="4" s="1"/>
  <c r="H263" i="4" s="1"/>
  <c r="B263" i="4"/>
  <c r="F262" i="4"/>
  <c r="D262" i="4"/>
  <c r="H262" i="4" s="1"/>
  <c r="C262" i="4"/>
  <c r="B262" i="4"/>
  <c r="G262" i="4" s="1"/>
  <c r="F261" i="4"/>
  <c r="E261" i="4"/>
  <c r="D261" i="4"/>
  <c r="H261" i="4" s="1"/>
  <c r="C261" i="4"/>
  <c r="B261" i="4"/>
  <c r="G261" i="4" s="1"/>
  <c r="H260" i="4"/>
  <c r="G260" i="4"/>
  <c r="F260" i="4"/>
  <c r="D260" i="4"/>
  <c r="C260" i="4"/>
  <c r="B260" i="4"/>
  <c r="G259" i="4"/>
  <c r="F259" i="4"/>
  <c r="C259" i="4"/>
  <c r="D259" i="4" s="1"/>
  <c r="H259" i="4" s="1"/>
  <c r="B259" i="4"/>
  <c r="G258" i="4"/>
  <c r="F258" i="4"/>
  <c r="H258" i="4" s="1"/>
  <c r="C258" i="4"/>
  <c r="D258" i="4" s="1"/>
  <c r="B258" i="4"/>
  <c r="F257" i="4"/>
  <c r="D257" i="4"/>
  <c r="H257" i="4" s="1"/>
  <c r="C257" i="4"/>
  <c r="B257" i="4"/>
  <c r="G257" i="4" s="1"/>
  <c r="G256" i="4"/>
  <c r="F256" i="4"/>
  <c r="D256" i="4"/>
  <c r="H256" i="4" s="1"/>
  <c r="C256" i="4"/>
  <c r="B256" i="4"/>
  <c r="F255" i="4"/>
  <c r="D255" i="4"/>
  <c r="H255" i="4" s="1"/>
  <c r="C255" i="4"/>
  <c r="B255" i="4"/>
  <c r="G255" i="4" s="1"/>
  <c r="F254" i="4"/>
  <c r="D254" i="4"/>
  <c r="H254" i="4" s="1"/>
  <c r="C254" i="4"/>
  <c r="B254" i="4"/>
  <c r="G254" i="4" s="1"/>
  <c r="F253" i="4"/>
  <c r="C253" i="4"/>
  <c r="D253" i="4" s="1"/>
  <c r="H253" i="4" s="1"/>
  <c r="B253" i="4"/>
  <c r="F252" i="4"/>
  <c r="C252" i="4"/>
  <c r="D252" i="4" s="1"/>
  <c r="H252" i="4" s="1"/>
  <c r="B252" i="4"/>
  <c r="G252" i="4" s="1"/>
  <c r="F251" i="4"/>
  <c r="D251" i="4"/>
  <c r="H251" i="4" s="1"/>
  <c r="C251" i="4"/>
  <c r="B251" i="4"/>
  <c r="G251" i="4" s="1"/>
  <c r="F250" i="4"/>
  <c r="D250" i="4"/>
  <c r="H250" i="4" s="1"/>
  <c r="C250" i="4"/>
  <c r="B250" i="4"/>
  <c r="G250" i="4" s="1"/>
  <c r="G249" i="4"/>
  <c r="F249" i="4"/>
  <c r="D249" i="4"/>
  <c r="H249" i="4" s="1"/>
  <c r="C249" i="4"/>
  <c r="B249" i="4"/>
  <c r="F248" i="4"/>
  <c r="D248" i="4"/>
  <c r="H248" i="4" s="1"/>
  <c r="C248" i="4"/>
  <c r="B248" i="4"/>
  <c r="G248" i="4" s="1"/>
  <c r="F247" i="4"/>
  <c r="H247" i="4" s="1"/>
  <c r="D247" i="4"/>
  <c r="C247" i="4"/>
  <c r="B247" i="4"/>
  <c r="G247" i="4" s="1"/>
  <c r="H246" i="4"/>
  <c r="F246" i="4"/>
  <c r="D246" i="4"/>
  <c r="C246" i="4"/>
  <c r="B246" i="4"/>
  <c r="G246" i="4" s="1"/>
  <c r="G245" i="4"/>
  <c r="F245" i="4"/>
  <c r="C245" i="4"/>
  <c r="D245" i="4" s="1"/>
  <c r="H245" i="4" s="1"/>
  <c r="B245" i="4"/>
  <c r="G244" i="4"/>
  <c r="F244" i="4"/>
  <c r="C244" i="4"/>
  <c r="D244" i="4" s="1"/>
  <c r="H244" i="4" s="1"/>
  <c r="B244" i="4"/>
  <c r="G243" i="4"/>
  <c r="F243" i="4"/>
  <c r="C243" i="4"/>
  <c r="D243" i="4" s="1"/>
  <c r="H243" i="4" s="1"/>
  <c r="B243" i="4"/>
  <c r="H242" i="4"/>
  <c r="G242" i="4"/>
  <c r="F242" i="4"/>
  <c r="D242" i="4"/>
  <c r="C242" i="4"/>
  <c r="B242" i="4"/>
  <c r="F241" i="4"/>
  <c r="C241" i="4"/>
  <c r="D241" i="4" s="1"/>
  <c r="H241" i="4" s="1"/>
  <c r="B241" i="4"/>
  <c r="G241" i="4" s="1"/>
  <c r="F240" i="4"/>
  <c r="C240" i="4"/>
  <c r="D240" i="4" s="1"/>
  <c r="H240" i="4" s="1"/>
  <c r="B240" i="4"/>
  <c r="G240" i="4" s="1"/>
  <c r="F239" i="4"/>
  <c r="C239" i="4"/>
  <c r="D239" i="4" s="1"/>
  <c r="H239" i="4" s="1"/>
  <c r="B239" i="4"/>
  <c r="G239" i="4" s="1"/>
  <c r="F238" i="4"/>
  <c r="G238" i="4" s="1"/>
  <c r="D238" i="4"/>
  <c r="H238" i="4" s="1"/>
  <c r="C238" i="4"/>
  <c r="B238" i="4"/>
  <c r="G237" i="4"/>
  <c r="F237" i="4"/>
  <c r="C237" i="4"/>
  <c r="D237" i="4" s="1"/>
  <c r="H237" i="4" s="1"/>
  <c r="B237" i="4"/>
  <c r="F236" i="4"/>
  <c r="D236" i="4"/>
  <c r="H236" i="4" s="1"/>
  <c r="C236" i="4"/>
  <c r="B236" i="4"/>
  <c r="G236" i="4" s="1"/>
  <c r="F235" i="4"/>
  <c r="H235" i="4" s="1"/>
  <c r="D235" i="4"/>
  <c r="C235" i="4"/>
  <c r="B235" i="4"/>
  <c r="F234" i="4"/>
  <c r="D234" i="4"/>
  <c r="H234" i="4" s="1"/>
  <c r="C234" i="4"/>
  <c r="B234" i="4"/>
  <c r="G234" i="4" s="1"/>
  <c r="G233" i="4"/>
  <c r="F233" i="4"/>
  <c r="D233" i="4"/>
  <c r="H233" i="4" s="1"/>
  <c r="C233" i="4"/>
  <c r="B233" i="4"/>
  <c r="F232" i="4"/>
  <c r="D232" i="4"/>
  <c r="H232" i="4" s="1"/>
  <c r="C232" i="4"/>
  <c r="B232" i="4"/>
  <c r="G232" i="4" s="1"/>
  <c r="F231" i="4"/>
  <c r="D231" i="4"/>
  <c r="H231" i="4" s="1"/>
  <c r="C231" i="4"/>
  <c r="B231" i="4"/>
  <c r="G231" i="4" s="1"/>
  <c r="F230" i="4"/>
  <c r="C230" i="4"/>
  <c r="D230" i="4" s="1"/>
  <c r="H230" i="4" s="1"/>
  <c r="B230" i="4"/>
  <c r="G230" i="4" s="1"/>
  <c r="G229" i="4"/>
  <c r="F229" i="4"/>
  <c r="C229" i="4"/>
  <c r="D229" i="4" s="1"/>
  <c r="H229" i="4" s="1"/>
  <c r="B229" i="4"/>
  <c r="G228" i="4"/>
  <c r="F228" i="4"/>
  <c r="C228" i="4"/>
  <c r="D228" i="4" s="1"/>
  <c r="H228" i="4" s="1"/>
  <c r="B228" i="4"/>
  <c r="G227" i="4"/>
  <c r="F227" i="4"/>
  <c r="C227" i="4"/>
  <c r="D227" i="4" s="1"/>
  <c r="H227" i="4" s="1"/>
  <c r="B227" i="4"/>
  <c r="H226" i="4"/>
  <c r="G226" i="4"/>
  <c r="F226" i="4"/>
  <c r="D226" i="4"/>
  <c r="C226" i="4"/>
  <c r="B226" i="4"/>
  <c r="F225" i="4"/>
  <c r="C225" i="4"/>
  <c r="D225" i="4" s="1"/>
  <c r="H225" i="4" s="1"/>
  <c r="B225" i="4"/>
  <c r="G225" i="4" s="1"/>
  <c r="F224" i="4"/>
  <c r="C224" i="4"/>
  <c r="D224" i="4" s="1"/>
  <c r="H224" i="4" s="1"/>
  <c r="B224" i="4"/>
  <c r="G224" i="4" s="1"/>
  <c r="F223" i="4"/>
  <c r="C223" i="4"/>
  <c r="D223" i="4" s="1"/>
  <c r="H223" i="4" s="1"/>
  <c r="B223" i="4"/>
  <c r="G223" i="4" s="1"/>
  <c r="F222" i="4"/>
  <c r="G222" i="4" s="1"/>
  <c r="D222" i="4"/>
  <c r="H222" i="4" s="1"/>
  <c r="C222" i="4"/>
  <c r="B222" i="4"/>
  <c r="G221" i="4"/>
  <c r="F221" i="4"/>
  <c r="C221" i="4"/>
  <c r="D221" i="4" s="1"/>
  <c r="H221" i="4" s="1"/>
  <c r="B221" i="4"/>
  <c r="F220" i="4"/>
  <c r="D220" i="4"/>
  <c r="H220" i="4" s="1"/>
  <c r="C220" i="4"/>
  <c r="B220" i="4"/>
  <c r="G220" i="4" s="1"/>
  <c r="F219" i="4"/>
  <c r="D219" i="4"/>
  <c r="H219" i="4" s="1"/>
  <c r="C219" i="4"/>
  <c r="B219" i="4"/>
  <c r="G219" i="4" s="1"/>
  <c r="F218" i="4"/>
  <c r="D218" i="4"/>
  <c r="H218" i="4" s="1"/>
  <c r="C218" i="4"/>
  <c r="B218" i="4"/>
  <c r="G218" i="4" s="1"/>
  <c r="G217" i="4"/>
  <c r="F217" i="4"/>
  <c r="D217" i="4"/>
  <c r="H217" i="4" s="1"/>
  <c r="C217" i="4"/>
  <c r="B217" i="4"/>
  <c r="F216" i="4"/>
  <c r="D216" i="4"/>
  <c r="H216" i="4" s="1"/>
  <c r="C216" i="4"/>
  <c r="B216" i="4"/>
  <c r="G216" i="4" s="1"/>
  <c r="F215" i="4"/>
  <c r="D215" i="4"/>
  <c r="H215" i="4" s="1"/>
  <c r="C215" i="4"/>
  <c r="B215" i="4"/>
  <c r="G215" i="4" s="1"/>
  <c r="H214" i="4"/>
  <c r="G214" i="4"/>
  <c r="F214" i="4"/>
  <c r="D214" i="4"/>
  <c r="C214" i="4"/>
  <c r="B214" i="4"/>
  <c r="G213" i="4"/>
  <c r="F213" i="4"/>
  <c r="C213" i="4"/>
  <c r="D213" i="4" s="1"/>
  <c r="H213" i="4" s="1"/>
  <c r="B213" i="4"/>
  <c r="G212" i="4"/>
  <c r="F212" i="4"/>
  <c r="C212" i="4"/>
  <c r="D212" i="4" s="1"/>
  <c r="H212" i="4" s="1"/>
  <c r="B212" i="4"/>
  <c r="G211" i="4"/>
  <c r="F211" i="4"/>
  <c r="C211" i="4"/>
  <c r="D211" i="4" s="1"/>
  <c r="H211" i="4" s="1"/>
  <c r="B211" i="4"/>
  <c r="G210" i="4"/>
  <c r="F210" i="4"/>
  <c r="C210" i="4"/>
  <c r="D210" i="4" s="1"/>
  <c r="H210" i="4" s="1"/>
  <c r="B210" i="4"/>
  <c r="F209" i="4"/>
  <c r="C209" i="4"/>
  <c r="D209" i="4" s="1"/>
  <c r="H209" i="4" s="1"/>
  <c r="B209" i="4"/>
  <c r="G209" i="4" s="1"/>
  <c r="F208" i="4"/>
  <c r="C208" i="4"/>
  <c r="D208" i="4" s="1"/>
  <c r="H208" i="4" s="1"/>
  <c r="B208" i="4"/>
  <c r="G208" i="4" s="1"/>
  <c r="F207" i="4"/>
  <c r="C207" i="4"/>
  <c r="D207" i="4" s="1"/>
  <c r="H207" i="4" s="1"/>
  <c r="B207" i="4"/>
  <c r="G207" i="4" s="1"/>
  <c r="F206" i="4"/>
  <c r="G206" i="4" s="1"/>
  <c r="E206" i="4"/>
  <c r="D206" i="4"/>
  <c r="H206" i="4" s="1"/>
  <c r="C206" i="4"/>
  <c r="B206" i="4"/>
  <c r="G205" i="4"/>
  <c r="F205" i="4"/>
  <c r="C205" i="4"/>
  <c r="D205" i="4" s="1"/>
  <c r="H205" i="4" s="1"/>
  <c r="B205" i="4"/>
  <c r="F204" i="4"/>
  <c r="D204" i="4"/>
  <c r="H204" i="4" s="1"/>
  <c r="C204" i="4"/>
  <c r="B204" i="4"/>
  <c r="G204" i="4" s="1"/>
  <c r="F203" i="4"/>
  <c r="D203" i="4"/>
  <c r="H203" i="4" s="1"/>
  <c r="C203" i="4"/>
  <c r="B203" i="4"/>
  <c r="G203" i="4" s="1"/>
  <c r="F202" i="4"/>
  <c r="D202" i="4"/>
  <c r="H202" i="4" s="1"/>
  <c r="C202" i="4"/>
  <c r="B202" i="4"/>
  <c r="G202" i="4" s="1"/>
  <c r="F201" i="4"/>
  <c r="D201" i="4"/>
  <c r="H201" i="4" s="1"/>
  <c r="C201" i="4"/>
  <c r="B201" i="4"/>
  <c r="G201" i="4" s="1"/>
  <c r="F200" i="4"/>
  <c r="D200" i="4"/>
  <c r="H200" i="4" s="1"/>
  <c r="C200" i="4"/>
  <c r="B200" i="4"/>
  <c r="G200" i="4" s="1"/>
  <c r="F199" i="4"/>
  <c r="D199" i="4"/>
  <c r="H199" i="4" s="1"/>
  <c r="C199" i="4"/>
  <c r="B199" i="4"/>
  <c r="G199" i="4" s="1"/>
  <c r="H198" i="4"/>
  <c r="G198" i="4"/>
  <c r="F198" i="4"/>
  <c r="D198" i="4"/>
  <c r="C198" i="4"/>
  <c r="B198" i="4"/>
  <c r="G197" i="4"/>
  <c r="F197" i="4"/>
  <c r="C197" i="4"/>
  <c r="D197" i="4" s="1"/>
  <c r="H197" i="4" s="1"/>
  <c r="B197" i="4"/>
  <c r="G196" i="4"/>
  <c r="F196" i="4"/>
  <c r="C196" i="4"/>
  <c r="D196" i="4" s="1"/>
  <c r="H196" i="4" s="1"/>
  <c r="B196" i="4"/>
  <c r="G195" i="4"/>
  <c r="F195" i="4"/>
  <c r="C195" i="4"/>
  <c r="D195" i="4" s="1"/>
  <c r="H195" i="4" s="1"/>
  <c r="B195" i="4"/>
  <c r="G194" i="4"/>
  <c r="F194" i="4"/>
  <c r="C194" i="4"/>
  <c r="D194" i="4" s="1"/>
  <c r="H194" i="4" s="1"/>
  <c r="B194" i="4"/>
  <c r="F193" i="4"/>
  <c r="C193" i="4"/>
  <c r="D193" i="4" s="1"/>
  <c r="H193" i="4" s="1"/>
  <c r="B193" i="4"/>
  <c r="G193" i="4" s="1"/>
  <c r="F192" i="4"/>
  <c r="C192" i="4"/>
  <c r="D192" i="4" s="1"/>
  <c r="H192" i="4" s="1"/>
  <c r="B192" i="4"/>
  <c r="G192" i="4" s="1"/>
  <c r="G191" i="4"/>
  <c r="F191" i="4"/>
  <c r="C191" i="4"/>
  <c r="D191" i="4" s="1"/>
  <c r="H191" i="4" s="1"/>
  <c r="B191" i="4"/>
  <c r="H190" i="4"/>
  <c r="F190" i="4"/>
  <c r="G190" i="4" s="1"/>
  <c r="D190" i="4"/>
  <c r="C190" i="4"/>
  <c r="B190" i="4"/>
  <c r="F189" i="4"/>
  <c r="G189" i="4" s="1"/>
  <c r="C189" i="4"/>
  <c r="D189" i="4" s="1"/>
  <c r="H189" i="4" s="1"/>
  <c r="B189" i="4"/>
  <c r="F188" i="4"/>
  <c r="H188" i="4" s="1"/>
  <c r="D188" i="4"/>
  <c r="C188" i="4"/>
  <c r="B188" i="4"/>
  <c r="G188" i="4" s="1"/>
  <c r="F187" i="4"/>
  <c r="D187" i="4"/>
  <c r="H187" i="4" s="1"/>
  <c r="C187" i="4"/>
  <c r="B187" i="4"/>
  <c r="G187" i="4" s="1"/>
  <c r="F186" i="4"/>
  <c r="D186" i="4"/>
  <c r="H186" i="4" s="1"/>
  <c r="C186" i="4"/>
  <c r="B186" i="4"/>
  <c r="G186" i="4" s="1"/>
  <c r="F185" i="4"/>
  <c r="D185" i="4"/>
  <c r="H185" i="4" s="1"/>
  <c r="C185" i="4"/>
  <c r="B185" i="4"/>
  <c r="G185" i="4" s="1"/>
  <c r="F184" i="4"/>
  <c r="D184" i="4"/>
  <c r="H184" i="4" s="1"/>
  <c r="C184" i="4"/>
  <c r="B184" i="4"/>
  <c r="G184" i="4" s="1"/>
  <c r="F183" i="4"/>
  <c r="D183" i="4"/>
  <c r="H183" i="4" s="1"/>
  <c r="C183" i="4"/>
  <c r="B183" i="4"/>
  <c r="G183" i="4" s="1"/>
  <c r="H182" i="4"/>
  <c r="G182" i="4"/>
  <c r="F182" i="4"/>
  <c r="D182" i="4"/>
  <c r="C182" i="4"/>
  <c r="B182" i="4"/>
  <c r="G181" i="4"/>
  <c r="F181" i="4"/>
  <c r="C181" i="4"/>
  <c r="D181" i="4" s="1"/>
  <c r="H181" i="4" s="1"/>
  <c r="B181" i="4"/>
  <c r="G180" i="4"/>
  <c r="F180" i="4"/>
  <c r="D180" i="4"/>
  <c r="H180" i="4" s="1"/>
  <c r="C180" i="4"/>
  <c r="B180" i="4"/>
  <c r="G179" i="4"/>
  <c r="F179" i="4"/>
  <c r="C179" i="4"/>
  <c r="D179" i="4" s="1"/>
  <c r="H179" i="4" s="1"/>
  <c r="B179" i="4"/>
  <c r="G178" i="4"/>
  <c r="F178" i="4"/>
  <c r="C178" i="4"/>
  <c r="D178" i="4" s="1"/>
  <c r="H178" i="4" s="1"/>
  <c r="B178" i="4"/>
  <c r="F177" i="4"/>
  <c r="C177" i="4"/>
  <c r="D177" i="4" s="1"/>
  <c r="H177" i="4" s="1"/>
  <c r="B177" i="4"/>
  <c r="G177" i="4" s="1"/>
  <c r="F176" i="4"/>
  <c r="C176" i="4"/>
  <c r="D176" i="4" s="1"/>
  <c r="H176" i="4" s="1"/>
  <c r="B176" i="4"/>
  <c r="G176" i="4" s="1"/>
  <c r="G175" i="4"/>
  <c r="F175" i="4"/>
  <c r="C175" i="4"/>
  <c r="D175" i="4" s="1"/>
  <c r="H175" i="4" s="1"/>
  <c r="B175" i="4"/>
  <c r="F174" i="4"/>
  <c r="G174" i="4" s="1"/>
  <c r="C174" i="4"/>
  <c r="D174" i="4" s="1"/>
  <c r="H174" i="4" s="1"/>
  <c r="B174" i="4"/>
  <c r="F173" i="4"/>
  <c r="G173" i="4" s="1"/>
  <c r="C173" i="4"/>
  <c r="D173" i="4" s="1"/>
  <c r="H173" i="4" s="1"/>
  <c r="B173" i="4"/>
  <c r="F172" i="4"/>
  <c r="H172" i="4" s="1"/>
  <c r="D172" i="4"/>
  <c r="C172" i="4"/>
  <c r="B172" i="4"/>
  <c r="G172" i="4" s="1"/>
  <c r="F171" i="4"/>
  <c r="G171" i="4" s="1"/>
  <c r="D171" i="4"/>
  <c r="H171" i="4" s="1"/>
  <c r="C171" i="4"/>
  <c r="B171" i="4"/>
  <c r="F170" i="4"/>
  <c r="D170" i="4"/>
  <c r="H170" i="4" s="1"/>
  <c r="C170" i="4"/>
  <c r="B170" i="4"/>
  <c r="G170" i="4" s="1"/>
  <c r="F169" i="4"/>
  <c r="D169" i="4"/>
  <c r="H169" i="4" s="1"/>
  <c r="C169" i="4"/>
  <c r="B169" i="4"/>
  <c r="G169" i="4" s="1"/>
  <c r="F168" i="4"/>
  <c r="D168" i="4"/>
  <c r="H168" i="4" s="1"/>
  <c r="C168" i="4"/>
  <c r="B168" i="4"/>
  <c r="G168" i="4" s="1"/>
  <c r="F167" i="4"/>
  <c r="D167" i="4"/>
  <c r="H167" i="4" s="1"/>
  <c r="C167" i="4"/>
  <c r="B167" i="4"/>
  <c r="G167" i="4" s="1"/>
  <c r="H166" i="4"/>
  <c r="G166" i="4"/>
  <c r="F166" i="4"/>
  <c r="D166" i="4"/>
  <c r="C166" i="4"/>
  <c r="B166" i="4"/>
  <c r="G165" i="4"/>
  <c r="F165" i="4"/>
  <c r="C165" i="4"/>
  <c r="D165" i="4" s="1"/>
  <c r="H165" i="4" s="1"/>
  <c r="B165" i="4"/>
  <c r="G164" i="4"/>
  <c r="F164" i="4"/>
  <c r="D164" i="4"/>
  <c r="H164" i="4" s="1"/>
  <c r="C164" i="4"/>
  <c r="B164" i="4"/>
  <c r="G163" i="4"/>
  <c r="F163" i="4"/>
  <c r="C163" i="4"/>
  <c r="D163" i="4" s="1"/>
  <c r="H163" i="4" s="1"/>
  <c r="B163" i="4"/>
  <c r="G162" i="4"/>
  <c r="F162" i="4"/>
  <c r="E162" i="4"/>
  <c r="C162" i="4"/>
  <c r="D162" i="4" s="1"/>
  <c r="H162" i="4" s="1"/>
  <c r="B162" i="4"/>
  <c r="F161" i="4"/>
  <c r="C161" i="4"/>
  <c r="D161" i="4" s="1"/>
  <c r="H161" i="4" s="1"/>
  <c r="B161" i="4"/>
  <c r="G161" i="4" s="1"/>
  <c r="F160" i="4"/>
  <c r="C160" i="4"/>
  <c r="D160" i="4" s="1"/>
  <c r="H160" i="4" s="1"/>
  <c r="B160" i="4"/>
  <c r="G160" i="4" s="1"/>
  <c r="G159" i="4"/>
  <c r="F159" i="4"/>
  <c r="C159" i="4"/>
  <c r="D159" i="4" s="1"/>
  <c r="H159" i="4" s="1"/>
  <c r="B159" i="4"/>
  <c r="F158" i="4"/>
  <c r="G158" i="4" s="1"/>
  <c r="C158" i="4"/>
  <c r="D158" i="4" s="1"/>
  <c r="H158" i="4" s="1"/>
  <c r="B158" i="4"/>
  <c r="F157" i="4"/>
  <c r="G157" i="4" s="1"/>
  <c r="C157" i="4"/>
  <c r="D157" i="4" s="1"/>
  <c r="H157" i="4" s="1"/>
  <c r="B157" i="4"/>
  <c r="F156" i="4"/>
  <c r="H156" i="4" s="1"/>
  <c r="D156" i="4"/>
  <c r="C156" i="4"/>
  <c r="B156" i="4"/>
  <c r="G156" i="4" s="1"/>
  <c r="F155" i="4"/>
  <c r="G155" i="4" s="1"/>
  <c r="D155" i="4"/>
  <c r="H155" i="4" s="1"/>
  <c r="C155" i="4"/>
  <c r="B155" i="4"/>
  <c r="F154" i="4"/>
  <c r="D154" i="4"/>
  <c r="H154" i="4" s="1"/>
  <c r="C154" i="4"/>
  <c r="B154" i="4"/>
  <c r="G154" i="4" s="1"/>
  <c r="F153" i="4"/>
  <c r="D153" i="4"/>
  <c r="H153" i="4" s="1"/>
  <c r="C153" i="4"/>
  <c r="B153" i="4"/>
  <c r="G153" i="4" s="1"/>
  <c r="F152" i="4"/>
  <c r="D152" i="4"/>
  <c r="H152" i="4" s="1"/>
  <c r="C152" i="4"/>
  <c r="B152" i="4"/>
  <c r="G152" i="4" s="1"/>
  <c r="F151" i="4"/>
  <c r="D151" i="4"/>
  <c r="H151" i="4" s="1"/>
  <c r="C151" i="4"/>
  <c r="B151" i="4"/>
  <c r="G151" i="4" s="1"/>
  <c r="H150" i="4"/>
  <c r="G150" i="4"/>
  <c r="F150" i="4"/>
  <c r="D150" i="4"/>
  <c r="C150" i="4"/>
  <c r="B150" i="4"/>
  <c r="G149" i="4"/>
  <c r="F149" i="4"/>
  <c r="C149" i="4"/>
  <c r="D149" i="4" s="1"/>
  <c r="H149" i="4" s="1"/>
  <c r="B149" i="4"/>
  <c r="G148" i="4"/>
  <c r="F148" i="4"/>
  <c r="D148" i="4"/>
  <c r="H148" i="4" s="1"/>
  <c r="C148" i="4"/>
  <c r="B148" i="4"/>
  <c r="G147" i="4"/>
  <c r="F147" i="4"/>
  <c r="C147" i="4"/>
  <c r="D147" i="4" s="1"/>
  <c r="H147" i="4" s="1"/>
  <c r="B147" i="4"/>
  <c r="G146" i="4"/>
  <c r="F146" i="4"/>
  <c r="C146" i="4"/>
  <c r="D146" i="4" s="1"/>
  <c r="H146" i="4" s="1"/>
  <c r="B146" i="4"/>
  <c r="G145" i="4"/>
  <c r="F145" i="4"/>
  <c r="C145" i="4"/>
  <c r="D145" i="4" s="1"/>
  <c r="H145" i="4" s="1"/>
  <c r="B145" i="4"/>
  <c r="F144" i="4"/>
  <c r="C144" i="4"/>
  <c r="D144" i="4" s="1"/>
  <c r="H144" i="4" s="1"/>
  <c r="B144" i="4"/>
  <c r="G144" i="4" s="1"/>
  <c r="G143" i="4"/>
  <c r="F143" i="4"/>
  <c r="C143" i="4"/>
  <c r="D143" i="4" s="1"/>
  <c r="H143" i="4" s="1"/>
  <c r="B143" i="4"/>
  <c r="F142" i="4"/>
  <c r="C142" i="4"/>
  <c r="D142" i="4" s="1"/>
  <c r="H142" i="4" s="1"/>
  <c r="B142" i="4"/>
  <c r="G142" i="4" s="1"/>
  <c r="F141" i="4"/>
  <c r="G141" i="4" s="1"/>
  <c r="C141" i="4"/>
  <c r="D141" i="4" s="1"/>
  <c r="H141" i="4" s="1"/>
  <c r="B141" i="4"/>
  <c r="F140" i="4"/>
  <c r="D140" i="4"/>
  <c r="H140" i="4" s="1"/>
  <c r="C140" i="4"/>
  <c r="B140" i="4"/>
  <c r="G140" i="4" s="1"/>
  <c r="F139" i="4"/>
  <c r="G139" i="4" s="1"/>
  <c r="D139" i="4"/>
  <c r="H139" i="4" s="1"/>
  <c r="C139" i="4"/>
  <c r="B139" i="4"/>
  <c r="F138" i="4"/>
  <c r="D138" i="4"/>
  <c r="H138" i="4" s="1"/>
  <c r="C138" i="4"/>
  <c r="B138" i="4"/>
  <c r="G138" i="4" s="1"/>
  <c r="F137" i="4"/>
  <c r="D137" i="4"/>
  <c r="H137" i="4" s="1"/>
  <c r="C137" i="4"/>
  <c r="B137" i="4"/>
  <c r="G137" i="4" s="1"/>
  <c r="F136" i="4"/>
  <c r="D136" i="4"/>
  <c r="H136" i="4" s="1"/>
  <c r="C136" i="4"/>
  <c r="B136" i="4"/>
  <c r="G136" i="4" s="1"/>
  <c r="F135" i="4"/>
  <c r="D135" i="4"/>
  <c r="H135" i="4" s="1"/>
  <c r="C135" i="4"/>
  <c r="B135" i="4"/>
  <c r="G135" i="4" s="1"/>
  <c r="H134" i="4"/>
  <c r="G134" i="4"/>
  <c r="F134" i="4"/>
  <c r="D134" i="4"/>
  <c r="C134" i="4"/>
  <c r="B134" i="4"/>
  <c r="G133" i="4"/>
  <c r="F133" i="4"/>
  <c r="C133" i="4"/>
  <c r="D133" i="4" s="1"/>
  <c r="H133" i="4" s="1"/>
  <c r="B133" i="4"/>
  <c r="G132" i="4"/>
  <c r="F132" i="4"/>
  <c r="D132" i="4"/>
  <c r="H132" i="4" s="1"/>
  <c r="C132" i="4"/>
  <c r="B132" i="4"/>
  <c r="G131" i="4"/>
  <c r="F131" i="4"/>
  <c r="C131" i="4"/>
  <c r="D131" i="4" s="1"/>
  <c r="H131" i="4" s="1"/>
  <c r="B131" i="4"/>
  <c r="F130" i="4"/>
  <c r="C130" i="4"/>
  <c r="D130" i="4" s="1"/>
  <c r="H130" i="4" s="1"/>
  <c r="B130" i="4"/>
  <c r="G130" i="4" s="1"/>
  <c r="G129" i="4"/>
  <c r="F129" i="4"/>
  <c r="C129" i="4"/>
  <c r="D129" i="4" s="1"/>
  <c r="H129" i="4" s="1"/>
  <c r="B129" i="4"/>
  <c r="F128" i="4"/>
  <c r="C128" i="4"/>
  <c r="D128" i="4" s="1"/>
  <c r="H128" i="4" s="1"/>
  <c r="B128" i="4"/>
  <c r="G128" i="4" s="1"/>
  <c r="G127" i="4"/>
  <c r="F127" i="4"/>
  <c r="C127" i="4"/>
  <c r="D127" i="4" s="1"/>
  <c r="H127" i="4" s="1"/>
  <c r="B127" i="4"/>
  <c r="F126" i="4"/>
  <c r="G126" i="4" s="1"/>
  <c r="C126" i="4"/>
  <c r="D126" i="4" s="1"/>
  <c r="H126" i="4" s="1"/>
  <c r="B126" i="4"/>
  <c r="F125" i="4"/>
  <c r="G125" i="4" s="1"/>
  <c r="C125" i="4"/>
  <c r="D125" i="4" s="1"/>
  <c r="H125" i="4" s="1"/>
  <c r="B125" i="4"/>
  <c r="F124" i="4"/>
  <c r="D124" i="4"/>
  <c r="H124" i="4" s="1"/>
  <c r="C124" i="4"/>
  <c r="B124" i="4"/>
  <c r="G124" i="4" s="1"/>
  <c r="F123" i="4"/>
  <c r="G123" i="4" s="1"/>
  <c r="D123" i="4"/>
  <c r="C123" i="4"/>
  <c r="B123" i="4"/>
  <c r="F122" i="4"/>
  <c r="D122" i="4"/>
  <c r="H122" i="4" s="1"/>
  <c r="C122" i="4"/>
  <c r="B122" i="4"/>
  <c r="G122" i="4" s="1"/>
  <c r="F121" i="4"/>
  <c r="D121" i="4"/>
  <c r="H121" i="4" s="1"/>
  <c r="C121" i="4"/>
  <c r="B121" i="4"/>
  <c r="G121" i="4" s="1"/>
  <c r="H120" i="4"/>
  <c r="F120" i="4"/>
  <c r="D120" i="4"/>
  <c r="C120" i="4"/>
  <c r="B120" i="4"/>
  <c r="G120" i="4" s="1"/>
  <c r="F119" i="4"/>
  <c r="D119" i="4"/>
  <c r="H119" i="4" s="1"/>
  <c r="C119" i="4"/>
  <c r="B119" i="4"/>
  <c r="G119" i="4" s="1"/>
  <c r="H118" i="4"/>
  <c r="G118" i="4"/>
  <c r="F118" i="4"/>
  <c r="D118" i="4"/>
  <c r="C118" i="4"/>
  <c r="B118" i="4"/>
  <c r="G117" i="4"/>
  <c r="F117" i="4"/>
  <c r="C117" i="4"/>
  <c r="D117" i="4" s="1"/>
  <c r="H117" i="4" s="1"/>
  <c r="B117" i="4"/>
  <c r="G116" i="4"/>
  <c r="F116" i="4"/>
  <c r="D116" i="4"/>
  <c r="H116" i="4" s="1"/>
  <c r="C116" i="4"/>
  <c r="B116" i="4"/>
  <c r="G115" i="4"/>
  <c r="F115" i="4"/>
  <c r="C115" i="4"/>
  <c r="D115" i="4" s="1"/>
  <c r="H115" i="4" s="1"/>
  <c r="B115" i="4"/>
  <c r="F114" i="4"/>
  <c r="C114" i="4"/>
  <c r="D114" i="4" s="1"/>
  <c r="H114" i="4" s="1"/>
  <c r="B114" i="4"/>
  <c r="G114" i="4" s="1"/>
  <c r="G113" i="4"/>
  <c r="F113" i="4"/>
  <c r="C113" i="4"/>
  <c r="D113" i="4" s="1"/>
  <c r="H113" i="4" s="1"/>
  <c r="B113" i="4"/>
  <c r="F112" i="4"/>
  <c r="C112" i="4"/>
  <c r="D112" i="4" s="1"/>
  <c r="H112" i="4" s="1"/>
  <c r="B112" i="4"/>
  <c r="G112" i="4" s="1"/>
  <c r="G111" i="4"/>
  <c r="F111" i="4"/>
  <c r="C111" i="4"/>
  <c r="D111" i="4" s="1"/>
  <c r="H111" i="4" s="1"/>
  <c r="B111" i="4"/>
  <c r="H110" i="4"/>
  <c r="F110" i="4"/>
  <c r="G110" i="4" s="1"/>
  <c r="D110" i="4"/>
  <c r="C110" i="4"/>
  <c r="B110" i="4"/>
  <c r="F109" i="4"/>
  <c r="G109" i="4" s="1"/>
  <c r="C109" i="4"/>
  <c r="D109" i="4" s="1"/>
  <c r="H109" i="4" s="1"/>
  <c r="B109" i="4"/>
  <c r="F108" i="4"/>
  <c r="D108" i="4"/>
  <c r="H108" i="4" s="1"/>
  <c r="C108" i="4"/>
  <c r="B108" i="4"/>
  <c r="G108" i="4" s="1"/>
  <c r="F107" i="4"/>
  <c r="D107" i="4"/>
  <c r="C107" i="4"/>
  <c r="B107" i="4"/>
  <c r="F106" i="4"/>
  <c r="D106" i="4"/>
  <c r="H106" i="4" s="1"/>
  <c r="C106" i="4"/>
  <c r="B106" i="4"/>
  <c r="G106" i="4" s="1"/>
  <c r="F105" i="4"/>
  <c r="D105" i="4"/>
  <c r="H105" i="4" s="1"/>
  <c r="C105" i="4"/>
  <c r="B105" i="4"/>
  <c r="G105" i="4" s="1"/>
  <c r="H104" i="4"/>
  <c r="F104" i="4"/>
  <c r="D104" i="4"/>
  <c r="C104" i="4"/>
  <c r="B104" i="4"/>
  <c r="G104" i="4" s="1"/>
  <c r="F103" i="4"/>
  <c r="D103" i="4"/>
  <c r="H103" i="4" s="1"/>
  <c r="C103" i="4"/>
  <c r="B103" i="4"/>
  <c r="G103" i="4" s="1"/>
  <c r="H102" i="4"/>
  <c r="G102" i="4"/>
  <c r="F102" i="4"/>
  <c r="D102" i="4"/>
  <c r="C102" i="4"/>
  <c r="B102" i="4"/>
  <c r="G101" i="4"/>
  <c r="F101" i="4"/>
  <c r="C101" i="4"/>
  <c r="D101" i="4" s="1"/>
  <c r="H101" i="4" s="1"/>
  <c r="B101" i="4"/>
  <c r="G100" i="4"/>
  <c r="F100" i="4"/>
  <c r="D100" i="4"/>
  <c r="H100" i="4" s="1"/>
  <c r="C100" i="4"/>
  <c r="B100" i="4"/>
  <c r="G99" i="4"/>
  <c r="F99" i="4"/>
  <c r="C99" i="4"/>
  <c r="D99" i="4" s="1"/>
  <c r="H99" i="4" s="1"/>
  <c r="B99" i="4"/>
  <c r="F98" i="4"/>
  <c r="C98" i="4"/>
  <c r="D98" i="4" s="1"/>
  <c r="H98" i="4" s="1"/>
  <c r="B98" i="4"/>
  <c r="G98" i="4" s="1"/>
  <c r="F97" i="4"/>
  <c r="C97" i="4"/>
  <c r="D97" i="4" s="1"/>
  <c r="H97" i="4" s="1"/>
  <c r="B97" i="4"/>
  <c r="G97" i="4" s="1"/>
  <c r="F96" i="4"/>
  <c r="C96" i="4"/>
  <c r="D96" i="4" s="1"/>
  <c r="H96" i="4" s="1"/>
  <c r="B96" i="4"/>
  <c r="G96" i="4" s="1"/>
  <c r="G95" i="4"/>
  <c r="F95" i="4"/>
  <c r="C95" i="4"/>
  <c r="D95" i="4" s="1"/>
  <c r="H95" i="4" s="1"/>
  <c r="B95" i="4"/>
  <c r="H94" i="4"/>
  <c r="F94" i="4"/>
  <c r="G94" i="4" s="1"/>
  <c r="D94" i="4"/>
  <c r="C94" i="4"/>
  <c r="B94" i="4"/>
  <c r="F93" i="4"/>
  <c r="G93" i="4" s="1"/>
  <c r="C93" i="4"/>
  <c r="D93" i="4" s="1"/>
  <c r="B93" i="4"/>
  <c r="F92" i="4"/>
  <c r="D92" i="4"/>
  <c r="H92" i="4" s="1"/>
  <c r="C92" i="4"/>
  <c r="B92" i="4"/>
  <c r="G92" i="4" s="1"/>
  <c r="F91" i="4"/>
  <c r="G91" i="4" s="1"/>
  <c r="D91" i="4"/>
  <c r="H91" i="4" s="1"/>
  <c r="C91" i="4"/>
  <c r="B91" i="4"/>
  <c r="F90" i="4"/>
  <c r="D90" i="4"/>
  <c r="H90" i="4" s="1"/>
  <c r="C90" i="4"/>
  <c r="B90" i="4"/>
  <c r="G90" i="4" s="1"/>
  <c r="F89" i="4"/>
  <c r="D89" i="4"/>
  <c r="H89" i="4" s="1"/>
  <c r="C89" i="4"/>
  <c r="B89" i="4"/>
  <c r="G89" i="4" s="1"/>
  <c r="H88" i="4"/>
  <c r="F88" i="4"/>
  <c r="D88" i="4"/>
  <c r="C88" i="4"/>
  <c r="B88" i="4"/>
  <c r="G88" i="4" s="1"/>
  <c r="F87" i="4"/>
  <c r="D87" i="4"/>
  <c r="H87" i="4" s="1"/>
  <c r="C87" i="4"/>
  <c r="B87" i="4"/>
  <c r="G87" i="4" s="1"/>
  <c r="G86" i="4"/>
  <c r="F86" i="4"/>
  <c r="C86" i="4"/>
  <c r="D86" i="4" s="1"/>
  <c r="H86" i="4" s="1"/>
  <c r="B86" i="4"/>
  <c r="G85" i="4"/>
  <c r="F85" i="4"/>
  <c r="C85" i="4"/>
  <c r="D85" i="4" s="1"/>
  <c r="H85" i="4" s="1"/>
  <c r="B85" i="4"/>
  <c r="F84" i="4"/>
  <c r="G84" i="4" s="1"/>
  <c r="D84" i="4"/>
  <c r="C84" i="4"/>
  <c r="B84" i="4"/>
  <c r="G83" i="4"/>
  <c r="F83" i="4"/>
  <c r="C83" i="4"/>
  <c r="D83" i="4" s="1"/>
  <c r="H83" i="4" s="1"/>
  <c r="B83" i="4"/>
  <c r="F82" i="4"/>
  <c r="C82" i="4"/>
  <c r="D82" i="4" s="1"/>
  <c r="H82" i="4" s="1"/>
  <c r="B82" i="4"/>
  <c r="G82" i="4" s="1"/>
  <c r="G81" i="4"/>
  <c r="F81" i="4"/>
  <c r="C81" i="4"/>
  <c r="D81" i="4" s="1"/>
  <c r="H81" i="4" s="1"/>
  <c r="B81" i="4"/>
  <c r="F80" i="4"/>
  <c r="C80" i="4"/>
  <c r="D80" i="4" s="1"/>
  <c r="H80" i="4" s="1"/>
  <c r="B80" i="4"/>
  <c r="G80" i="4" s="1"/>
  <c r="H79" i="4"/>
  <c r="G79" i="4"/>
  <c r="F79" i="4"/>
  <c r="C79" i="4"/>
  <c r="D79" i="4" s="1"/>
  <c r="B79" i="4"/>
  <c r="F78" i="4"/>
  <c r="G78" i="4" s="1"/>
  <c r="C78" i="4"/>
  <c r="D78" i="4" s="1"/>
  <c r="H78" i="4" s="1"/>
  <c r="B78" i="4"/>
  <c r="H77" i="4"/>
  <c r="F77" i="4"/>
  <c r="G77" i="4" s="1"/>
  <c r="C77" i="4"/>
  <c r="D77" i="4" s="1"/>
  <c r="B77" i="4"/>
  <c r="F76" i="4"/>
  <c r="H76" i="4" s="1"/>
  <c r="D76" i="4"/>
  <c r="C76" i="4"/>
  <c r="B76" i="4"/>
  <c r="F75" i="4"/>
  <c r="G75" i="4" s="1"/>
  <c r="D75" i="4"/>
  <c r="C75" i="4"/>
  <c r="B75" i="4"/>
  <c r="F74" i="4"/>
  <c r="D74" i="4"/>
  <c r="H74" i="4" s="1"/>
  <c r="C74" i="4"/>
  <c r="B74" i="4"/>
  <c r="G74" i="4" s="1"/>
  <c r="G73" i="4"/>
  <c r="F73" i="4"/>
  <c r="C73" i="4"/>
  <c r="D73" i="4" s="1"/>
  <c r="H73" i="4" s="1"/>
  <c r="B73" i="4"/>
  <c r="F72" i="4"/>
  <c r="D72" i="4"/>
  <c r="H72" i="4" s="1"/>
  <c r="C72" i="4"/>
  <c r="B72" i="4"/>
  <c r="G72" i="4" s="1"/>
  <c r="F71" i="4"/>
  <c r="D71" i="4"/>
  <c r="H71" i="4" s="1"/>
  <c r="C71" i="4"/>
  <c r="B71" i="4"/>
  <c r="G71" i="4" s="1"/>
  <c r="H70" i="4"/>
  <c r="G70" i="4"/>
  <c r="F70" i="4"/>
  <c r="D70" i="4"/>
  <c r="C70" i="4"/>
  <c r="B70" i="4"/>
  <c r="G69" i="4"/>
  <c r="F69" i="4"/>
  <c r="C69" i="4"/>
  <c r="D69" i="4" s="1"/>
  <c r="H69" i="4" s="1"/>
  <c r="B69" i="4"/>
  <c r="F68" i="4"/>
  <c r="G68" i="4" s="1"/>
  <c r="D68" i="4"/>
  <c r="C68" i="4"/>
  <c r="B68" i="4"/>
  <c r="G67" i="4"/>
  <c r="F67" i="4"/>
  <c r="C67" i="4"/>
  <c r="D67" i="4" s="1"/>
  <c r="H67" i="4" s="1"/>
  <c r="B67" i="4"/>
  <c r="H66" i="4"/>
  <c r="G66" i="4"/>
  <c r="F66" i="4"/>
  <c r="D66" i="4"/>
  <c r="C66" i="4"/>
  <c r="B66" i="4"/>
  <c r="G65" i="4"/>
  <c r="F65" i="4"/>
  <c r="E65" i="4"/>
  <c r="C65" i="4"/>
  <c r="D65" i="4" s="1"/>
  <c r="H65" i="4" s="1"/>
  <c r="B65" i="4"/>
  <c r="F64" i="4"/>
  <c r="C64" i="4"/>
  <c r="D64" i="4" s="1"/>
  <c r="H64" i="4" s="1"/>
  <c r="B64" i="4"/>
  <c r="G64" i="4" s="1"/>
  <c r="G63" i="4"/>
  <c r="F63" i="4"/>
  <c r="C63" i="4"/>
  <c r="D63" i="4" s="1"/>
  <c r="H63" i="4" s="1"/>
  <c r="B63" i="4"/>
  <c r="F62" i="4"/>
  <c r="G62" i="4" s="1"/>
  <c r="C62" i="4"/>
  <c r="D62" i="4" s="1"/>
  <c r="H62" i="4" s="1"/>
  <c r="B62" i="4"/>
  <c r="G61" i="4"/>
  <c r="F61" i="4"/>
  <c r="C61" i="4"/>
  <c r="D61" i="4" s="1"/>
  <c r="H61" i="4" s="1"/>
  <c r="B61" i="4"/>
  <c r="F60" i="4"/>
  <c r="D60" i="4"/>
  <c r="H60" i="4" s="1"/>
  <c r="C60" i="4"/>
  <c r="B60" i="4"/>
  <c r="F59" i="4"/>
  <c r="C59" i="4"/>
  <c r="D59" i="4" s="1"/>
  <c r="H59" i="4" s="1"/>
  <c r="B59" i="4"/>
  <c r="F58" i="4"/>
  <c r="D58" i="4"/>
  <c r="H58" i="4" s="1"/>
  <c r="C58" i="4"/>
  <c r="B58" i="4"/>
  <c r="F57" i="4"/>
  <c r="G57" i="4" s="1"/>
  <c r="D57" i="4"/>
  <c r="H57" i="4" s="1"/>
  <c r="C57" i="4"/>
  <c r="B57" i="4"/>
  <c r="F56" i="4"/>
  <c r="D56" i="4"/>
  <c r="H56" i="4" s="1"/>
  <c r="C56" i="4"/>
  <c r="B56" i="4"/>
  <c r="G55" i="4"/>
  <c r="F55" i="4"/>
  <c r="D55" i="4"/>
  <c r="H55" i="4" s="1"/>
  <c r="C55" i="4"/>
  <c r="B55" i="4"/>
  <c r="G54" i="4"/>
  <c r="F54" i="4"/>
  <c r="D54" i="4"/>
  <c r="H54" i="4" s="1"/>
  <c r="C54" i="4"/>
  <c r="B54" i="4"/>
  <c r="F53" i="4"/>
  <c r="C53" i="4"/>
  <c r="D53" i="4" s="1"/>
  <c r="H53" i="4" s="1"/>
  <c r="B53" i="4"/>
  <c r="G53" i="4" s="1"/>
  <c r="F52" i="4"/>
  <c r="D52" i="4"/>
  <c r="C52" i="4"/>
  <c r="B52" i="4"/>
  <c r="G52" i="4" s="1"/>
  <c r="F51" i="4"/>
  <c r="C51" i="4"/>
  <c r="D51" i="4" s="1"/>
  <c r="H51" i="4" s="1"/>
  <c r="B51" i="4"/>
  <c r="G51" i="4" s="1"/>
  <c r="G50" i="4"/>
  <c r="F50" i="4"/>
  <c r="D50" i="4"/>
  <c r="H50" i="4" s="1"/>
  <c r="C50" i="4"/>
  <c r="B50" i="4"/>
  <c r="F49" i="4"/>
  <c r="C49" i="4"/>
  <c r="D49" i="4" s="1"/>
  <c r="B49" i="4"/>
  <c r="G49" i="4" s="1"/>
  <c r="F48" i="4"/>
  <c r="C48" i="4"/>
  <c r="D48" i="4" s="1"/>
  <c r="H48" i="4" s="1"/>
  <c r="B48" i="4"/>
  <c r="G48" i="4" s="1"/>
  <c r="G47" i="4"/>
  <c r="F47" i="4"/>
  <c r="D47" i="4"/>
  <c r="H47" i="4" s="1"/>
  <c r="C47" i="4"/>
  <c r="B47" i="4"/>
  <c r="G46" i="4"/>
  <c r="F46" i="4"/>
  <c r="C46" i="4"/>
  <c r="D46" i="4" s="1"/>
  <c r="H46" i="4" s="1"/>
  <c r="B46" i="4"/>
  <c r="G45" i="4"/>
  <c r="F45" i="4"/>
  <c r="C45" i="4"/>
  <c r="D45" i="4" s="1"/>
  <c r="H45" i="4" s="1"/>
  <c r="B45" i="4"/>
  <c r="F44" i="4"/>
  <c r="C44" i="4"/>
  <c r="D44" i="4" s="1"/>
  <c r="H44" i="4" s="1"/>
  <c r="B44" i="4"/>
  <c r="G44" i="4" s="1"/>
  <c r="F43" i="4"/>
  <c r="D43" i="4"/>
  <c r="H43" i="4" s="1"/>
  <c r="C43" i="4"/>
  <c r="B43" i="4"/>
  <c r="G43" i="4" s="1"/>
  <c r="F42" i="4"/>
  <c r="C42" i="4"/>
  <c r="D42" i="4" s="1"/>
  <c r="H42" i="4" s="1"/>
  <c r="B42" i="4"/>
  <c r="G42" i="4" s="1"/>
  <c r="H41" i="4"/>
  <c r="F41" i="4"/>
  <c r="D41" i="4"/>
  <c r="C41" i="4"/>
  <c r="B41" i="4"/>
  <c r="G41" i="4" s="1"/>
  <c r="F40" i="4"/>
  <c r="H40" i="4" s="1"/>
  <c r="D40" i="4"/>
  <c r="C40" i="4"/>
  <c r="B40" i="4"/>
  <c r="H39" i="4"/>
  <c r="F39" i="4"/>
  <c r="D39" i="4"/>
  <c r="C39" i="4"/>
  <c r="B39" i="4"/>
  <c r="G39" i="4" s="1"/>
  <c r="F38" i="4"/>
  <c r="C38" i="4"/>
  <c r="D38" i="4" s="1"/>
  <c r="H38" i="4" s="1"/>
  <c r="B38" i="4"/>
  <c r="G38" i="4" s="1"/>
  <c r="G37" i="4"/>
  <c r="F37" i="4"/>
  <c r="D37" i="4"/>
  <c r="H37" i="4" s="1"/>
  <c r="C37" i="4"/>
  <c r="B37" i="4"/>
  <c r="F36" i="4"/>
  <c r="G36" i="4" s="1"/>
  <c r="D36" i="4"/>
  <c r="C36" i="4"/>
  <c r="B36" i="4"/>
  <c r="G35" i="4"/>
  <c r="F35" i="4"/>
  <c r="D35" i="4"/>
  <c r="H35" i="4" s="1"/>
  <c r="C35" i="4"/>
  <c r="B35" i="4"/>
  <c r="H34" i="4"/>
  <c r="F34" i="4"/>
  <c r="D34" i="4"/>
  <c r="C34" i="4"/>
  <c r="B34" i="4"/>
  <c r="G34" i="4" s="1"/>
  <c r="F33" i="4"/>
  <c r="C33" i="4"/>
  <c r="D33" i="4" s="1"/>
  <c r="H33" i="4" s="1"/>
  <c r="B33" i="4"/>
  <c r="G33" i="4" s="1"/>
  <c r="G32" i="4"/>
  <c r="F32" i="4"/>
  <c r="C32" i="4"/>
  <c r="D32" i="4" s="1"/>
  <c r="H32" i="4" s="1"/>
  <c r="B32" i="4"/>
  <c r="G31" i="4"/>
  <c r="F31" i="4"/>
  <c r="D31" i="4"/>
  <c r="H31" i="4" s="1"/>
  <c r="C31" i="4"/>
  <c r="B31" i="4"/>
  <c r="F30" i="4"/>
  <c r="G30" i="4" s="1"/>
  <c r="D30" i="4"/>
  <c r="C30" i="4"/>
  <c r="B30" i="4"/>
  <c r="H29" i="4"/>
  <c r="F29" i="4"/>
  <c r="C29" i="4"/>
  <c r="D29" i="4" s="1"/>
  <c r="B29" i="4"/>
  <c r="G29" i="4" s="1"/>
  <c r="F28" i="4"/>
  <c r="C28" i="4"/>
  <c r="D28" i="4" s="1"/>
  <c r="H28" i="4" s="1"/>
  <c r="B28" i="4"/>
  <c r="G28" i="4" s="1"/>
  <c r="F27" i="4"/>
  <c r="C27" i="4"/>
  <c r="D27" i="4" s="1"/>
  <c r="H27" i="4" s="1"/>
  <c r="B27" i="4"/>
  <c r="F26" i="4"/>
  <c r="C26" i="4"/>
  <c r="D26" i="4" s="1"/>
  <c r="H26" i="4" s="1"/>
  <c r="B26" i="4"/>
  <c r="G26" i="4" s="1"/>
  <c r="F25" i="4"/>
  <c r="D25" i="4"/>
  <c r="H25" i="4" s="1"/>
  <c r="C25" i="4"/>
  <c r="B25" i="4"/>
  <c r="G25" i="4" s="1"/>
  <c r="F24" i="4"/>
  <c r="D24" i="4"/>
  <c r="H24" i="4" s="1"/>
  <c r="C24" i="4"/>
  <c r="B24" i="4"/>
  <c r="G24" i="4" s="1"/>
  <c r="F23" i="4"/>
  <c r="H23" i="4" s="1"/>
  <c r="D23" i="4"/>
  <c r="C23" i="4"/>
  <c r="B23" i="4"/>
  <c r="G23" i="4" s="1"/>
  <c r="G22" i="4"/>
  <c r="F22" i="4"/>
  <c r="D22" i="4"/>
  <c r="H22" i="4" s="1"/>
  <c r="C22" i="4"/>
  <c r="B22" i="4"/>
  <c r="F21" i="4"/>
  <c r="C21" i="4"/>
  <c r="D21" i="4" s="1"/>
  <c r="H21" i="4" s="1"/>
  <c r="B21" i="4"/>
  <c r="G21" i="4" s="1"/>
  <c r="F20" i="4"/>
  <c r="G20" i="4" s="1"/>
  <c r="D20" i="4"/>
  <c r="H20" i="4" s="1"/>
  <c r="C20" i="4"/>
  <c r="B20" i="4"/>
  <c r="F19" i="4"/>
  <c r="D19" i="4"/>
  <c r="H19" i="4" s="1"/>
  <c r="C19" i="4"/>
  <c r="B19" i="4"/>
  <c r="G19" i="4" s="1"/>
  <c r="F18" i="4"/>
  <c r="D18" i="4"/>
  <c r="H18" i="4" s="1"/>
  <c r="C18" i="4"/>
  <c r="B18" i="4"/>
  <c r="G18" i="4" s="1"/>
  <c r="F17" i="4"/>
  <c r="C17" i="4"/>
  <c r="D17" i="4" s="1"/>
  <c r="H17" i="4" s="1"/>
  <c r="B17" i="4"/>
  <c r="G17" i="4" s="1"/>
  <c r="F16" i="4"/>
  <c r="H16" i="4" s="1"/>
  <c r="E16" i="4"/>
  <c r="D16" i="4"/>
  <c r="C16" i="4"/>
  <c r="B16" i="4"/>
  <c r="G16" i="4" s="1"/>
  <c r="F15" i="4"/>
  <c r="G15" i="4" s="1"/>
  <c r="C15" i="4"/>
  <c r="D15" i="4" s="1"/>
  <c r="H15" i="4" s="1"/>
  <c r="B15" i="4"/>
  <c r="F14" i="4"/>
  <c r="G14" i="4" s="1"/>
  <c r="D14" i="4"/>
  <c r="H14" i="4" s="1"/>
  <c r="C14" i="4"/>
  <c r="B14" i="4"/>
  <c r="G13" i="4"/>
  <c r="F13" i="4"/>
  <c r="D13" i="4"/>
  <c r="H13" i="4" s="1"/>
  <c r="C13" i="4"/>
  <c r="B13" i="4"/>
  <c r="F12" i="4"/>
  <c r="C12" i="4"/>
  <c r="D12" i="4" s="1"/>
  <c r="H12" i="4" s="1"/>
  <c r="B12" i="4"/>
  <c r="G12" i="4" s="1"/>
  <c r="G11" i="4"/>
  <c r="F11" i="4"/>
  <c r="C11" i="4"/>
  <c r="D11" i="4" s="1"/>
  <c r="H11" i="4" s="1"/>
  <c r="B11" i="4"/>
  <c r="F10" i="4"/>
  <c r="D10" i="4"/>
  <c r="H10" i="4" s="1"/>
  <c r="C10" i="4"/>
  <c r="B10" i="4"/>
  <c r="G10" i="4" s="1"/>
  <c r="G9" i="4"/>
  <c r="F9" i="4"/>
  <c r="D9" i="4"/>
  <c r="H9" i="4" s="1"/>
  <c r="C9" i="4"/>
  <c r="B9" i="4"/>
  <c r="G8" i="4"/>
  <c r="F8" i="4"/>
  <c r="C8" i="4"/>
  <c r="D8" i="4" s="1"/>
  <c r="H8" i="4" s="1"/>
  <c r="B8" i="4"/>
  <c r="F7" i="4"/>
  <c r="C7" i="4"/>
  <c r="D7" i="4" s="1"/>
  <c r="H7" i="4" s="1"/>
  <c r="B7" i="4"/>
  <c r="G7" i="4" s="1"/>
  <c r="F6" i="4"/>
  <c r="G6" i="4" s="1"/>
  <c r="C6" i="4"/>
  <c r="D6" i="4" s="1"/>
  <c r="H6" i="4" s="1"/>
  <c r="B6" i="4"/>
  <c r="G5" i="4"/>
  <c r="F5" i="4"/>
  <c r="C5" i="4"/>
  <c r="D5" i="4" s="1"/>
  <c r="H5" i="4" s="1"/>
  <c r="B5" i="4"/>
  <c r="G4" i="4"/>
  <c r="F4" i="4"/>
  <c r="C4" i="4"/>
  <c r="D4" i="4" s="1"/>
  <c r="H4" i="4" s="1"/>
  <c r="B4" i="4"/>
  <c r="F3" i="4"/>
  <c r="C3" i="4"/>
  <c r="D3" i="4" s="1"/>
  <c r="H3" i="4" s="1"/>
  <c r="B3" i="4"/>
  <c r="G3" i="4" s="1"/>
  <c r="A36" i="3"/>
  <c r="A35" i="3"/>
  <c r="A32" i="3"/>
  <c r="A31" i="3"/>
  <c r="C30" i="3"/>
  <c r="G25" i="3"/>
  <c r="A25" i="3"/>
  <c r="G24" i="3"/>
  <c r="A24" i="3"/>
  <c r="A17" i="3"/>
  <c r="C16" i="3"/>
  <c r="A16" i="3"/>
  <c r="A15" i="3"/>
  <c r="C14" i="3"/>
  <c r="C15" i="3" s="1"/>
  <c r="A14" i="3"/>
  <c r="A11" i="3"/>
  <c r="C10" i="3"/>
  <c r="A10" i="3"/>
  <c r="A9" i="3"/>
  <c r="C8" i="3"/>
  <c r="A8" i="3"/>
  <c r="E41" i="2"/>
  <c r="D46" i="5" s="1"/>
  <c r="C41" i="2"/>
  <c r="B46" i="5" s="1"/>
  <c r="B41" i="2"/>
  <c r="E40" i="2"/>
  <c r="D45" i="5" s="1"/>
  <c r="C40" i="2"/>
  <c r="B40" i="2"/>
  <c r="E39" i="2"/>
  <c r="D44" i="5" s="1"/>
  <c r="C39" i="2"/>
  <c r="B44" i="5" s="1"/>
  <c r="B39" i="2"/>
  <c r="C38" i="2"/>
  <c r="B38" i="2"/>
  <c r="E37" i="2"/>
  <c r="D42" i="5" s="1"/>
  <c r="C37" i="2"/>
  <c r="B42" i="5" s="1"/>
  <c r="B37" i="2"/>
  <c r="E36" i="2"/>
  <c r="D41" i="5" s="1"/>
  <c r="C36" i="2"/>
  <c r="B36" i="2"/>
  <c r="E35" i="2"/>
  <c r="D40" i="5" s="1"/>
  <c r="C35" i="2"/>
  <c r="B40" i="5" s="1"/>
  <c r="B35" i="2"/>
  <c r="E34" i="2"/>
  <c r="D39" i="5" s="1"/>
  <c r="C34" i="2"/>
  <c r="B34" i="2"/>
  <c r="E33" i="2"/>
  <c r="D38" i="5" s="1"/>
  <c r="C33" i="2"/>
  <c r="B38" i="5" s="1"/>
  <c r="B33" i="2"/>
  <c r="E32" i="2"/>
  <c r="D37" i="5" s="1"/>
  <c r="C32" i="2"/>
  <c r="B32" i="2"/>
  <c r="E31" i="2"/>
  <c r="D36" i="5" s="1"/>
  <c r="C31" i="2"/>
  <c r="B36" i="5" s="1"/>
  <c r="B31" i="2"/>
  <c r="E30" i="2"/>
  <c r="D35" i="5" s="1"/>
  <c r="C30" i="2"/>
  <c r="B30" i="2"/>
  <c r="E29" i="2"/>
  <c r="D34" i="5" s="1"/>
  <c r="C29" i="2"/>
  <c r="B34" i="5" s="1"/>
  <c r="B29" i="2"/>
  <c r="E28" i="2"/>
  <c r="D33" i="5" s="1"/>
  <c r="C28" i="2"/>
  <c r="B28" i="2"/>
  <c r="E27" i="2"/>
  <c r="D32" i="5" s="1"/>
  <c r="C27" i="2"/>
  <c r="B32" i="5" s="1"/>
  <c r="B27" i="2"/>
  <c r="C26" i="2"/>
  <c r="B26" i="2"/>
  <c r="E25" i="2"/>
  <c r="D30" i="5" s="1"/>
  <c r="C25" i="2"/>
  <c r="B30" i="5" s="1"/>
  <c r="B25" i="2"/>
  <c r="E24" i="2"/>
  <c r="D29" i="5" s="1"/>
  <c r="C24" i="2"/>
  <c r="B24" i="2"/>
  <c r="E23" i="2"/>
  <c r="D28" i="5" s="1"/>
  <c r="C23" i="2"/>
  <c r="B28" i="5" s="1"/>
  <c r="B23" i="2"/>
  <c r="C22" i="2"/>
  <c r="B22" i="2"/>
  <c r="E21" i="2"/>
  <c r="D26" i="5" s="1"/>
  <c r="C21" i="2"/>
  <c r="B26" i="5" s="1"/>
  <c r="B21" i="2"/>
  <c r="E20" i="2"/>
  <c r="D25" i="5" s="1"/>
  <c r="C20" i="2"/>
  <c r="B20" i="2"/>
  <c r="E19" i="2"/>
  <c r="D24" i="5" s="1"/>
  <c r="C19" i="2"/>
  <c r="B24" i="5" s="1"/>
  <c r="B19" i="2"/>
  <c r="E18" i="2"/>
  <c r="D23" i="5" s="1"/>
  <c r="C18" i="2"/>
  <c r="B18" i="2"/>
  <c r="E17" i="2"/>
  <c r="D22" i="5" s="1"/>
  <c r="C17" i="2"/>
  <c r="B22" i="5" s="1"/>
  <c r="B17" i="2"/>
  <c r="E16" i="2"/>
  <c r="D21" i="5" s="1"/>
  <c r="C16" i="2"/>
  <c r="B16" i="2"/>
  <c r="E15" i="2"/>
  <c r="D20" i="5" s="1"/>
  <c r="C15" i="2"/>
  <c r="B20" i="5" s="1"/>
  <c r="B15" i="2"/>
  <c r="E14" i="2"/>
  <c r="D19" i="5" s="1"/>
  <c r="C14" i="2"/>
  <c r="B14" i="2"/>
  <c r="E13" i="2"/>
  <c r="D18" i="5" s="1"/>
  <c r="C13" i="2"/>
  <c r="B18" i="5" s="1"/>
  <c r="B13" i="2"/>
  <c r="E12" i="2"/>
  <c r="D17" i="5" s="1"/>
  <c r="C12" i="2"/>
  <c r="B12" i="2"/>
  <c r="E11" i="2"/>
  <c r="D16" i="5" s="1"/>
  <c r="C11" i="2"/>
  <c r="B16" i="5" s="1"/>
  <c r="B11" i="2"/>
  <c r="C10" i="2"/>
  <c r="B10" i="2"/>
  <c r="E8" i="2"/>
  <c r="D14" i="5" s="1"/>
  <c r="C8" i="2"/>
  <c r="B14" i="5" s="1"/>
  <c r="E7" i="2"/>
  <c r="D13" i="5" s="1"/>
  <c r="C7" i="2"/>
  <c r="B13" i="5" s="1"/>
  <c r="E6" i="2"/>
  <c r="D12" i="5" s="1"/>
  <c r="C6" i="2"/>
  <c r="B12" i="5" s="1"/>
  <c r="E5" i="2"/>
  <c r="D11" i="5" s="1"/>
  <c r="C5" i="2"/>
  <c r="B11" i="5" s="1"/>
  <c r="C20" i="3" l="1"/>
  <c r="C21" i="3" s="1"/>
  <c r="C17" i="3"/>
  <c r="C9" i="3"/>
  <c r="C11" i="3" s="1"/>
  <c r="B15" i="5"/>
  <c r="B45" i="5"/>
  <c r="B23" i="5"/>
  <c r="B37" i="5"/>
  <c r="B29" i="5"/>
  <c r="B31" i="5"/>
  <c r="B21" i="5"/>
  <c r="F16" i="2"/>
  <c r="E21" i="5" s="1"/>
  <c r="B17" i="5"/>
  <c r="B25" i="5"/>
  <c r="B35" i="5"/>
  <c r="F30" i="2"/>
  <c r="E35" i="5" s="1"/>
  <c r="B43" i="5"/>
  <c r="B19" i="5"/>
  <c r="B27" i="5"/>
  <c r="B33" i="5"/>
  <c r="B41" i="5"/>
  <c r="D36" i="2"/>
  <c r="D39" i="2"/>
  <c r="H30" i="4"/>
  <c r="B39" i="5"/>
  <c r="H107" i="4"/>
  <c r="H68" i="4"/>
  <c r="H36" i="4"/>
  <c r="H49" i="4"/>
  <c r="G60" i="4"/>
  <c r="H75" i="4"/>
  <c r="H93" i="4"/>
  <c r="H123" i="4"/>
  <c r="G76" i="4"/>
  <c r="H52" i="4"/>
  <c r="G27" i="4"/>
  <c r="G58" i="4"/>
  <c r="G40" i="4"/>
  <c r="H84" i="4"/>
  <c r="G56" i="4"/>
  <c r="G59" i="4"/>
  <c r="G107" i="4"/>
  <c r="C95" i="10"/>
  <c r="E328" i="4" s="1"/>
  <c r="C126" i="10"/>
  <c r="E229" i="4" s="1"/>
  <c r="C186" i="10"/>
  <c r="E291" i="4" s="1"/>
  <c r="C217" i="10"/>
  <c r="E64" i="4" s="1"/>
  <c r="C232" i="10"/>
  <c r="E182" i="4" s="1"/>
  <c r="C247" i="10"/>
  <c r="C338" i="10"/>
  <c r="E297" i="4" s="1"/>
  <c r="C5" i="10"/>
  <c r="E320" i="4" s="1"/>
  <c r="D18" i="2" s="1"/>
  <c r="C21" i="10"/>
  <c r="E127" i="4" s="1"/>
  <c r="D15" i="2" s="1"/>
  <c r="C36" i="10"/>
  <c r="E171" i="4" s="1"/>
  <c r="C66" i="10"/>
  <c r="E353" i="4" s="1"/>
  <c r="C142" i="10"/>
  <c r="E107" i="4" s="1"/>
  <c r="C157" i="10"/>
  <c r="E135" i="4" s="1"/>
  <c r="C172" i="10"/>
  <c r="E199" i="4" s="1"/>
  <c r="C263" i="10"/>
  <c r="E232" i="4" s="1"/>
  <c r="C278" i="10"/>
  <c r="E108" i="4" s="1"/>
  <c r="C294" i="10"/>
  <c r="E141" i="4" s="1"/>
  <c r="C309" i="10"/>
  <c r="E168" i="4" s="1"/>
  <c r="C354" i="10"/>
  <c r="E290" i="4" s="1"/>
  <c r="G235" i="4"/>
  <c r="H306" i="4"/>
  <c r="H332" i="4"/>
  <c r="C249" i="10"/>
  <c r="E128" i="4" s="1"/>
  <c r="C22" i="10"/>
  <c r="E298" i="4" s="1"/>
  <c r="D20" i="2" s="1"/>
  <c r="C38" i="10"/>
  <c r="E253" i="4" s="1"/>
  <c r="C53" i="10"/>
  <c r="E329" i="4" s="1"/>
  <c r="C68" i="10"/>
  <c r="E358" i="4" s="1"/>
  <c r="C159" i="10"/>
  <c r="E360" i="4" s="1"/>
  <c r="C174" i="10"/>
  <c r="E94" i="4" s="1"/>
  <c r="C189" i="10"/>
  <c r="E196" i="4" s="1"/>
  <c r="C280" i="10"/>
  <c r="E244" i="4" s="1"/>
  <c r="C295" i="10"/>
  <c r="E49" i="4" s="1"/>
  <c r="C311" i="10"/>
  <c r="E324" i="4" s="1"/>
  <c r="C356" i="10"/>
  <c r="E198" i="4" s="1"/>
  <c r="H288" i="4"/>
  <c r="D13" i="2" s="1"/>
  <c r="C8" i="10"/>
  <c r="E7" i="4" s="1"/>
  <c r="D37" i="2" s="1"/>
  <c r="C84" i="10"/>
  <c r="E92" i="4" s="1"/>
  <c r="C114" i="10"/>
  <c r="E268" i="4" s="1"/>
  <c r="C160" i="10"/>
  <c r="E330" i="4" s="1"/>
  <c r="C220" i="10"/>
  <c r="E57" i="4" s="1"/>
  <c r="C251" i="10"/>
  <c r="E211" i="4" s="1"/>
  <c r="C266" i="10"/>
  <c r="E286" i="4" s="1"/>
  <c r="C327" i="10"/>
  <c r="E51" i="4" s="1"/>
  <c r="H322" i="4"/>
  <c r="G337" i="4"/>
  <c r="C24" i="10"/>
  <c r="E259" i="4" s="1"/>
  <c r="D40" i="2" s="1"/>
  <c r="C39" i="10"/>
  <c r="E195" i="4" s="1"/>
  <c r="F6" i="2" s="1"/>
  <c r="E12" i="5" s="1"/>
  <c r="C55" i="10"/>
  <c r="E42" i="4" s="1"/>
  <c r="C70" i="10"/>
  <c r="E58" i="4" s="1"/>
  <c r="C85" i="10"/>
  <c r="E239" i="4" s="1"/>
  <c r="C146" i="10"/>
  <c r="E316" i="4" s="1"/>
  <c r="C176" i="10"/>
  <c r="E45" i="4" s="1"/>
  <c r="C191" i="10"/>
  <c r="E246" i="4" s="1"/>
  <c r="C206" i="10"/>
  <c r="E179" i="4" s="1"/>
  <c r="C236" i="10"/>
  <c r="E238" i="4" s="1"/>
  <c r="C312" i="10"/>
  <c r="E46" i="4" s="1"/>
  <c r="C342" i="10"/>
  <c r="E105" i="4" s="1"/>
  <c r="G273" i="4"/>
  <c r="C364" i="10"/>
  <c r="E26" i="4" s="1"/>
  <c r="C101" i="10"/>
  <c r="E356" i="4" s="1"/>
  <c r="C116" i="10"/>
  <c r="E364" i="4" s="1"/>
  <c r="C132" i="10"/>
  <c r="E134" i="4" s="1"/>
  <c r="C237" i="10"/>
  <c r="E260" i="4" s="1"/>
  <c r="C253" i="10"/>
  <c r="E111" i="4" s="1"/>
  <c r="F29" i="2" s="1"/>
  <c r="E34" i="5" s="1"/>
  <c r="C268" i="10"/>
  <c r="E68" i="4" s="1"/>
  <c r="C298" i="10"/>
  <c r="E226" i="4" s="1"/>
  <c r="C329" i="10"/>
  <c r="E210" i="4" s="1"/>
  <c r="C343" i="10"/>
  <c r="E158" i="4" s="1"/>
  <c r="G353" i="4"/>
  <c r="C56" i="10"/>
  <c r="E123" i="4" s="1"/>
  <c r="C87" i="10"/>
  <c r="E292" i="4" s="1"/>
  <c r="C102" i="10"/>
  <c r="E98" i="4" s="1"/>
  <c r="C208" i="10"/>
  <c r="E325" i="4" s="1"/>
  <c r="C223" i="10"/>
  <c r="E124" i="4" s="1"/>
  <c r="C254" i="10"/>
  <c r="E186" i="4" s="1"/>
  <c r="C360" i="10"/>
  <c r="E322" i="4" s="1"/>
  <c r="H289" i="4"/>
  <c r="H353" i="4"/>
  <c r="C12" i="10"/>
  <c r="E304" i="4" s="1"/>
  <c r="F39" i="2" s="1"/>
  <c r="E44" i="5" s="1"/>
  <c r="C2" i="10"/>
  <c r="C42" i="10"/>
  <c r="E126" i="4" s="1"/>
  <c r="F27" i="2" s="1"/>
  <c r="E32" i="5" s="1"/>
  <c r="C118" i="10"/>
  <c r="E75" i="4" s="1"/>
  <c r="C133" i="10"/>
  <c r="E307" i="4" s="1"/>
  <c r="C149" i="10"/>
  <c r="E337" i="4" s="1"/>
  <c r="C164" i="10"/>
  <c r="E300" i="4" s="1"/>
  <c r="C194" i="10"/>
  <c r="E60" i="4" s="1"/>
  <c r="C270" i="10"/>
  <c r="E326" i="4" s="1"/>
  <c r="C285" i="10"/>
  <c r="E23" i="4" s="1"/>
  <c r="C300" i="10"/>
  <c r="E343" i="4" s="1"/>
  <c r="C330" i="10"/>
  <c r="E79" i="4" s="1"/>
  <c r="C345" i="10"/>
  <c r="E44" i="4" s="1"/>
  <c r="C361" i="10"/>
  <c r="E96" i="4" s="1"/>
  <c r="H293" i="4"/>
  <c r="C58" i="10"/>
  <c r="E310" i="4" s="1"/>
  <c r="C89" i="10"/>
  <c r="E213" i="4" s="1"/>
  <c r="C104" i="10"/>
  <c r="E265" i="4" s="1"/>
  <c r="C119" i="10"/>
  <c r="E136" i="4" s="1"/>
  <c r="C210" i="10"/>
  <c r="E243" i="4" s="1"/>
  <c r="C240" i="10"/>
  <c r="E357" i="4" s="1"/>
  <c r="C271" i="10"/>
  <c r="E8" i="4" s="1"/>
  <c r="C14" i="10"/>
  <c r="E104" i="4" s="1"/>
  <c r="C29" i="10"/>
  <c r="E137" i="4" s="1"/>
  <c r="C44" i="10"/>
  <c r="E293" i="4" s="1"/>
  <c r="C135" i="10"/>
  <c r="E230" i="4" s="1"/>
  <c r="C150" i="10"/>
  <c r="E338" i="4" s="1"/>
  <c r="F21" i="2" s="1"/>
  <c r="E26" i="5" s="1"/>
  <c r="C166" i="10"/>
  <c r="E354" i="4" s="1"/>
  <c r="C181" i="10"/>
  <c r="E241" i="4" s="1"/>
  <c r="C196" i="10"/>
  <c r="E70" i="4" s="1"/>
  <c r="C287" i="10"/>
  <c r="E278" i="4" s="1"/>
  <c r="C302" i="10"/>
  <c r="E34" i="4" s="1"/>
  <c r="C332" i="10"/>
  <c r="E193" i="4" s="1"/>
  <c r="C347" i="10"/>
  <c r="E17" i="4" s="1"/>
  <c r="C15" i="10"/>
  <c r="E133" i="4" s="1"/>
  <c r="D21" i="2" s="1"/>
  <c r="C90" i="10"/>
  <c r="E112" i="4" s="1"/>
  <c r="C106" i="10"/>
  <c r="E309" i="4" s="1"/>
  <c r="C136" i="10"/>
  <c r="E314" i="4" s="1"/>
  <c r="C212" i="10"/>
  <c r="E152" i="4" s="1"/>
  <c r="C242" i="10"/>
  <c r="E189" i="4" s="1"/>
  <c r="C288" i="10"/>
  <c r="E84" i="4" s="1"/>
  <c r="C318" i="10"/>
  <c r="E150" i="4" s="1"/>
  <c r="G253" i="4"/>
  <c r="F40" i="2" s="1"/>
  <c r="E45" i="5" s="1"/>
  <c r="C31" i="10"/>
  <c r="E318" i="4" s="1"/>
  <c r="C46" i="10"/>
  <c r="E66" i="4" s="1"/>
  <c r="C61" i="10"/>
  <c r="E222" i="4" s="1"/>
  <c r="C152" i="10"/>
  <c r="E219" i="4" s="1"/>
  <c r="C167" i="10"/>
  <c r="E167" i="4" s="1"/>
  <c r="C183" i="10"/>
  <c r="E103" i="4" s="1"/>
  <c r="C198" i="10"/>
  <c r="E72" i="4" s="1"/>
  <c r="C213" i="10"/>
  <c r="E130" i="4" s="1"/>
  <c r="C274" i="10"/>
  <c r="E125" i="4" s="1"/>
  <c r="C304" i="10"/>
  <c r="E209" i="4" s="1"/>
  <c r="C334" i="10"/>
  <c r="E6" i="4" s="1"/>
  <c r="C349" i="10"/>
  <c r="E273" i="4" s="1"/>
  <c r="C365" i="10"/>
  <c r="E178" i="4" s="1"/>
  <c r="C32" i="10"/>
  <c r="E188" i="4" s="1"/>
  <c r="F19" i="2" s="1"/>
  <c r="E24" i="5" s="1"/>
  <c r="C92" i="10"/>
  <c r="E311" i="4" s="1"/>
  <c r="C123" i="10"/>
  <c r="E218" i="4" s="1"/>
  <c r="C138" i="10"/>
  <c r="E250" i="4" s="1"/>
  <c r="C229" i="10"/>
  <c r="E266" i="4" s="1"/>
  <c r="C244" i="10"/>
  <c r="E281" i="4" s="1"/>
  <c r="C260" i="10"/>
  <c r="E114" i="4" s="1"/>
  <c r="C320" i="10"/>
  <c r="E52" i="4" s="1"/>
  <c r="G316" i="4"/>
  <c r="C18" i="10"/>
  <c r="E191" i="4" s="1"/>
  <c r="C48" i="10"/>
  <c r="E299" i="4" s="1"/>
  <c r="F32" i="2" s="1"/>
  <c r="E37" i="5" s="1"/>
  <c r="C63" i="10"/>
  <c r="E366" i="4" s="1"/>
  <c r="F28" i="2" s="1"/>
  <c r="E33" i="5" s="1"/>
  <c r="C78" i="10"/>
  <c r="E365" i="4" s="1"/>
  <c r="C108" i="10"/>
  <c r="E231" i="4" s="1"/>
  <c r="C184" i="10"/>
  <c r="E313" i="4" s="1"/>
  <c r="C200" i="10"/>
  <c r="E223" i="4" s="1"/>
  <c r="C215" i="10"/>
  <c r="E35" i="4" s="1"/>
  <c r="C230" i="10"/>
  <c r="E362" i="4" s="1"/>
  <c r="C336" i="10"/>
  <c r="E305" i="4" s="1"/>
  <c r="C351" i="10"/>
  <c r="E157" i="4" s="1"/>
  <c r="G305" i="4"/>
  <c r="H316" i="4"/>
  <c r="C4" i="10"/>
  <c r="E13" i="4" s="1"/>
  <c r="C109" i="10"/>
  <c r="E245" i="4" s="1"/>
  <c r="C125" i="10"/>
  <c r="E227" i="4" s="1"/>
  <c r="C140" i="10"/>
  <c r="E109" i="4" s="1"/>
  <c r="C170" i="10"/>
  <c r="E242" i="4" s="1"/>
  <c r="C246" i="10"/>
  <c r="E254" i="4" s="1"/>
  <c r="C261" i="10"/>
  <c r="E154" i="4" s="1"/>
  <c r="C277" i="10"/>
  <c r="E214" i="4" s="1"/>
  <c r="C292" i="10"/>
  <c r="E190" i="4" s="1"/>
  <c r="F15" i="2" s="1"/>
  <c r="E20" i="5" s="1"/>
  <c r="C352" i="10"/>
  <c r="E117" i="4" s="1"/>
  <c r="S34" i="14"/>
  <c r="B109" i="14" s="1"/>
  <c r="B24" i="11"/>
  <c r="C13" i="10"/>
  <c r="E285" i="4" s="1"/>
  <c r="C30" i="10"/>
  <c r="E153" i="4" s="1"/>
  <c r="C47" i="10"/>
  <c r="E263" i="4" s="1"/>
  <c r="C64" i="10"/>
  <c r="E97" i="4" s="1"/>
  <c r="C81" i="10"/>
  <c r="E177" i="4" s="1"/>
  <c r="C98" i="10"/>
  <c r="E48" i="4" s="1"/>
  <c r="C115" i="10"/>
  <c r="E228" i="4" s="1"/>
  <c r="C124" i="10"/>
  <c r="E163" i="4" s="1"/>
  <c r="C141" i="10"/>
  <c r="E247" i="4" s="1"/>
  <c r="C158" i="10"/>
  <c r="E156" i="4" s="1"/>
  <c r="C175" i="10"/>
  <c r="E91" i="4" s="1"/>
  <c r="C192" i="10"/>
  <c r="E19" i="4" s="1"/>
  <c r="F33" i="2" s="1"/>
  <c r="E38" i="5" s="1"/>
  <c r="C209" i="10"/>
  <c r="E149" i="4" s="1"/>
  <c r="D7" i="2" s="1"/>
  <c r="C226" i="10"/>
  <c r="E73" i="4" s="1"/>
  <c r="C243" i="10"/>
  <c r="E215" i="4" s="1"/>
  <c r="C252" i="10"/>
  <c r="E212" i="4" s="1"/>
  <c r="C269" i="10"/>
  <c r="E80" i="4" s="1"/>
  <c r="C286" i="10"/>
  <c r="E367" i="4" s="1"/>
  <c r="C303" i="10"/>
  <c r="E331" i="4" s="1"/>
  <c r="C321" i="10"/>
  <c r="E347" i="4" s="1"/>
  <c r="C348" i="10"/>
  <c r="E86" i="4" s="1"/>
  <c r="C357" i="10"/>
  <c r="E4" i="4" s="1"/>
  <c r="C366" i="10"/>
  <c r="E355" i="4" s="1"/>
  <c r="B9" i="11"/>
  <c r="B12" i="11"/>
  <c r="C73" i="10"/>
  <c r="E106" i="4" s="1"/>
  <c r="C107" i="10"/>
  <c r="E5" i="4" s="1"/>
  <c r="C201" i="10"/>
  <c r="E262" i="4" s="1"/>
  <c r="C235" i="10"/>
  <c r="E351" i="4" s="1"/>
  <c r="C339" i="10"/>
  <c r="E194" i="4" s="1"/>
  <c r="C358" i="10"/>
  <c r="E340" i="4" s="1"/>
  <c r="B18" i="11"/>
  <c r="B21" i="11"/>
  <c r="C65" i="10"/>
  <c r="E144" i="4" s="1"/>
  <c r="F12" i="2" s="1"/>
  <c r="E17" i="5" s="1"/>
  <c r="C99" i="10"/>
  <c r="E217" i="4" s="1"/>
  <c r="C193" i="10"/>
  <c r="E83" i="4" s="1"/>
  <c r="C227" i="10"/>
  <c r="E264" i="4" s="1"/>
  <c r="C322" i="10"/>
  <c r="E116" i="4" s="1"/>
  <c r="C340" i="10"/>
  <c r="E113" i="4" s="1"/>
  <c r="B39" i="11"/>
  <c r="C6" i="10"/>
  <c r="E172" i="4" s="1"/>
  <c r="C23" i="10"/>
  <c r="E344" i="4" s="1"/>
  <c r="D24" i="2" s="1"/>
  <c r="C40" i="10"/>
  <c r="E277" i="4" s="1"/>
  <c r="F20" i="2" s="1"/>
  <c r="E25" i="5" s="1"/>
  <c r="C57" i="10"/>
  <c r="E24" i="4" s="1"/>
  <c r="F36" i="2" s="1"/>
  <c r="E41" i="5" s="1"/>
  <c r="C74" i="10"/>
  <c r="E59" i="4" s="1"/>
  <c r="C91" i="10"/>
  <c r="E88" i="4" s="1"/>
  <c r="C100" i="10"/>
  <c r="E216" i="4" s="1"/>
  <c r="C117" i="10"/>
  <c r="E208" i="4" s="1"/>
  <c r="C134" i="10"/>
  <c r="E233" i="4" s="1"/>
  <c r="C151" i="10"/>
  <c r="E39" i="4" s="1"/>
  <c r="C168" i="10"/>
  <c r="E181" i="4" s="1"/>
  <c r="C185" i="10"/>
  <c r="E183" i="4" s="1"/>
  <c r="C202" i="10"/>
  <c r="E249" i="4" s="1"/>
  <c r="C219" i="10"/>
  <c r="E95" i="4" s="1"/>
  <c r="C228" i="10"/>
  <c r="E164" i="4" s="1"/>
  <c r="C245" i="10"/>
  <c r="E77" i="4" s="1"/>
  <c r="C262" i="10"/>
  <c r="E225" i="4" s="1"/>
  <c r="C279" i="10"/>
  <c r="E90" i="4" s="1"/>
  <c r="C296" i="10"/>
  <c r="E87" i="4" s="1"/>
  <c r="C313" i="10"/>
  <c r="E159" i="4" s="1"/>
  <c r="C341" i="10"/>
  <c r="E200" i="4" s="1"/>
  <c r="C359" i="10"/>
  <c r="E132" i="4" s="1"/>
  <c r="B31" i="11"/>
  <c r="S49" i="14"/>
  <c r="B124" i="14" s="1"/>
  <c r="B34" i="11"/>
  <c r="C49" i="10"/>
  <c r="E301" i="4" s="1"/>
  <c r="F24" i="2" s="1"/>
  <c r="E29" i="5" s="1"/>
  <c r="C83" i="10"/>
  <c r="E349" i="4" s="1"/>
  <c r="C177" i="10"/>
  <c r="E82" i="4" s="1"/>
  <c r="C211" i="10"/>
  <c r="E11" i="4" s="1"/>
  <c r="C305" i="10"/>
  <c r="E203" i="4" s="1"/>
  <c r="C323" i="10"/>
  <c r="E312" i="4" s="1"/>
  <c r="C350" i="10"/>
  <c r="E155" i="4" s="1"/>
  <c r="B6" i="11"/>
  <c r="B22" i="11"/>
  <c r="C7" i="10"/>
  <c r="E89" i="4" s="1"/>
  <c r="C41" i="10"/>
  <c r="E100" i="4" s="1"/>
  <c r="F35" i="2" s="1"/>
  <c r="E40" i="5" s="1"/>
  <c r="C75" i="10"/>
  <c r="E221" i="4" s="1"/>
  <c r="C169" i="10"/>
  <c r="E288" i="4" s="1"/>
  <c r="F13" i="2" s="1"/>
  <c r="E18" i="5" s="1"/>
  <c r="C203" i="10"/>
  <c r="E175" i="4" s="1"/>
  <c r="C297" i="10"/>
  <c r="E101" i="4" s="1"/>
  <c r="C314" i="10"/>
  <c r="E85" i="4" s="1"/>
  <c r="C324" i="10"/>
  <c r="E145" i="4" s="1"/>
  <c r="B13" i="11"/>
  <c r="C16" i="10"/>
  <c r="E342" i="4" s="1"/>
  <c r="D12" i="2" s="1"/>
  <c r="C33" i="10"/>
  <c r="E258" i="4" s="1"/>
  <c r="D19" i="2" s="1"/>
  <c r="C50" i="10"/>
  <c r="E18" i="4" s="1"/>
  <c r="C67" i="10"/>
  <c r="E165" i="4" s="1"/>
  <c r="C76" i="10"/>
  <c r="E187" i="4" s="1"/>
  <c r="C93" i="10"/>
  <c r="E138" i="4" s="1"/>
  <c r="C110" i="10"/>
  <c r="E279" i="4" s="1"/>
  <c r="C127" i="10"/>
  <c r="E197" i="4" s="1"/>
  <c r="C144" i="10"/>
  <c r="E62" i="4" s="1"/>
  <c r="C161" i="10"/>
  <c r="E336" i="4" s="1"/>
  <c r="C178" i="10"/>
  <c r="E131" i="4" s="1"/>
  <c r="C195" i="10"/>
  <c r="E28" i="4" s="1"/>
  <c r="C204" i="10"/>
  <c r="E235" i="4" s="1"/>
  <c r="C221" i="10"/>
  <c r="E139" i="4" s="1"/>
  <c r="C238" i="10"/>
  <c r="E122" i="4" s="1"/>
  <c r="C255" i="10"/>
  <c r="E184" i="4" s="1"/>
  <c r="C272" i="10"/>
  <c r="E148" i="4" s="1"/>
  <c r="C289" i="10"/>
  <c r="E9" i="4" s="1"/>
  <c r="C306" i="10"/>
  <c r="E38" i="4" s="1"/>
  <c r="C315" i="10"/>
  <c r="E142" i="4" s="1"/>
  <c r="C333" i="10"/>
  <c r="E334" i="4" s="1"/>
  <c r="S11" i="14"/>
  <c r="B86" i="14" s="1"/>
  <c r="B10" i="11"/>
  <c r="C25" i="10"/>
  <c r="E20" i="4" s="1"/>
  <c r="D30" i="2" s="1"/>
  <c r="C59" i="10"/>
  <c r="E12" i="4" s="1"/>
  <c r="C153" i="10"/>
  <c r="E160" i="4" s="1"/>
  <c r="C187" i="10"/>
  <c r="E170" i="4" s="1"/>
  <c r="F14" i="2" s="1"/>
  <c r="E19" i="5" s="1"/>
  <c r="C281" i="10"/>
  <c r="E10" i="4" s="1"/>
  <c r="C316" i="10"/>
  <c r="E255" i="4" s="1"/>
  <c r="B7" i="11"/>
  <c r="B19" i="11"/>
  <c r="B35" i="11"/>
  <c r="B40" i="11"/>
  <c r="C17" i="10"/>
  <c r="E345" i="4" s="1"/>
  <c r="D29" i="2" s="1"/>
  <c r="C34" i="10"/>
  <c r="E267" i="4" s="1"/>
  <c r="D6" i="2" s="1"/>
  <c r="C51" i="10"/>
  <c r="E346" i="4" s="1"/>
  <c r="C60" i="10"/>
  <c r="E287" i="4" s="1"/>
  <c r="C77" i="10"/>
  <c r="E36" i="4" s="1"/>
  <c r="C94" i="10"/>
  <c r="E176" i="4" s="1"/>
  <c r="C111" i="10"/>
  <c r="E41" i="4" s="1"/>
  <c r="C128" i="10"/>
  <c r="E166" i="4" s="1"/>
  <c r="C145" i="10"/>
  <c r="E295" i="4" s="1"/>
  <c r="C162" i="10"/>
  <c r="E71" i="4" s="1"/>
  <c r="C179" i="10"/>
  <c r="E37" i="4" s="1"/>
  <c r="C188" i="10"/>
  <c r="E146" i="4" s="1"/>
  <c r="C205" i="10"/>
  <c r="E81" i="4" s="1"/>
  <c r="C222" i="10"/>
  <c r="E3" i="4" s="1"/>
  <c r="C239" i="10"/>
  <c r="E47" i="4" s="1"/>
  <c r="C256" i="10"/>
  <c r="E118" i="4" s="1"/>
  <c r="C273" i="10"/>
  <c r="E270" i="4" s="1"/>
  <c r="C290" i="10"/>
  <c r="E352" i="4" s="1"/>
  <c r="C317" i="10"/>
  <c r="E201" i="4" s="1"/>
  <c r="S45" i="14"/>
  <c r="B120" i="14" s="1"/>
  <c r="B32" i="11"/>
  <c r="C9" i="10"/>
  <c r="E115" i="4" s="1"/>
  <c r="D33" i="2" s="1"/>
  <c r="C26" i="10"/>
  <c r="E361" i="4" s="1"/>
  <c r="D32" i="2" s="1"/>
  <c r="C43" i="10"/>
  <c r="E339" i="4" s="1"/>
  <c r="C52" i="10"/>
  <c r="E192" i="4" s="1"/>
  <c r="C69" i="10"/>
  <c r="E53" i="4" s="1"/>
  <c r="C86" i="10"/>
  <c r="E121" i="4" s="1"/>
  <c r="C103" i="10"/>
  <c r="E224" i="4" s="1"/>
  <c r="C120" i="10"/>
  <c r="E341" i="4" s="1"/>
  <c r="C137" i="10"/>
  <c r="E306" i="4" s="1"/>
  <c r="C154" i="10"/>
  <c r="E40" i="4" s="1"/>
  <c r="C171" i="10"/>
  <c r="E93" i="4" s="1"/>
  <c r="C180" i="10"/>
  <c r="E25" i="4" s="1"/>
  <c r="F7" i="2" s="1"/>
  <c r="E13" i="5" s="1"/>
  <c r="C197" i="10"/>
  <c r="E271" i="4" s="1"/>
  <c r="C214" i="10"/>
  <c r="C231" i="10"/>
  <c r="E78" i="4" s="1"/>
  <c r="C248" i="10"/>
  <c r="E296" i="4" s="1"/>
  <c r="F34" i="2" s="1"/>
  <c r="E39" i="5" s="1"/>
  <c r="C265" i="10"/>
  <c r="E237" i="4" s="1"/>
  <c r="C282" i="10"/>
  <c r="E205" i="4" s="1"/>
  <c r="C299" i="10"/>
  <c r="E32" i="4" s="1"/>
  <c r="C308" i="10"/>
  <c r="E323" i="4" s="1"/>
  <c r="F5" i="2" s="1"/>
  <c r="E11" i="5" s="1"/>
  <c r="C326" i="10"/>
  <c r="E29" i="4" s="1"/>
  <c r="C335" i="10"/>
  <c r="E236" i="4" s="1"/>
  <c r="C344" i="10"/>
  <c r="E252" i="4" s="1"/>
  <c r="C353" i="10"/>
  <c r="E256" i="4" s="1"/>
  <c r="C362" i="10"/>
  <c r="E280" i="4" s="1"/>
  <c r="C35" i="10"/>
  <c r="E220" i="4" s="1"/>
  <c r="C129" i="10"/>
  <c r="E321" i="4" s="1"/>
  <c r="C163" i="10"/>
  <c r="E234" i="4" s="1"/>
  <c r="C257" i="10"/>
  <c r="E276" i="4" s="1"/>
  <c r="C291" i="10"/>
  <c r="E143" i="4" s="1"/>
  <c r="S32" i="14"/>
  <c r="B107" i="14" s="1"/>
  <c r="B23" i="11"/>
  <c r="C10" i="10"/>
  <c r="E240" i="4" s="1"/>
  <c r="C27" i="10"/>
  <c r="E335" i="4" s="1"/>
  <c r="D16" i="2" s="1"/>
  <c r="C121" i="10"/>
  <c r="E50" i="4" s="1"/>
  <c r="C155" i="10"/>
  <c r="E43" i="4" s="1"/>
  <c r="C283" i="10"/>
  <c r="E55" i="4" s="1"/>
  <c r="C363" i="10"/>
  <c r="E69" i="4" s="1"/>
  <c r="B20" i="11"/>
  <c r="C19" i="10"/>
  <c r="E14" i="4" s="1"/>
  <c r="D28" i="2" s="1"/>
  <c r="C28" i="10"/>
  <c r="E54" i="4" s="1"/>
  <c r="D27" i="2" s="1"/>
  <c r="C45" i="10"/>
  <c r="E319" i="4" s="1"/>
  <c r="C62" i="10"/>
  <c r="E27" i="4" s="1"/>
  <c r="C79" i="10"/>
  <c r="E63" i="4" s="1"/>
  <c r="C96" i="10"/>
  <c r="E31" i="4" s="1"/>
  <c r="C113" i="10"/>
  <c r="E308" i="4" s="1"/>
  <c r="F31" i="2" s="1"/>
  <c r="E36" i="5" s="1"/>
  <c r="C130" i="10"/>
  <c r="E161" i="4" s="1"/>
  <c r="C147" i="10"/>
  <c r="E169" i="4" s="1"/>
  <c r="F18" i="2" s="1"/>
  <c r="E23" i="5" s="1"/>
  <c r="C156" i="10"/>
  <c r="E350" i="4" s="1"/>
  <c r="C173" i="10"/>
  <c r="E282" i="4" s="1"/>
  <c r="C190" i="10"/>
  <c r="E327" i="4" s="1"/>
  <c r="F37" i="2" s="1"/>
  <c r="E42" i="5" s="1"/>
  <c r="C207" i="10"/>
  <c r="E317" i="4" s="1"/>
  <c r="C224" i="10"/>
  <c r="E30" i="4" s="1"/>
  <c r="C241" i="10"/>
  <c r="E283" i="4" s="1"/>
  <c r="C258" i="10"/>
  <c r="E151" i="4" s="1"/>
  <c r="C275" i="10"/>
  <c r="E102" i="4" s="1"/>
  <c r="C284" i="10"/>
  <c r="E303" i="4" s="1"/>
  <c r="C301" i="10"/>
  <c r="E147" i="4" s="1"/>
  <c r="C319" i="10"/>
  <c r="E140" i="4" s="1"/>
  <c r="C11" i="10"/>
  <c r="E120" i="4" s="1"/>
  <c r="F17" i="2" s="1"/>
  <c r="E22" i="5" s="1"/>
  <c r="C20" i="10"/>
  <c r="E204" i="4" s="1"/>
  <c r="C37" i="10"/>
  <c r="E180" i="4" s="1"/>
  <c r="D11" i="2" s="1"/>
  <c r="C54" i="10"/>
  <c r="E269" i="4" s="1"/>
  <c r="C71" i="10"/>
  <c r="E22" i="4" s="1"/>
  <c r="C88" i="10"/>
  <c r="E257" i="4" s="1"/>
  <c r="C105" i="10"/>
  <c r="E99" i="4" s="1"/>
  <c r="C122" i="10"/>
  <c r="E174" i="4" s="1"/>
  <c r="C139" i="10"/>
  <c r="E15" i="4" s="1"/>
  <c r="C148" i="10"/>
  <c r="E272" i="4" s="1"/>
  <c r="C165" i="10"/>
  <c r="E56" i="4" s="1"/>
  <c r="C182" i="10"/>
  <c r="E363" i="4" s="1"/>
  <c r="F25" i="2" s="1"/>
  <c r="E30" i="5" s="1"/>
  <c r="C199" i="10"/>
  <c r="E76" i="4" s="1"/>
  <c r="C216" i="10"/>
  <c r="E294" i="4" s="1"/>
  <c r="C233" i="10"/>
  <c r="E119" i="4" s="1"/>
  <c r="C250" i="10"/>
  <c r="E251" i="4" s="1"/>
  <c r="C267" i="10"/>
  <c r="E202" i="4" s="1"/>
  <c r="C276" i="10"/>
  <c r="E274" i="4" s="1"/>
  <c r="C293" i="10"/>
  <c r="E302" i="4" s="1"/>
  <c r="C310" i="10"/>
  <c r="E275" i="4" s="1"/>
  <c r="C328" i="10"/>
  <c r="E207" i="4" s="1"/>
  <c r="C337" i="10"/>
  <c r="E33" i="4" s="1"/>
  <c r="C346" i="10"/>
  <c r="E185" i="4" s="1"/>
  <c r="C355" i="10"/>
  <c r="E248" i="4" s="1"/>
  <c r="S21" i="14"/>
  <c r="B96" i="14" s="1"/>
  <c r="B17" i="11"/>
  <c r="C3" i="10"/>
  <c r="E74" i="4" s="1"/>
  <c r="C97" i="10"/>
  <c r="E67" i="4" s="1"/>
  <c r="C131" i="10"/>
  <c r="E284" i="4" s="1"/>
  <c r="C225" i="10"/>
  <c r="E333" i="4" s="1"/>
  <c r="C259" i="10"/>
  <c r="E129" i="4" s="1"/>
  <c r="C307" i="10"/>
  <c r="E21" i="4" s="1"/>
  <c r="C331" i="10"/>
  <c r="E61" i="4" s="1"/>
  <c r="C20" i="5" l="1"/>
  <c r="G15" i="2"/>
  <c r="C25" i="5"/>
  <c r="G20" i="2"/>
  <c r="C23" i="5"/>
  <c r="G18" i="2"/>
  <c r="C32" i="5"/>
  <c r="G27" i="2"/>
  <c r="C33" i="5"/>
  <c r="G28" i="2"/>
  <c r="C13" i="5"/>
  <c r="G7" i="2"/>
  <c r="C42" i="5"/>
  <c r="G37" i="2"/>
  <c r="C18" i="5"/>
  <c r="G13" i="2"/>
  <c r="C29" i="5"/>
  <c r="G24" i="2"/>
  <c r="C21" i="5"/>
  <c r="G16" i="2"/>
  <c r="C38" i="5"/>
  <c r="G33" i="2"/>
  <c r="C26" i="5"/>
  <c r="G21" i="2"/>
  <c r="C16" i="5"/>
  <c r="C45" i="5"/>
  <c r="G40" i="2"/>
  <c r="C35" i="5"/>
  <c r="G30" i="2"/>
  <c r="C24" i="5"/>
  <c r="G19" i="2"/>
  <c r="C34" i="5"/>
  <c r="G29" i="2"/>
  <c r="C37" i="5"/>
  <c r="G32" i="2"/>
  <c r="C17" i="5"/>
  <c r="G12" i="2"/>
  <c r="F41" i="2"/>
  <c r="E46" i="5" s="1"/>
  <c r="D8" i="2"/>
  <c r="D23" i="2"/>
  <c r="C41" i="5"/>
  <c r="G36" i="2"/>
  <c r="D41" i="2"/>
  <c r="D25" i="2"/>
  <c r="G45" i="11"/>
  <c r="R67" i="14" s="1"/>
  <c r="A142" i="14" s="1"/>
  <c r="D142" i="14" s="1"/>
  <c r="E142" i="14" s="1"/>
  <c r="D42" i="11"/>
  <c r="D39" i="11"/>
  <c r="G34" i="11"/>
  <c r="R50" i="14" s="1"/>
  <c r="A125" i="14" s="1"/>
  <c r="D125" i="14" s="1"/>
  <c r="E125" i="14" s="1"/>
  <c r="D29" i="11"/>
  <c r="G23" i="11"/>
  <c r="R33" i="14" s="1"/>
  <c r="A108" i="14" s="1"/>
  <c r="D108" i="14" s="1"/>
  <c r="E108" i="14" s="1"/>
  <c r="G12" i="11"/>
  <c r="R16" i="14" s="1"/>
  <c r="A91" i="14" s="1"/>
  <c r="D91" i="14" s="1"/>
  <c r="E91" i="14" s="1"/>
  <c r="D7" i="11"/>
  <c r="G41" i="11"/>
  <c r="R60" i="14" s="1"/>
  <c r="A135" i="14" s="1"/>
  <c r="D135" i="14" s="1"/>
  <c r="E135" i="14" s="1"/>
  <c r="D19" i="11"/>
  <c r="D16" i="11"/>
  <c r="D8" i="11"/>
  <c r="G31" i="11"/>
  <c r="R44" i="14" s="1"/>
  <c r="A119" i="14" s="1"/>
  <c r="D119" i="14" s="1"/>
  <c r="E119" i="14" s="1"/>
  <c r="D28" i="11"/>
  <c r="R38" i="14" s="1"/>
  <c r="A113" i="14" s="1"/>
  <c r="D113" i="14" s="1"/>
  <c r="E113" i="14" s="1"/>
  <c r="G11" i="11"/>
  <c r="R14" i="14" s="1"/>
  <c r="A89" i="14" s="1"/>
  <c r="D89" i="14" s="1"/>
  <c r="E89" i="14" s="1"/>
  <c r="D5" i="11"/>
  <c r="D45" i="11"/>
  <c r="D17" i="11"/>
  <c r="D20" i="11"/>
  <c r="D11" i="11"/>
  <c r="G40" i="11"/>
  <c r="R58" i="14" s="1"/>
  <c r="A133" i="14" s="1"/>
  <c r="D133" i="14" s="1"/>
  <c r="E133" i="14" s="1"/>
  <c r="G35" i="11"/>
  <c r="R52" i="14" s="1"/>
  <c r="A127" i="14" s="1"/>
  <c r="D127" i="14" s="1"/>
  <c r="E127" i="14" s="1"/>
  <c r="G32" i="11"/>
  <c r="R46" i="14" s="1"/>
  <c r="A121" i="14" s="1"/>
  <c r="D121" i="14" s="1"/>
  <c r="E121" i="14" s="1"/>
  <c r="G29" i="11"/>
  <c r="R40" i="14" s="1"/>
  <c r="A115" i="14" s="1"/>
  <c r="D115" i="14" s="1"/>
  <c r="E115" i="14" s="1"/>
  <c r="D23" i="11"/>
  <c r="G16" i="11"/>
  <c r="R20" i="14" s="1"/>
  <c r="A95" i="14" s="1"/>
  <c r="D95" i="14" s="1"/>
  <c r="E95" i="14" s="1"/>
  <c r="G44" i="11"/>
  <c r="R65" i="14" s="1"/>
  <c r="A140" i="14" s="1"/>
  <c r="D140" i="14" s="1"/>
  <c r="E140" i="14" s="1"/>
  <c r="G19" i="11"/>
  <c r="R26" i="14" s="1"/>
  <c r="A101" i="14" s="1"/>
  <c r="D101" i="14" s="1"/>
  <c r="E101" i="14" s="1"/>
  <c r="G7" i="11"/>
  <c r="R6" i="14" s="1"/>
  <c r="A81" i="14" s="1"/>
  <c r="D81" i="14" s="1"/>
  <c r="E81" i="14" s="1"/>
  <c r="D40" i="11"/>
  <c r="D35" i="11"/>
  <c r="D32" i="11"/>
  <c r="G13" i="11"/>
  <c r="R18" i="14" s="1"/>
  <c r="A93" i="14" s="1"/>
  <c r="D93" i="14" s="1"/>
  <c r="E93" i="14" s="1"/>
  <c r="G10" i="11"/>
  <c r="R12" i="14" s="1"/>
  <c r="A87" i="14" s="1"/>
  <c r="D87" i="14" s="1"/>
  <c r="E87" i="14" s="1"/>
  <c r="D44" i="11"/>
  <c r="G22" i="11"/>
  <c r="R31" i="14" s="1"/>
  <c r="A106" i="14" s="1"/>
  <c r="D106" i="14" s="1"/>
  <c r="E106" i="14" s="1"/>
  <c r="D13" i="11"/>
  <c r="D10" i="11"/>
  <c r="D22" i="11"/>
  <c r="D6" i="11"/>
  <c r="R4" i="14" s="1"/>
  <c r="A79" i="14" s="1"/>
  <c r="D79" i="14" s="1"/>
  <c r="E79" i="14" s="1"/>
  <c r="G46" i="11"/>
  <c r="R69" i="14" s="1"/>
  <c r="A144" i="14" s="1"/>
  <c r="D144" i="14" s="1"/>
  <c r="E144" i="14" s="1"/>
  <c r="D43" i="11"/>
  <c r="R63" i="14" s="1"/>
  <c r="A138" i="14" s="1"/>
  <c r="D138" i="14" s="1"/>
  <c r="E138" i="14" s="1"/>
  <c r="G39" i="11"/>
  <c r="R56" i="14" s="1"/>
  <c r="A131" i="14" s="1"/>
  <c r="D131" i="14" s="1"/>
  <c r="E131" i="14" s="1"/>
  <c r="D31" i="11"/>
  <c r="G27" i="11"/>
  <c r="R37" i="14" s="1"/>
  <c r="A112" i="14" s="1"/>
  <c r="D112" i="14" s="1"/>
  <c r="E112" i="14" s="1"/>
  <c r="G18" i="11"/>
  <c r="R24" i="14" s="1"/>
  <c r="A99" i="14" s="1"/>
  <c r="D99" i="14" s="1"/>
  <c r="E99" i="14" s="1"/>
  <c r="D34" i="11"/>
  <c r="D27" i="11"/>
  <c r="G9" i="11"/>
  <c r="R10" i="14" s="1"/>
  <c r="A85" i="14" s="1"/>
  <c r="D85" i="14" s="1"/>
  <c r="E85" i="14" s="1"/>
  <c r="D46" i="11"/>
  <c r="D21" i="11"/>
  <c r="R29" i="14" s="1"/>
  <c r="A104" i="14" s="1"/>
  <c r="D104" i="14" s="1"/>
  <c r="E104" i="14" s="1"/>
  <c r="D18" i="11"/>
  <c r="G42" i="11"/>
  <c r="R62" i="14" s="1"/>
  <c r="A137" i="14" s="1"/>
  <c r="D137" i="14" s="1"/>
  <c r="E137" i="14" s="1"/>
  <c r="G24" i="11"/>
  <c r="R35" i="14" s="1"/>
  <c r="A110" i="14" s="1"/>
  <c r="D110" i="14" s="1"/>
  <c r="E110" i="14" s="1"/>
  <c r="D12" i="11"/>
  <c r="D9" i="11"/>
  <c r="G5" i="11"/>
  <c r="R3" i="14" s="1"/>
  <c r="A78" i="14" s="1"/>
  <c r="D78" i="14" s="1"/>
  <c r="E78" i="14" s="1"/>
  <c r="G38" i="11"/>
  <c r="R54" i="14" s="1"/>
  <c r="A129" i="14" s="1"/>
  <c r="D129" i="14" s="1"/>
  <c r="E129" i="14" s="1"/>
  <c r="G33" i="11"/>
  <c r="R48" i="14" s="1"/>
  <c r="A123" i="14" s="1"/>
  <c r="D123" i="14" s="1"/>
  <c r="E123" i="14" s="1"/>
  <c r="G30" i="11"/>
  <c r="R42" i="14" s="1"/>
  <c r="A117" i="14" s="1"/>
  <c r="D117" i="14" s="1"/>
  <c r="E117" i="14" s="1"/>
  <c r="D24" i="11"/>
  <c r="G17" i="11"/>
  <c r="R22" i="14" s="1"/>
  <c r="A97" i="14" s="1"/>
  <c r="D97" i="14" s="1"/>
  <c r="E97" i="14" s="1"/>
  <c r="E173" i="4"/>
  <c r="G20" i="11"/>
  <c r="R28" i="14" s="1"/>
  <c r="A103" i="14" s="1"/>
  <c r="D103" i="14" s="1"/>
  <c r="E103" i="14" s="1"/>
  <c r="D38" i="11"/>
  <c r="D30" i="11"/>
  <c r="G8" i="11"/>
  <c r="R8" i="14" s="1"/>
  <c r="A83" i="14" s="1"/>
  <c r="D83" i="14" s="1"/>
  <c r="E83" i="14" s="1"/>
  <c r="D41" i="11"/>
  <c r="D33" i="11"/>
  <c r="E110" i="4"/>
  <c r="F23" i="2" s="1"/>
  <c r="E28" i="5" s="1"/>
  <c r="C24" i="3"/>
  <c r="C12" i="5"/>
  <c r="G6" i="2"/>
  <c r="D17" i="2"/>
  <c r="D35" i="2"/>
  <c r="F8" i="2"/>
  <c r="E14" i="5" s="1"/>
  <c r="D5" i="2"/>
  <c r="D34" i="2"/>
  <c r="D14" i="2"/>
  <c r="F11" i="2"/>
  <c r="E16" i="5" s="1"/>
  <c r="D31" i="2"/>
  <c r="E315" i="4"/>
  <c r="C25" i="3"/>
  <c r="C44" i="5"/>
  <c r="G39" i="2"/>
  <c r="C26" i="3" l="1"/>
  <c r="C27" i="3" s="1"/>
  <c r="C32" i="3" s="1"/>
  <c r="R64" i="14"/>
  <c r="A139" i="14" s="1"/>
  <c r="D139" i="14" s="1"/>
  <c r="E139" i="14" s="1"/>
  <c r="H44" i="11"/>
  <c r="R27" i="14"/>
  <c r="A102" i="14" s="1"/>
  <c r="D102" i="14" s="1"/>
  <c r="E102" i="14" s="1"/>
  <c r="H20" i="11"/>
  <c r="R55" i="14"/>
  <c r="A130" i="14" s="1"/>
  <c r="D130" i="14" s="1"/>
  <c r="E130" i="14" s="1"/>
  <c r="H39" i="11"/>
  <c r="F24" i="5"/>
  <c r="H19" i="2"/>
  <c r="F18" i="5"/>
  <c r="H13" i="2"/>
  <c r="C19" i="5"/>
  <c r="G14" i="2"/>
  <c r="R41" i="14"/>
  <c r="A116" i="14" s="1"/>
  <c r="D116" i="14" s="1"/>
  <c r="E116" i="14" s="1"/>
  <c r="H30" i="11"/>
  <c r="R68" i="14"/>
  <c r="A143" i="14" s="1"/>
  <c r="D143" i="14" s="1"/>
  <c r="E143" i="14" s="1"/>
  <c r="H46" i="11"/>
  <c r="R21" i="14"/>
  <c r="A96" i="14" s="1"/>
  <c r="D96" i="14" s="1"/>
  <c r="E96" i="14" s="1"/>
  <c r="H17" i="11"/>
  <c r="R61" i="14"/>
  <c r="A136" i="14" s="1"/>
  <c r="D136" i="14" s="1"/>
  <c r="E136" i="14" s="1"/>
  <c r="H42" i="11"/>
  <c r="C36" i="5"/>
  <c r="G31" i="2"/>
  <c r="R53" i="14"/>
  <c r="A128" i="14" s="1"/>
  <c r="D128" i="14" s="1"/>
  <c r="E128" i="14" s="1"/>
  <c r="H38" i="11"/>
  <c r="R66" i="14"/>
  <c r="A141" i="14" s="1"/>
  <c r="D141" i="14" s="1"/>
  <c r="E141" i="14" s="1"/>
  <c r="H45" i="11"/>
  <c r="F35" i="5"/>
  <c r="H30" i="2"/>
  <c r="F42" i="5"/>
  <c r="H37" i="2"/>
  <c r="C30" i="5"/>
  <c r="G25" i="2"/>
  <c r="C46" i="5"/>
  <c r="G41" i="2"/>
  <c r="F45" i="5"/>
  <c r="H40" i="2"/>
  <c r="F13" i="5"/>
  <c r="H7" i="2"/>
  <c r="C39" i="5"/>
  <c r="G34" i="2"/>
  <c r="R57" i="14"/>
  <c r="A132" i="14" s="1"/>
  <c r="D132" i="14" s="1"/>
  <c r="E132" i="14" s="1"/>
  <c r="H40" i="11"/>
  <c r="F41" i="5"/>
  <c r="H36" i="2"/>
  <c r="C11" i="5"/>
  <c r="G5" i="2"/>
  <c r="R34" i="14"/>
  <c r="A109" i="14" s="1"/>
  <c r="D109" i="14" s="1"/>
  <c r="E109" i="14" s="1"/>
  <c r="H24" i="11"/>
  <c r="G11" i="2"/>
  <c r="F33" i="5"/>
  <c r="H28" i="2"/>
  <c r="C28" i="5"/>
  <c r="G23" i="2"/>
  <c r="C14" i="5"/>
  <c r="G8" i="2"/>
  <c r="F26" i="5"/>
  <c r="H21" i="2"/>
  <c r="F32" i="5"/>
  <c r="H27" i="2"/>
  <c r="C40" i="5"/>
  <c r="G35" i="2"/>
  <c r="R25" i="14"/>
  <c r="A100" i="14" s="1"/>
  <c r="D100" i="14" s="1"/>
  <c r="E100" i="14" s="1"/>
  <c r="H19" i="11"/>
  <c r="F12" i="5"/>
  <c r="H6" i="2"/>
  <c r="R32" i="14"/>
  <c r="A107" i="14" s="1"/>
  <c r="D107" i="14" s="1"/>
  <c r="E107" i="14" s="1"/>
  <c r="H23" i="11"/>
  <c r="F17" i="5"/>
  <c r="H12" i="2"/>
  <c r="F38" i="5"/>
  <c r="H33" i="2"/>
  <c r="F23" i="5"/>
  <c r="H18" i="2"/>
  <c r="C22" i="5"/>
  <c r="G17" i="2"/>
  <c r="R9" i="14"/>
  <c r="A84" i="14" s="1"/>
  <c r="D84" i="14" s="1"/>
  <c r="E84" i="14" s="1"/>
  <c r="H9" i="11"/>
  <c r="R5" i="14"/>
  <c r="A80" i="14" s="1"/>
  <c r="D80" i="14" s="1"/>
  <c r="E80" i="14" s="1"/>
  <c r="H7" i="11"/>
  <c r="R15" i="14"/>
  <c r="A90" i="14" s="1"/>
  <c r="D90" i="14" s="1"/>
  <c r="E90" i="14" s="1"/>
  <c r="H12" i="11"/>
  <c r="R30" i="14"/>
  <c r="A105" i="14" s="1"/>
  <c r="D105" i="14" s="1"/>
  <c r="E105" i="14" s="1"/>
  <c r="H22" i="11"/>
  <c r="F37" i="5"/>
  <c r="H32" i="2"/>
  <c r="F21" i="5"/>
  <c r="H16" i="2"/>
  <c r="F25" i="5"/>
  <c r="H20" i="2"/>
  <c r="R45" i="14"/>
  <c r="A120" i="14" s="1"/>
  <c r="D120" i="14" s="1"/>
  <c r="E120" i="14" s="1"/>
  <c r="H32" i="11"/>
  <c r="R43" i="14"/>
  <c r="A118" i="14" s="1"/>
  <c r="D118" i="14" s="1"/>
  <c r="E118" i="14" s="1"/>
  <c r="H31" i="11"/>
  <c r="R11" i="14"/>
  <c r="A86" i="14" s="1"/>
  <c r="D86" i="14" s="1"/>
  <c r="E86" i="14" s="1"/>
  <c r="H10" i="11"/>
  <c r="F44" i="5"/>
  <c r="H39" i="2"/>
  <c r="R47" i="14"/>
  <c r="A122" i="14" s="1"/>
  <c r="D122" i="14" s="1"/>
  <c r="E122" i="14" s="1"/>
  <c r="H33" i="11"/>
  <c r="R17" i="14"/>
  <c r="A92" i="14" s="1"/>
  <c r="D92" i="14" s="1"/>
  <c r="E92" i="14" s="1"/>
  <c r="H13" i="11"/>
  <c r="R39" i="14"/>
  <c r="A114" i="14" s="1"/>
  <c r="D114" i="14" s="1"/>
  <c r="E114" i="14" s="1"/>
  <c r="H29" i="11"/>
  <c r="F34" i="5"/>
  <c r="H29" i="2"/>
  <c r="F29" i="5"/>
  <c r="H24" i="2"/>
  <c r="F20" i="5"/>
  <c r="H15" i="2"/>
  <c r="R36" i="14"/>
  <c r="A111" i="14" s="1"/>
  <c r="D111" i="14" s="1"/>
  <c r="E111" i="14" s="1"/>
  <c r="H27" i="11"/>
  <c r="R2" i="14"/>
  <c r="H5" i="11"/>
  <c r="R49" i="14"/>
  <c r="A124" i="14" s="1"/>
  <c r="D124" i="14" s="1"/>
  <c r="E124" i="14" s="1"/>
  <c r="H34" i="11"/>
  <c r="R51" i="14"/>
  <c r="A126" i="14" s="1"/>
  <c r="D126" i="14" s="1"/>
  <c r="E126" i="14" s="1"/>
  <c r="H35" i="11"/>
  <c r="R7" i="14"/>
  <c r="A82" i="14" s="1"/>
  <c r="D82" i="14" s="1"/>
  <c r="E82" i="14" s="1"/>
  <c r="H8" i="11"/>
  <c r="R19" i="14"/>
  <c r="A94" i="14" s="1"/>
  <c r="D94" i="14" s="1"/>
  <c r="E94" i="14" s="1"/>
  <c r="H16" i="11"/>
  <c r="R59" i="14"/>
  <c r="A134" i="14" s="1"/>
  <c r="D134" i="14" s="1"/>
  <c r="E134" i="14" s="1"/>
  <c r="H41" i="11"/>
  <c r="R23" i="14"/>
  <c r="A98" i="14" s="1"/>
  <c r="D98" i="14" s="1"/>
  <c r="E98" i="14" s="1"/>
  <c r="H18" i="11"/>
  <c r="R13" i="14"/>
  <c r="A88" i="14" s="1"/>
  <c r="D88" i="14" s="1"/>
  <c r="E88" i="14" s="1"/>
  <c r="H11" i="11"/>
  <c r="C31" i="3" l="1"/>
  <c r="C34" i="3" s="1"/>
  <c r="C37" i="3" s="1"/>
  <c r="F30" i="5"/>
  <c r="H25" i="2"/>
  <c r="G20" i="5"/>
  <c r="I15" i="2"/>
  <c r="C45" i="2" s="1"/>
  <c r="F11" i="5"/>
  <c r="H5" i="2"/>
  <c r="G42" i="5"/>
  <c r="I37" i="2"/>
  <c r="C56" i="2" s="1"/>
  <c r="F40" i="5"/>
  <c r="H35" i="2"/>
  <c r="G29" i="5"/>
  <c r="I24" i="2"/>
  <c r="E50" i="2" s="1"/>
  <c r="G41" i="5"/>
  <c r="I36" i="2"/>
  <c r="E56" i="2" s="1"/>
  <c r="G35" i="5"/>
  <c r="I30" i="2"/>
  <c r="E53" i="2" s="1"/>
  <c r="F19" i="5"/>
  <c r="H14" i="2"/>
  <c r="G34" i="5"/>
  <c r="I29" i="2"/>
  <c r="C52" i="2" s="1"/>
  <c r="G25" i="5"/>
  <c r="I20" i="2"/>
  <c r="E48" i="2" s="1"/>
  <c r="F22" i="5"/>
  <c r="H17" i="2"/>
  <c r="G32" i="5"/>
  <c r="I27" i="2"/>
  <c r="E51" i="2" s="1"/>
  <c r="G18" i="5"/>
  <c r="I13" i="2"/>
  <c r="C44" i="2" s="1"/>
  <c r="G21" i="5"/>
  <c r="I16" i="2"/>
  <c r="E46" i="2" s="1"/>
  <c r="G23" i="5"/>
  <c r="I18" i="2"/>
  <c r="C47" i="2" s="1"/>
  <c r="G26" i="5"/>
  <c r="I21" i="2"/>
  <c r="C48" i="2" s="1"/>
  <c r="G24" i="5"/>
  <c r="I19" i="2"/>
  <c r="E47" i="2" s="1"/>
  <c r="F39" i="5"/>
  <c r="H34" i="2"/>
  <c r="G37" i="5"/>
  <c r="I32" i="2"/>
  <c r="E54" i="2" s="1"/>
  <c r="G38" i="5"/>
  <c r="I33" i="2"/>
  <c r="C54" i="2" s="1"/>
  <c r="F14" i="5"/>
  <c r="H8" i="2"/>
  <c r="G45" i="5"/>
  <c r="I40" i="2"/>
  <c r="E58" i="2" s="1"/>
  <c r="K68" i="14"/>
  <c r="D33" i="14"/>
  <c r="F33" i="14" s="1"/>
  <c r="D68" i="14"/>
  <c r="F68" i="14" s="1"/>
  <c r="K20" i="14"/>
  <c r="E19" i="14"/>
  <c r="H19" i="14" s="1"/>
  <c r="E57" i="14"/>
  <c r="H57" i="14" s="1"/>
  <c r="D62" i="14"/>
  <c r="F62" i="14" s="1"/>
  <c r="D30" i="14"/>
  <c r="F30" i="14" s="1"/>
  <c r="K11" i="14"/>
  <c r="K27" i="14"/>
  <c r="K49" i="14"/>
  <c r="K22" i="14"/>
  <c r="K45" i="14"/>
  <c r="K36" i="14"/>
  <c r="A77" i="14"/>
  <c r="D77" i="14" s="1"/>
  <c r="E67" i="14"/>
  <c r="H67" i="14" s="1"/>
  <c r="D49" i="14"/>
  <c r="F49" i="14" s="1"/>
  <c r="K33" i="14"/>
  <c r="E27" i="14"/>
  <c r="H27" i="14" s="1"/>
  <c r="D11" i="14"/>
  <c r="F11" i="14" s="1"/>
  <c r="E55" i="14"/>
  <c r="H55" i="14" s="1"/>
  <c r="E49" i="14"/>
  <c r="H49" i="14" s="1"/>
  <c r="K7" i="14"/>
  <c r="K29" i="14"/>
  <c r="E39" i="14"/>
  <c r="H39" i="14" s="1"/>
  <c r="D27" i="14"/>
  <c r="F27" i="14" s="1"/>
  <c r="E12" i="14"/>
  <c r="H12" i="14" s="1"/>
  <c r="D36" i="14"/>
  <c r="F36" i="14" s="1"/>
  <c r="D59" i="14"/>
  <c r="F59" i="14" s="1"/>
  <c r="K23" i="14"/>
  <c r="E11" i="14"/>
  <c r="H11" i="14" s="1"/>
  <c r="D34" i="14"/>
  <c r="F34" i="14" s="1"/>
  <c r="D71" i="14"/>
  <c r="F71" i="14" s="1"/>
  <c r="K69" i="14"/>
  <c r="K42" i="14"/>
  <c r="D13" i="14"/>
  <c r="F13" i="14" s="1"/>
  <c r="E52" i="14"/>
  <c r="H52" i="14" s="1"/>
  <c r="E26" i="14"/>
  <c r="H26" i="14" s="1"/>
  <c r="K52" i="14"/>
  <c r="K38" i="14"/>
  <c r="K54" i="14"/>
  <c r="K18" i="14"/>
  <c r="K64" i="14"/>
  <c r="E71" i="14"/>
  <c r="H71" i="14" s="1"/>
  <c r="E29" i="14"/>
  <c r="H29" i="14" s="1"/>
  <c r="K5" i="14"/>
  <c r="K62" i="14"/>
  <c r="E8" i="14"/>
  <c r="H8" i="14" s="1"/>
  <c r="E65" i="14"/>
  <c r="H65" i="14" s="1"/>
  <c r="K28" i="14"/>
  <c r="E5" i="14"/>
  <c r="H5" i="14" s="1"/>
  <c r="K40" i="14"/>
  <c r="E66" i="14"/>
  <c r="H66" i="14" s="1"/>
  <c r="D66" i="14"/>
  <c r="F66" i="14" s="1"/>
  <c r="E62" i="14"/>
  <c r="H62" i="14" s="1"/>
  <c r="D28" i="14"/>
  <c r="F28" i="14" s="1"/>
  <c r="E22" i="14"/>
  <c r="H22" i="14" s="1"/>
  <c r="K71" i="14"/>
  <c r="D5" i="14"/>
  <c r="F5" i="14" s="1"/>
  <c r="E40" i="14"/>
  <c r="H40" i="14" s="1"/>
  <c r="D55" i="14"/>
  <c r="F55" i="14" s="1"/>
  <c r="E43" i="14"/>
  <c r="H43" i="14" s="1"/>
  <c r="D58" i="14"/>
  <c r="F58" i="14" s="1"/>
  <c r="K58" i="14"/>
  <c r="K51" i="14"/>
  <c r="D61" i="14"/>
  <c r="F61" i="14" s="1"/>
  <c r="E23" i="14"/>
  <c r="H23" i="14" s="1"/>
  <c r="D6" i="14"/>
  <c r="F6" i="14" s="1"/>
  <c r="D40" i="14"/>
  <c r="F40" i="14" s="1"/>
  <c r="K8" i="14"/>
  <c r="K35" i="14"/>
  <c r="D22" i="14"/>
  <c r="F22" i="14" s="1"/>
  <c r="K43" i="14"/>
  <c r="E30" i="14"/>
  <c r="H30" i="14" s="1"/>
  <c r="D31" i="14"/>
  <c r="F31" i="14" s="1"/>
  <c r="K10" i="14"/>
  <c r="E63" i="14"/>
  <c r="H63" i="14" s="1"/>
  <c r="K67" i="14"/>
  <c r="E37" i="14"/>
  <c r="H37" i="14" s="1"/>
  <c r="D54" i="14"/>
  <c r="F54" i="14" s="1"/>
  <c r="K47" i="14"/>
  <c r="D10" i="14"/>
  <c r="F10" i="14" s="1"/>
  <c r="D8" i="14"/>
  <c r="F8" i="14" s="1"/>
  <c r="K72" i="14"/>
  <c r="D12" i="14"/>
  <c r="F12" i="14" s="1"/>
  <c r="K17" i="14"/>
  <c r="E53" i="14"/>
  <c r="H53" i="14" s="1"/>
  <c r="K21" i="14"/>
  <c r="D47" i="14"/>
  <c r="F47" i="14" s="1"/>
  <c r="K15" i="14"/>
  <c r="D25" i="14"/>
  <c r="F25" i="14" s="1"/>
  <c r="K16" i="14"/>
  <c r="D70" i="14"/>
  <c r="F70" i="14" s="1"/>
  <c r="D20" i="14"/>
  <c r="F20" i="14" s="1"/>
  <c r="D24" i="14"/>
  <c r="F24" i="14" s="1"/>
  <c r="D7" i="14"/>
  <c r="F7" i="14" s="1"/>
  <c r="E14" i="14"/>
  <c r="H14" i="14" s="1"/>
  <c r="D50" i="14"/>
  <c r="F50" i="14" s="1"/>
  <c r="E9" i="14"/>
  <c r="H9" i="14" s="1"/>
  <c r="K30" i="14"/>
  <c r="D72" i="14"/>
  <c r="F72" i="14" s="1"/>
  <c r="E33" i="14"/>
  <c r="H33" i="14" s="1"/>
  <c r="D21" i="14"/>
  <c r="F21" i="14" s="1"/>
  <c r="E47" i="14"/>
  <c r="H47" i="14" s="1"/>
  <c r="E15" i="14"/>
  <c r="H15" i="14" s="1"/>
  <c r="K25" i="14"/>
  <c r="D16" i="14"/>
  <c r="F16" i="14" s="1"/>
  <c r="K66" i="14"/>
  <c r="E24" i="14"/>
  <c r="H24" i="14" s="1"/>
  <c r="E68" i="14"/>
  <c r="H68" i="14" s="1"/>
  <c r="E46" i="14"/>
  <c r="H46" i="14" s="1"/>
  <c r="D18" i="14"/>
  <c r="F18" i="14" s="1"/>
  <c r="E17" i="14"/>
  <c r="H17" i="14" s="1"/>
  <c r="D53" i="14"/>
  <c r="F53" i="14" s="1"/>
  <c r="E21" i="14"/>
  <c r="H21" i="14" s="1"/>
  <c r="D15" i="14"/>
  <c r="F15" i="14" s="1"/>
  <c r="E25" i="14"/>
  <c r="H25" i="14" s="1"/>
  <c r="E70" i="14"/>
  <c r="H70" i="14" s="1"/>
  <c r="D14" i="14"/>
  <c r="F14" i="14" s="1"/>
  <c r="K31" i="14"/>
  <c r="D52" i="14"/>
  <c r="F52" i="14" s="1"/>
  <c r="E69" i="14"/>
  <c r="H69" i="14" s="1"/>
  <c r="D38" i="14"/>
  <c r="F38" i="14" s="1"/>
  <c r="K12" i="14"/>
  <c r="D17" i="14"/>
  <c r="F17" i="14" s="1"/>
  <c r="K53" i="14"/>
  <c r="K44" i="14"/>
  <c r="K61" i="14"/>
  <c r="D26" i="14"/>
  <c r="F26" i="14" s="1"/>
  <c r="K70" i="14"/>
  <c r="K39" i="14"/>
  <c r="K46" i="14"/>
  <c r="D23" i="14"/>
  <c r="F23" i="14" s="1"/>
  <c r="D46" i="14"/>
  <c r="F46" i="14" s="1"/>
  <c r="K65" i="14"/>
  <c r="K24" i="14"/>
  <c r="E56" i="14"/>
  <c r="H56" i="14" s="1"/>
  <c r="E44" i="14"/>
  <c r="H44" i="14" s="1"/>
  <c r="K60" i="14"/>
  <c r="D43" i="14"/>
  <c r="F43" i="14" s="1"/>
  <c r="E20" i="14"/>
  <c r="H20" i="14" s="1"/>
  <c r="E42" i="14"/>
  <c r="H42" i="14" s="1"/>
  <c r="D51" i="14"/>
  <c r="F51" i="14" s="1"/>
  <c r="D29" i="14"/>
  <c r="F29" i="14" s="1"/>
  <c r="E72" i="14"/>
  <c r="H72" i="14" s="1"/>
  <c r="K37" i="14"/>
  <c r="K26" i="14"/>
  <c r="D56" i="14"/>
  <c r="F56" i="14" s="1"/>
  <c r="D44" i="14"/>
  <c r="F44" i="14" s="1"/>
  <c r="E60" i="14"/>
  <c r="H60" i="14" s="1"/>
  <c r="D32" i="14"/>
  <c r="F32" i="14" s="1"/>
  <c r="E58" i="14"/>
  <c r="H58" i="14" s="1"/>
  <c r="K55" i="14"/>
  <c r="D65" i="14"/>
  <c r="F65" i="14" s="1"/>
  <c r="K57" i="14"/>
  <c r="E34" i="14"/>
  <c r="H34" i="14" s="1"/>
  <c r="E38" i="14"/>
  <c r="H38" i="14" s="1"/>
  <c r="E18" i="14"/>
  <c r="H18" i="14" s="1"/>
  <c r="K13" i="14"/>
  <c r="E16" i="14"/>
  <c r="H16" i="14" s="1"/>
  <c r="E61" i="14"/>
  <c r="H61" i="14" s="1"/>
  <c r="K59" i="14"/>
  <c r="E36" i="14"/>
  <c r="H36" i="14" s="1"/>
  <c r="D42" i="14"/>
  <c r="F42" i="14" s="1"/>
  <c r="E64" i="14"/>
  <c r="H64" i="14" s="1"/>
  <c r="E41" i="14"/>
  <c r="H41" i="14" s="1"/>
  <c r="D69" i="14"/>
  <c r="F69" i="14" s="1"/>
  <c r="E13" i="14"/>
  <c r="H13" i="14" s="1"/>
  <c r="D63" i="14"/>
  <c r="F63" i="14" s="1"/>
  <c r="D39" i="14"/>
  <c r="F39" i="14" s="1"/>
  <c r="E10" i="14"/>
  <c r="H10" i="14" s="1"/>
  <c r="E48" i="14"/>
  <c r="H48" i="14" s="1"/>
  <c r="D37" i="14"/>
  <c r="F37" i="14" s="1"/>
  <c r="D64" i="14"/>
  <c r="F64" i="14" s="1"/>
  <c r="K34" i="14"/>
  <c r="K9" i="14"/>
  <c r="K56" i="14"/>
  <c r="D60" i="14"/>
  <c r="F60" i="14" s="1"/>
  <c r="K32" i="14"/>
  <c r="K6" i="14"/>
  <c r="D48" i="14"/>
  <c r="F48" i="14" s="1"/>
  <c r="E6" i="14"/>
  <c r="H6" i="14" s="1"/>
  <c r="D19" i="14"/>
  <c r="F19" i="14" s="1"/>
  <c r="K41" i="14"/>
  <c r="D57" i="14"/>
  <c r="F57" i="14" s="1"/>
  <c r="K19" i="14"/>
  <c r="D9" i="14"/>
  <c r="F9" i="14" s="1"/>
  <c r="E51" i="14"/>
  <c r="H51" i="14" s="1"/>
  <c r="K14" i="14"/>
  <c r="E28" i="14"/>
  <c r="H28" i="14" s="1"/>
  <c r="K63" i="14"/>
  <c r="D67" i="14"/>
  <c r="F67" i="14" s="1"/>
  <c r="E7" i="14"/>
  <c r="H7" i="14" s="1"/>
  <c r="E54" i="14"/>
  <c r="H54" i="14" s="1"/>
  <c r="E32" i="14"/>
  <c r="H32" i="14" s="1"/>
  <c r="E35" i="14"/>
  <c r="H35" i="14" s="1"/>
  <c r="K48" i="14"/>
  <c r="D41" i="14"/>
  <c r="F41" i="14" s="1"/>
  <c r="E31" i="14"/>
  <c r="H31" i="14" s="1"/>
  <c r="E59" i="14"/>
  <c r="H59" i="14" s="1"/>
  <c r="D35" i="14"/>
  <c r="F35" i="14" s="1"/>
  <c r="K50" i="14"/>
  <c r="D45" i="14"/>
  <c r="F45" i="14" s="1"/>
  <c r="E45" i="14"/>
  <c r="H45" i="14" s="1"/>
  <c r="E50" i="14"/>
  <c r="H50" i="14" s="1"/>
  <c r="G44" i="5"/>
  <c r="I39" i="2"/>
  <c r="C57" i="2" s="1"/>
  <c r="G13" i="5"/>
  <c r="I7" i="2"/>
  <c r="E26" i="2" s="1"/>
  <c r="F36" i="5"/>
  <c r="H31" i="2"/>
  <c r="G17" i="5"/>
  <c r="I12" i="2"/>
  <c r="E44" i="2" s="1"/>
  <c r="F28" i="5"/>
  <c r="H23" i="2"/>
  <c r="G33" i="5"/>
  <c r="I28" i="2"/>
  <c r="E52" i="2" s="1"/>
  <c r="F46" i="5"/>
  <c r="H41" i="2"/>
  <c r="G12" i="5"/>
  <c r="I6" i="2"/>
  <c r="E22" i="2" s="1"/>
  <c r="F16" i="5"/>
  <c r="H11" i="2"/>
  <c r="B151" i="14" l="1"/>
  <c r="E77" i="14"/>
  <c r="J64" i="14"/>
  <c r="I64" i="14"/>
  <c r="G64" i="14"/>
  <c r="I20" i="14"/>
  <c r="G20" i="14"/>
  <c r="J20" i="14"/>
  <c r="B150" i="14"/>
  <c r="B149" i="14"/>
  <c r="B152" i="14" s="1"/>
  <c r="G14" i="5"/>
  <c r="I8" i="2"/>
  <c r="E38" i="2" s="1"/>
  <c r="D48" i="5"/>
  <c r="F44" i="2"/>
  <c r="E48" i="5" s="1"/>
  <c r="J59" i="14"/>
  <c r="I59" i="14"/>
  <c r="G59" i="14"/>
  <c r="B60" i="5"/>
  <c r="D56" i="2"/>
  <c r="I43" i="14"/>
  <c r="J43" i="14"/>
  <c r="G43" i="14"/>
  <c r="I36" i="14"/>
  <c r="G36" i="14"/>
  <c r="J36" i="14"/>
  <c r="B58" i="5"/>
  <c r="D54" i="2"/>
  <c r="G51" i="14"/>
  <c r="J51" i="14"/>
  <c r="I51" i="14"/>
  <c r="J17" i="14"/>
  <c r="I17" i="14"/>
  <c r="G17" i="14"/>
  <c r="J45" i="14"/>
  <c r="G45" i="14"/>
  <c r="I45" i="14"/>
  <c r="J9" i="14"/>
  <c r="I9" i="14"/>
  <c r="G9" i="14"/>
  <c r="G38" i="14"/>
  <c r="J38" i="14"/>
  <c r="I38" i="14"/>
  <c r="I16" i="14"/>
  <c r="G16" i="14"/>
  <c r="J16" i="14"/>
  <c r="J25" i="14"/>
  <c r="I25" i="14"/>
  <c r="G25" i="14"/>
  <c r="J31" i="14"/>
  <c r="I31" i="14"/>
  <c r="G31" i="14"/>
  <c r="B159" i="14" a="1"/>
  <c r="B159" i="14" s="1"/>
  <c r="B157" i="14"/>
  <c r="J5" i="14"/>
  <c r="I5" i="14"/>
  <c r="G5" i="14"/>
  <c r="D54" i="5"/>
  <c r="G46" i="5"/>
  <c r="I41" i="2"/>
  <c r="C58" i="2" s="1"/>
  <c r="J39" i="14"/>
  <c r="I39" i="14"/>
  <c r="G39" i="14"/>
  <c r="I65" i="14"/>
  <c r="J65" i="14"/>
  <c r="G65" i="14"/>
  <c r="I27" i="14"/>
  <c r="J27" i="14"/>
  <c r="G27" i="14"/>
  <c r="D58" i="5"/>
  <c r="F54" i="2"/>
  <c r="E58" i="5" s="1"/>
  <c r="C22" i="3"/>
  <c r="C33" i="3" s="1"/>
  <c r="C35" i="3"/>
  <c r="C36" i="3" s="1"/>
  <c r="G35" i="14"/>
  <c r="J35" i="14"/>
  <c r="I35" i="14"/>
  <c r="J57" i="14"/>
  <c r="I57" i="14"/>
  <c r="G57" i="14"/>
  <c r="J63" i="14"/>
  <c r="I63" i="14"/>
  <c r="G63" i="14"/>
  <c r="I52" i="14"/>
  <c r="G52" i="14"/>
  <c r="J52" i="14"/>
  <c r="J47" i="14"/>
  <c r="I47" i="14"/>
  <c r="G47" i="14"/>
  <c r="D55" i="5"/>
  <c r="G40" i="5"/>
  <c r="I35" i="2"/>
  <c r="E55" i="2" s="1"/>
  <c r="J37" i="14"/>
  <c r="I37" i="14"/>
  <c r="G37" i="14"/>
  <c r="G70" i="14"/>
  <c r="J70" i="14"/>
  <c r="I70" i="14"/>
  <c r="B56" i="5"/>
  <c r="D52" i="2"/>
  <c r="G22" i="14"/>
  <c r="J22" i="14"/>
  <c r="I22" i="14"/>
  <c r="I28" i="14"/>
  <c r="G28" i="14"/>
  <c r="J28" i="14"/>
  <c r="I30" i="14"/>
  <c r="J30" i="14"/>
  <c r="G30" i="14"/>
  <c r="G39" i="5"/>
  <c r="I34" i="2"/>
  <c r="C55" i="2" s="1"/>
  <c r="G16" i="5"/>
  <c r="I11" i="2"/>
  <c r="E43" i="2" s="1"/>
  <c r="J58" i="14"/>
  <c r="I58" i="14"/>
  <c r="G58" i="14"/>
  <c r="D27" i="5"/>
  <c r="F22" i="2"/>
  <c r="E27" i="5" s="1"/>
  <c r="D22" i="2"/>
  <c r="G28" i="5"/>
  <c r="I23" i="2"/>
  <c r="C49" i="2" s="1"/>
  <c r="J19" i="14"/>
  <c r="I19" i="14"/>
  <c r="G19" i="14"/>
  <c r="J69" i="14"/>
  <c r="I69" i="14"/>
  <c r="G69" i="14"/>
  <c r="J32" i="14"/>
  <c r="I32" i="14"/>
  <c r="G32" i="14"/>
  <c r="I14" i="14"/>
  <c r="J14" i="14"/>
  <c r="G14" i="14"/>
  <c r="J21" i="14"/>
  <c r="I21" i="14"/>
  <c r="G21" i="14"/>
  <c r="I62" i="14"/>
  <c r="G62" i="14"/>
  <c r="J62" i="14"/>
  <c r="G22" i="5"/>
  <c r="I17" i="2"/>
  <c r="C46" i="2" s="1"/>
  <c r="D60" i="5"/>
  <c r="F56" i="2"/>
  <c r="E60" i="5" s="1"/>
  <c r="J41" i="14"/>
  <c r="I41" i="14"/>
  <c r="G41" i="14"/>
  <c r="G66" i="14"/>
  <c r="I66" i="14"/>
  <c r="J66" i="14"/>
  <c r="D51" i="5"/>
  <c r="F47" i="2"/>
  <c r="E51" i="5" s="1"/>
  <c r="J55" i="14"/>
  <c r="I55" i="14"/>
  <c r="G55" i="14"/>
  <c r="I46" i="14"/>
  <c r="G46" i="14"/>
  <c r="J46" i="14"/>
  <c r="B48" i="5"/>
  <c r="D44" i="2"/>
  <c r="J48" i="14"/>
  <c r="I48" i="14"/>
  <c r="G48" i="14"/>
  <c r="J44" i="14"/>
  <c r="I44" i="14"/>
  <c r="G44" i="14"/>
  <c r="G23" i="14"/>
  <c r="J23" i="14"/>
  <c r="I23" i="14"/>
  <c r="I72" i="14"/>
  <c r="G72" i="14"/>
  <c r="J72" i="14"/>
  <c r="J12" i="14"/>
  <c r="I12" i="14"/>
  <c r="G12" i="14"/>
  <c r="G40" i="14"/>
  <c r="I40" i="14"/>
  <c r="J40" i="14"/>
  <c r="B52" i="5"/>
  <c r="D48" i="2"/>
  <c r="G11" i="5"/>
  <c r="I5" i="2"/>
  <c r="E10" i="2" s="1"/>
  <c r="J24" i="14"/>
  <c r="I24" i="14"/>
  <c r="G24" i="14"/>
  <c r="J15" i="14"/>
  <c r="I15" i="14"/>
  <c r="G15" i="14"/>
  <c r="G6" i="14"/>
  <c r="J6" i="14"/>
  <c r="I6" i="14"/>
  <c r="J13" i="14"/>
  <c r="G13" i="14"/>
  <c r="I13" i="14"/>
  <c r="I11" i="14"/>
  <c r="J11" i="14"/>
  <c r="G11" i="14"/>
  <c r="D52" i="5"/>
  <c r="F48" i="2"/>
  <c r="E52" i="5" s="1"/>
  <c r="J42" i="14"/>
  <c r="I42" i="14"/>
  <c r="G42" i="14"/>
  <c r="G36" i="5"/>
  <c r="I31" i="2"/>
  <c r="C53" i="2" s="1"/>
  <c r="B57" i="5" s="1"/>
  <c r="J8" i="14"/>
  <c r="I8" i="14"/>
  <c r="G8" i="14"/>
  <c r="I68" i="14"/>
  <c r="G68" i="14"/>
  <c r="J68" i="14"/>
  <c r="D56" i="5"/>
  <c r="F52" i="2"/>
  <c r="E56" i="5" s="1"/>
  <c r="I53" i="14"/>
  <c r="G53" i="14"/>
  <c r="J53" i="14"/>
  <c r="G50" i="14"/>
  <c r="I50" i="14"/>
  <c r="J50" i="14"/>
  <c r="J10" i="14"/>
  <c r="I10" i="14"/>
  <c r="G10" i="14"/>
  <c r="J61" i="14"/>
  <c r="G61" i="14"/>
  <c r="I61" i="14"/>
  <c r="I33" i="14"/>
  <c r="J33" i="14"/>
  <c r="G33" i="14"/>
  <c r="B51" i="5"/>
  <c r="D47" i="2"/>
  <c r="I60" i="14"/>
  <c r="G60" i="14"/>
  <c r="J60" i="14"/>
  <c r="D31" i="5"/>
  <c r="F26" i="2"/>
  <c r="E31" i="5" s="1"/>
  <c r="D26" i="2"/>
  <c r="J26" i="14"/>
  <c r="I26" i="14"/>
  <c r="G26" i="14"/>
  <c r="I71" i="14"/>
  <c r="J71" i="14"/>
  <c r="G71" i="14"/>
  <c r="I49" i="14"/>
  <c r="J49" i="14"/>
  <c r="G49" i="14"/>
  <c r="G19" i="5"/>
  <c r="I14" i="2"/>
  <c r="E45" i="2" s="1"/>
  <c r="D49" i="5" s="1"/>
  <c r="G30" i="5"/>
  <c r="I25" i="2"/>
  <c r="C50" i="2" s="1"/>
  <c r="F50" i="2" s="1"/>
  <c r="E54" i="5" s="1"/>
  <c r="G56" i="14"/>
  <c r="I56" i="14"/>
  <c r="J56" i="14"/>
  <c r="G67" i="14"/>
  <c r="J67" i="14"/>
  <c r="I67" i="14"/>
  <c r="J29" i="14"/>
  <c r="G29" i="14"/>
  <c r="I29" i="14"/>
  <c r="G18" i="14"/>
  <c r="I18" i="14"/>
  <c r="J18" i="14"/>
  <c r="G7" i="14"/>
  <c r="J7" i="14"/>
  <c r="I7" i="14"/>
  <c r="G54" i="14"/>
  <c r="J54" i="14"/>
  <c r="I54" i="14"/>
  <c r="G34" i="14"/>
  <c r="I34" i="14"/>
  <c r="J34" i="14"/>
  <c r="D62" i="5"/>
  <c r="D50" i="5"/>
  <c r="F46" i="2"/>
  <c r="E50" i="5" s="1"/>
  <c r="B50" i="5" l="1"/>
  <c r="D46" i="2"/>
  <c r="D59" i="5"/>
  <c r="F55" i="2"/>
  <c r="E59" i="5" s="1"/>
  <c r="B62" i="5"/>
  <c r="D58" i="2"/>
  <c r="D43" i="5"/>
  <c r="F38" i="2"/>
  <c r="E43" i="5" s="1"/>
  <c r="D38" i="2"/>
  <c r="C58" i="5"/>
  <c r="G54" i="2"/>
  <c r="C31" i="5"/>
  <c r="G26" i="2"/>
  <c r="C48" i="5"/>
  <c r="G44" i="2"/>
  <c r="B54" i="5"/>
  <c r="D50" i="2"/>
  <c r="D57" i="5"/>
  <c r="F53" i="2"/>
  <c r="E57" i="5" s="1"/>
  <c r="B49" i="5"/>
  <c r="D45" i="2"/>
  <c r="C51" i="5"/>
  <c r="G47" i="2"/>
  <c r="B156" i="14"/>
  <c r="B155" i="14"/>
  <c r="B154" i="14"/>
  <c r="F153" i="14"/>
  <c r="F152" i="14"/>
  <c r="F151" i="14"/>
  <c r="F150" i="14"/>
  <c r="F149" i="14"/>
  <c r="F45" i="2"/>
  <c r="E49" i="5" s="1"/>
  <c r="D15" i="5"/>
  <c r="F10" i="2"/>
  <c r="E15" i="5" s="1"/>
  <c r="D10" i="2"/>
  <c r="C52" i="5"/>
  <c r="G48" i="2"/>
  <c r="C27" i="5"/>
  <c r="G22" i="2"/>
  <c r="C60" i="5"/>
  <c r="G56" i="2"/>
  <c r="F58" i="2"/>
  <c r="E62" i="5" s="1"/>
  <c r="D53" i="2"/>
  <c r="C56" i="5"/>
  <c r="G52" i="2"/>
  <c r="D47" i="5"/>
  <c r="B59" i="5"/>
  <c r="D55" i="2"/>
  <c r="C15" i="5" l="1"/>
  <c r="G10" i="2"/>
  <c r="F48" i="5"/>
  <c r="H44" i="2"/>
  <c r="F31" i="5"/>
  <c r="H26" i="2"/>
  <c r="C57" i="5"/>
  <c r="G53" i="2"/>
  <c r="F60" i="5"/>
  <c r="H56" i="2"/>
  <c r="F58" i="5"/>
  <c r="H54" i="2"/>
  <c r="C43" i="5"/>
  <c r="G38" i="2"/>
  <c r="C59" i="5"/>
  <c r="G55" i="2"/>
  <c r="F56" i="5"/>
  <c r="H52" i="2"/>
  <c r="F27" i="5"/>
  <c r="H22" i="2"/>
  <c r="F51" i="5"/>
  <c r="H47" i="2"/>
  <c r="F52" i="5"/>
  <c r="H48" i="2"/>
  <c r="C62" i="5"/>
  <c r="G58" i="2"/>
  <c r="C49" i="5"/>
  <c r="G45" i="2"/>
  <c r="C50" i="5"/>
  <c r="G46" i="2"/>
  <c r="C54" i="5"/>
  <c r="G50" i="2"/>
  <c r="G58" i="5" l="1"/>
  <c r="I54" i="2"/>
  <c r="C65" i="2" s="1"/>
  <c r="F57" i="5"/>
  <c r="H53" i="2"/>
  <c r="F50" i="5"/>
  <c r="H46" i="2"/>
  <c r="F62" i="5"/>
  <c r="H58" i="2"/>
  <c r="F43" i="5"/>
  <c r="H38" i="2"/>
  <c r="G27" i="5"/>
  <c r="I22" i="2"/>
  <c r="E49" i="2" s="1"/>
  <c r="D53" i="5" s="1"/>
  <c r="F59" i="5"/>
  <c r="H55" i="2"/>
  <c r="G60" i="5"/>
  <c r="I56" i="2"/>
  <c r="E66" i="2" s="1"/>
  <c r="G52" i="5"/>
  <c r="I48" i="2"/>
  <c r="E62" i="2" s="1"/>
  <c r="G51" i="5"/>
  <c r="I47" i="2"/>
  <c r="C62" i="2" s="1"/>
  <c r="G48" i="5"/>
  <c r="I44" i="2"/>
  <c r="E60" i="2" s="1"/>
  <c r="F54" i="5"/>
  <c r="H50" i="2"/>
  <c r="G31" i="5"/>
  <c r="I26" i="2"/>
  <c r="C51" i="2" s="1"/>
  <c r="G56" i="5"/>
  <c r="I52" i="2"/>
  <c r="E64" i="2" s="1"/>
  <c r="F15" i="5"/>
  <c r="H10" i="2"/>
  <c r="F49" i="5"/>
  <c r="H45" i="2"/>
  <c r="B55" i="5" l="1"/>
  <c r="D51" i="2"/>
  <c r="F51" i="2"/>
  <c r="E55" i="5" s="1"/>
  <c r="G15" i="5"/>
  <c r="I10" i="2"/>
  <c r="C43" i="2" s="1"/>
  <c r="G59" i="5"/>
  <c r="I55" i="2"/>
  <c r="G49" i="5"/>
  <c r="I45" i="2"/>
  <c r="E61" i="2" s="1"/>
  <c r="G54" i="5"/>
  <c r="I50" i="2"/>
  <c r="C63" i="2" s="1"/>
  <c r="G57" i="5"/>
  <c r="I53" i="2"/>
  <c r="D67" i="5"/>
  <c r="B65" i="5"/>
  <c r="D62" i="2"/>
  <c r="D63" i="5"/>
  <c r="B68" i="5"/>
  <c r="D69" i="5"/>
  <c r="B53" i="5"/>
  <c r="D49" i="2"/>
  <c r="F49" i="2"/>
  <c r="E53" i="5" s="1"/>
  <c r="G43" i="5"/>
  <c r="I38" i="2"/>
  <c r="E57" i="2" s="1"/>
  <c r="D61" i="5" s="1"/>
  <c r="G62" i="5"/>
  <c r="I58" i="2"/>
  <c r="C67" i="2" s="1"/>
  <c r="G50" i="5"/>
  <c r="I46" i="2"/>
  <c r="C61" i="2" s="1"/>
  <c r="D65" i="5"/>
  <c r="F62" i="2"/>
  <c r="E65" i="5" s="1"/>
  <c r="B70" i="5" l="1"/>
  <c r="C55" i="5"/>
  <c r="G51" i="2"/>
  <c r="B64" i="5"/>
  <c r="D61" i="2"/>
  <c r="B61" i="5"/>
  <c r="D57" i="2"/>
  <c r="F57" i="2"/>
  <c r="E61" i="5" s="1"/>
  <c r="B66" i="5"/>
  <c r="E65" i="2"/>
  <c r="C66" i="2"/>
  <c r="D64" i="5"/>
  <c r="F61" i="2"/>
  <c r="E64" i="5" s="1"/>
  <c r="C53" i="5"/>
  <c r="G49" i="2"/>
  <c r="B47" i="5"/>
  <c r="D43" i="2"/>
  <c r="F43" i="2"/>
  <c r="E47" i="5" s="1"/>
  <c r="C65" i="5"/>
  <c r="G62" i="2"/>
  <c r="F53" i="5" l="1"/>
  <c r="H49" i="2"/>
  <c r="B69" i="5"/>
  <c r="D66" i="2"/>
  <c r="F66" i="2"/>
  <c r="E69" i="5" s="1"/>
  <c r="D68" i="5"/>
  <c r="F65" i="2"/>
  <c r="E68" i="5" s="1"/>
  <c r="D65" i="2"/>
  <c r="C64" i="5"/>
  <c r="G61" i="2"/>
  <c r="C61" i="5"/>
  <c r="G57" i="2"/>
  <c r="F65" i="5"/>
  <c r="H62" i="2"/>
  <c r="F55" i="5"/>
  <c r="H51" i="2"/>
  <c r="C47" i="5"/>
  <c r="G43" i="2"/>
  <c r="G55" i="5" l="1"/>
  <c r="I51" i="2"/>
  <c r="C64" i="2" s="1"/>
  <c r="G65" i="5"/>
  <c r="I62" i="2"/>
  <c r="C70" i="2" s="1"/>
  <c r="F61" i="5"/>
  <c r="H57" i="2"/>
  <c r="F64" i="5"/>
  <c r="H61" i="2"/>
  <c r="C69" i="5"/>
  <c r="G66" i="2"/>
  <c r="C68" i="5"/>
  <c r="G65" i="2"/>
  <c r="F47" i="5"/>
  <c r="H43" i="2"/>
  <c r="G53" i="5"/>
  <c r="I49" i="2"/>
  <c r="E63" i="2" s="1"/>
  <c r="D66" i="5" l="1"/>
  <c r="F63" i="2"/>
  <c r="E66" i="5" s="1"/>
  <c r="D63" i="2"/>
  <c r="F68" i="5"/>
  <c r="H65" i="2"/>
  <c r="F69" i="5"/>
  <c r="H66" i="2"/>
  <c r="G61" i="5"/>
  <c r="I57" i="2"/>
  <c r="E67" i="2" s="1"/>
  <c r="G64" i="5"/>
  <c r="I61" i="2"/>
  <c r="E69" i="2" s="1"/>
  <c r="B67" i="5"/>
  <c r="D64" i="2"/>
  <c r="F64" i="2"/>
  <c r="E67" i="5" s="1"/>
  <c r="G47" i="5"/>
  <c r="I43" i="2"/>
  <c r="C60" i="2" s="1"/>
  <c r="B72" i="5"/>
  <c r="B63" i="5" l="1"/>
  <c r="D60" i="2"/>
  <c r="F60" i="2"/>
  <c r="E63" i="5" s="1"/>
  <c r="G69" i="5"/>
  <c r="I66" i="2"/>
  <c r="C72" i="2" s="1"/>
  <c r="C66" i="5"/>
  <c r="G63" i="2"/>
  <c r="C67" i="5"/>
  <c r="G64" i="2"/>
  <c r="D71" i="5"/>
  <c r="D70" i="5"/>
  <c r="F67" i="2"/>
  <c r="E70" i="5" s="1"/>
  <c r="D67" i="2"/>
  <c r="G68" i="5"/>
  <c r="I65" i="2"/>
  <c r="E71" i="2" s="1"/>
  <c r="D73" i="5" l="1"/>
  <c r="F67" i="5"/>
  <c r="H64" i="2"/>
  <c r="C70" i="5"/>
  <c r="G67" i="2"/>
  <c r="C63" i="5"/>
  <c r="G60" i="2"/>
  <c r="F66" i="5"/>
  <c r="H63" i="2"/>
  <c r="B74" i="5"/>
  <c r="G67" i="5" l="1"/>
  <c r="I64" i="2"/>
  <c r="C71" i="2" s="1"/>
  <c r="G66" i="5"/>
  <c r="I63" i="2"/>
  <c r="E70" i="2" s="1"/>
  <c r="F63" i="5"/>
  <c r="H60" i="2"/>
  <c r="F70" i="5"/>
  <c r="H67" i="2"/>
  <c r="G63" i="5" l="1"/>
  <c r="I60" i="2"/>
  <c r="C69" i="2" s="1"/>
  <c r="B73" i="5"/>
  <c r="D71" i="2"/>
  <c r="F71" i="2"/>
  <c r="E73" i="5" s="1"/>
  <c r="G70" i="5"/>
  <c r="I67" i="2"/>
  <c r="E72" i="2" s="1"/>
  <c r="D72" i="5"/>
  <c r="F70" i="2"/>
  <c r="E72" i="5" s="1"/>
  <c r="D70" i="2"/>
  <c r="C72" i="5" l="1"/>
  <c r="G70" i="2"/>
  <c r="D74" i="5"/>
  <c r="F72" i="2"/>
  <c r="E74" i="5" s="1"/>
  <c r="D72" i="2"/>
  <c r="B71" i="5"/>
  <c r="D69" i="2"/>
  <c r="F69" i="2"/>
  <c r="E71" i="5" s="1"/>
  <c r="C73" i="5"/>
  <c r="G71" i="2"/>
  <c r="C71" i="5" l="1"/>
  <c r="G69" i="2"/>
  <c r="C74" i="5"/>
  <c r="G72" i="2"/>
  <c r="F73" i="5"/>
  <c r="H71" i="2"/>
  <c r="F72" i="5"/>
  <c r="H70" i="2"/>
  <c r="G73" i="5" l="1"/>
  <c r="I71" i="2"/>
  <c r="F71" i="5"/>
  <c r="H69" i="2"/>
  <c r="G72" i="5"/>
  <c r="I70" i="2"/>
  <c r="F74" i="5"/>
  <c r="H72" i="2"/>
  <c r="G74" i="5" l="1"/>
  <c r="I72" i="2"/>
  <c r="G71" i="5"/>
  <c r="I69" i="2"/>
  <c r="P4" i="5"/>
  <c r="C75" i="2"/>
  <c r="N4" i="5"/>
  <c r="E74" i="2"/>
  <c r="B76" i="5" l="1"/>
  <c r="Q4" i="5"/>
  <c r="E75" i="2"/>
  <c r="D75" i="5"/>
  <c r="M4" i="5"/>
  <c r="C74" i="2"/>
  <c r="F74" i="2" s="1"/>
  <c r="E75" i="5" s="1"/>
  <c r="D76" i="5" l="1"/>
  <c r="F75" i="2"/>
  <c r="E76" i="5" s="1"/>
  <c r="D75" i="2"/>
  <c r="B75" i="5"/>
  <c r="D74" i="2"/>
  <c r="C75" i="5" l="1"/>
  <c r="G74" i="2"/>
  <c r="C76" i="5"/>
  <c r="G75" i="2"/>
  <c r="F75" i="5" l="1"/>
  <c r="H74" i="2"/>
  <c r="F76" i="5"/>
  <c r="H75" i="2"/>
  <c r="G75" i="5" l="1"/>
  <c r="I74" i="2"/>
  <c r="C77" i="2" s="1"/>
  <c r="G76" i="5"/>
  <c r="I75" i="2"/>
  <c r="E77" i="2" s="1"/>
  <c r="D77" i="5" l="1"/>
  <c r="F77" i="2"/>
  <c r="E77" i="5" s="1"/>
  <c r="B77" i="5"/>
  <c r="D77" i="2"/>
  <c r="C77" i="5" l="1"/>
  <c r="G77" i="2"/>
  <c r="F77" i="5" l="1"/>
  <c r="H77" i="2"/>
  <c r="G77" i="5" l="1"/>
  <c r="I77" i="2"/>
  <c r="A3" i="5" l="1"/>
  <c r="A79" i="2"/>
</calcChain>
</file>

<file path=xl/sharedStrings.xml><?xml version="1.0" encoding="utf-8"?>
<sst xmlns="http://schemas.openxmlformats.org/spreadsheetml/2006/main" count="3003" uniqueCount="808">
  <si>
    <t>📋 2026 NCAA TOURNAMENT BRACKET INPUT</t>
  </si>
  <si>
    <t>⬇️ INSTRUCTIONS: Enter team names in the YELLOW cells below (use exact names from "Four Factors" tab) • All simulation sheets auto-update instantly</t>
  </si>
  <si>
    <t>🔴 Play-in (First Four) teams marked with (PI) • For play-in slots, enter BOTH teams competing for that seed • Model uses SOS-adjusted PPP matchup model</t>
  </si>
  <si>
    <t>Region</t>
  </si>
  <si>
    <t>Game Slot</t>
  </si>
  <si>
    <t>Seed</t>
  </si>
  <si>
    <t>Top Team</t>
  </si>
  <si>
    <t>Bottom Team</t>
  </si>
  <si>
    <t>Play-in?</t>
  </si>
  <si>
    <t>🏟️  EAST REGION</t>
  </si>
  <si>
    <t>EAST</t>
  </si>
  <si>
    <t>Play-in (16)</t>
  </si>
  <si>
    <t>Howard Bison</t>
  </si>
  <si>
    <t>vs</t>
  </si>
  <si>
    <t>UMBC Retrievers</t>
  </si>
  <si>
    <t>(PI) Winner advances to 1v16</t>
  </si>
  <si>
    <t>1 vs 16</t>
  </si>
  <si>
    <t>Duke Blue Devils</t>
  </si>
  <si>
    <t>← Winner of 16-seed play-in</t>
  </si>
  <si>
    <t>← Auto from play-in</t>
  </si>
  <si>
    <t>8 vs 9</t>
  </si>
  <si>
    <t>UCF Knights</t>
  </si>
  <si>
    <t>Missouri Tigers</t>
  </si>
  <si>
    <t>5 vs 12</t>
  </si>
  <si>
    <t>Vanderbilt Commodores</t>
  </si>
  <si>
    <t>Liberty Flames</t>
  </si>
  <si>
    <t>4 vs 13</t>
  </si>
  <si>
    <t>Gonzaga Bulldogs</t>
  </si>
  <si>
    <t>Stephen F. Austin Lumberjacks</t>
  </si>
  <si>
    <t>6 vs 11</t>
  </si>
  <si>
    <t>Louisville Cardinals</t>
  </si>
  <si>
    <t>Miami (OH) RedHawks</t>
  </si>
  <si>
    <t>3 vs 14</t>
  </si>
  <si>
    <t>Iowa State Cyclones</t>
  </si>
  <si>
    <t>Navy Midshipmen</t>
  </si>
  <si>
    <t>7 vs 10</t>
  </si>
  <si>
    <t>Utah State Aggies</t>
  </si>
  <si>
    <t>UCLA Bruins</t>
  </si>
  <si>
    <t>2 vs 15</t>
  </si>
  <si>
    <t>Illinois Fighting Illini</t>
  </si>
  <si>
    <t>East Tennessee State Buccaneers</t>
  </si>
  <si>
    <t>🏟️  SOUTH REGION</t>
  </si>
  <si>
    <t>SOUTH</t>
  </si>
  <si>
    <t>Play-in (11)</t>
  </si>
  <si>
    <t>Santa Clara Broncos</t>
  </si>
  <si>
    <t>New Mexico Lobos</t>
  </si>
  <si>
    <t>(PI) Winner advances to 6v11</t>
  </si>
  <si>
    <t>UConn Huskies</t>
  </si>
  <si>
    <t>Merrimack Warriors</t>
  </si>
  <si>
    <t>Saint Louis Billikens</t>
  </si>
  <si>
    <t>NC State Wolfpack</t>
  </si>
  <si>
    <t>Tennessee Volunteers</t>
  </si>
  <si>
    <t>South Florida Bulls</t>
  </si>
  <si>
    <t>Kansas Jayhawks</t>
  </si>
  <si>
    <t>Utah Valley Wolverines</t>
  </si>
  <si>
    <t>St. John's Red Storm</t>
  </si>
  <si>
    <t>← Winner of 11-seed play-in</t>
  </si>
  <si>
    <t>Purdue Boilermakers</t>
  </si>
  <si>
    <t>Hawai'i Rainbow Warriors</t>
  </si>
  <si>
    <t>Villanova Wildcats</t>
  </si>
  <si>
    <t>Texas Longhorns</t>
  </si>
  <si>
    <t>Florida Gators</t>
  </si>
  <si>
    <t>Wright State Raiders</t>
  </si>
  <si>
    <t>🏟️  MIDWEST REGION</t>
  </si>
  <si>
    <t>MIDWEST</t>
  </si>
  <si>
    <t>Long Island University Sharks</t>
  </si>
  <si>
    <t>Bethune-Cookman Wildcats</t>
  </si>
  <si>
    <t>Michigan Wolverines</t>
  </si>
  <si>
    <t>Clemson Tigers</t>
  </si>
  <si>
    <t>Iowa Hawkeyes</t>
  </si>
  <si>
    <t>Arkansas Razorbacks</t>
  </si>
  <si>
    <t>Yale Bulldogs</t>
  </si>
  <si>
    <t>Virginia Cavaliers</t>
  </si>
  <si>
    <t>High Point Panthers</t>
  </si>
  <si>
    <t>BYU Cougars</t>
  </si>
  <si>
    <t>Ohio State Buckeyes</t>
  </si>
  <si>
    <t>Nebraska Cornhuskers</t>
  </si>
  <si>
    <t>Troy Trojans</t>
  </si>
  <si>
    <t>Wisconsin Badgers</t>
  </si>
  <si>
    <t>Texas A&amp;M Aggies</t>
  </si>
  <si>
    <t>Houston Cougars</t>
  </si>
  <si>
    <t>Austin Peay Governors</t>
  </si>
  <si>
    <t>🏟️  WEST REGION</t>
  </si>
  <si>
    <t>WEST</t>
  </si>
  <si>
    <t>Arizona Wildcats</t>
  </si>
  <si>
    <t>Tennessee State Tigers</t>
  </si>
  <si>
    <t>Miami Hurricanes</t>
  </si>
  <si>
    <t>Georgia Bulldogs</t>
  </si>
  <si>
    <t>North Carolina Tar Heels</t>
  </si>
  <si>
    <t>Belmont Bruins</t>
  </si>
  <si>
    <t>Alabama Crimson Tide</t>
  </si>
  <si>
    <t>UNC Wilmington Seahawks</t>
  </si>
  <si>
    <t>TCU Horned Frogs</t>
  </si>
  <si>
    <t>Indiana Hoosiers</t>
  </si>
  <si>
    <t>Kentucky Wildcats</t>
  </si>
  <si>
    <t>Texas Tech Red Raiders</t>
  </si>
  <si>
    <t>North Dakota State Bison</t>
  </si>
  <si>
    <t>Saint Mary's Gaels</t>
  </si>
  <si>
    <t>SMU Mustangs</t>
  </si>
  <si>
    <t>Michigan State Spartans</t>
  </si>
  <si>
    <t>Portland State Vikings</t>
  </si>
  <si>
    <t>💡 HOW TO USE: When the official bracket drops, simply update the yellow team name cells above. The Simulation Results and Bracket View sheets will automatically recalculate.</t>
  </si>
  <si>
    <t>⚙️ SIMULATION ENGINE — All results auto-calculate from Bracket Input sheet</t>
  </si>
  <si>
    <t>🔄 Update team names in "📋 Bracket Input" → scores, spreads &amp; winners instantly recalculate. VLOOKUP pulls PPP/Poss/SOR from Team Lookup.</t>
  </si>
  <si>
    <t>Round</t>
  </si>
  <si>
    <t>Team A</t>
  </si>
  <si>
    <t>Score A</t>
  </si>
  <si>
    <t>Team B</t>
  </si>
  <si>
    <t>Score B</t>
  </si>
  <si>
    <t>Spread</t>
  </si>
  <si>
    <t>Win% A</t>
  </si>
  <si>
    <t>Winner</t>
  </si>
  <si>
    <t>── FIRST FOUR (PLAY-IN GAMES) ──</t>
  </si>
  <si>
    <t>First Four</t>
  </si>
  <si>
    <t>── ROUND OF 64 ──</t>
  </si>
  <si>
    <t>Round of 64</t>
  </si>
  <si>
    <t>── ROUND OF 32 ──</t>
  </si>
  <si>
    <t>Round of 32</t>
  </si>
  <si>
    <t>── SWEET 16 ──</t>
  </si>
  <si>
    <t>Sweet 16</t>
  </si>
  <si>
    <t>── ELITE 8 (REGIONAL FINALS) ──</t>
  </si>
  <si>
    <t>Elite 8</t>
  </si>
  <si>
    <t>── FINAL FOUR ──</t>
  </si>
  <si>
    <t>Final Four</t>
  </si>
  <si>
    <t>EAST vs SOUTH</t>
  </si>
  <si>
    <t>MIDWEST vs WEST</t>
  </si>
  <si>
    <t>── CHAMPIONSHIP ──</t>
  </si>
  <si>
    <t>Championship</t>
  </si>
  <si>
    <t>NATIONAL</t>
  </si>
  <si>
    <t>🚀 Enhanced Matchup Model</t>
  </si>
  <si>
    <t>Model Parameters</t>
  </si>
  <si>
    <t>Venue:</t>
  </si>
  <si>
    <t>Neutral</t>
  </si>
  <si>
    <t>Off weight</t>
  </si>
  <si>
    <t>Team A: (home team)</t>
  </si>
  <si>
    <t>Def weight</t>
  </si>
  <si>
    <t>Team B:</t>
  </si>
  <si>
    <t>UC Riverside Highlanders</t>
  </si>
  <si>
    <t>Total</t>
  </si>
  <si>
    <t>📊 TEAM A ANALYSIS</t>
  </si>
  <si>
    <t>Home Court Adj</t>
  </si>
  <si>
    <t>SOR Weight</t>
  </si>
  <si>
    <t>Win Prob Scale</t>
  </si>
  <si>
    <t>SOS-adjusted Off/Def weighted</t>
  </si>
  <si>
    <t>Close Game Foul Pts</t>
  </si>
  <si>
    <t>Blowout Foul Pts</t>
  </si>
  <si>
    <t>📊 TEAM B ANALYSIS</t>
  </si>
  <si>
    <t>Spread Threshold</t>
  </si>
  <si>
    <t>SOS PPP Alpha</t>
  </si>
  <si>
    <t>Off/Def weighted</t>
  </si>
  <si>
    <t>⚡ PACE &amp; POSSESSIONS</t>
  </si>
  <si>
    <t>Expected Game Pace</t>
  </si>
  <si>
    <t>65% slower team + 35% faster team</t>
  </si>
  <si>
    <t>Predicted Game Possessions</t>
  </si>
  <si>
    <t>Pace-domination weighted</t>
  </si>
  <si>
    <t>Foul Inflation Adjustment</t>
  </si>
  <si>
    <t>Close game (&lt;6 spread) → +4 pts, blowout → +1 pt</t>
  </si>
  <si>
    <t>Strength of Record (SOR Rank)</t>
  </si>
  <si>
    <t>Team A SOS RK</t>
  </si>
  <si>
    <t>Team B SOS RK</t>
  </si>
  <si>
    <t>SOR Differential (A - B)</t>
  </si>
  <si>
    <t>Lower rank = stronger record</t>
  </si>
  <si>
    <t>SOR Point Adjustment</t>
  </si>
  <si>
    <t>For Team A</t>
  </si>
  <si>
    <t>🏆 FINAL PREDICTIONS</t>
  </si>
  <si>
    <t>Home Court Adjustment</t>
  </si>
  <si>
    <t>PPP × Poss + HCA + SOS</t>
  </si>
  <si>
    <t>PPP × Poss - HCA - SOS</t>
  </si>
  <si>
    <t>Predicted Total</t>
  </si>
  <si>
    <t>Predicted Spread</t>
  </si>
  <si>
    <t>Team A - Team B</t>
  </si>
  <si>
    <t>Logistic function</t>
  </si>
  <si>
    <t>Projected Winner</t>
  </si>
  <si>
    <t>📊 TEAM STATS LOOKUP TABLE (Auto-populated from source data)</t>
  </si>
  <si>
    <t>Team Name</t>
  </si>
  <si>
    <t>PPP (Off)</t>
  </si>
  <si>
    <t>Poss/G</t>
  </si>
  <si>
    <t>PPP Def Allowed</t>
  </si>
  <si>
    <t>SOR Rank</t>
  </si>
  <si>
    <t>SOS RK</t>
  </si>
  <si>
    <t>Adj PPP Off</t>
  </si>
  <si>
    <t>Adj PPP Def</t>
  </si>
  <si>
    <t>Abilene Christian Wildcats</t>
  </si>
  <si>
    <t>Air Force Falcons</t>
  </si>
  <si>
    <t>Akron Zips</t>
  </si>
  <si>
    <t>Alabama A&amp;M Bulldogs</t>
  </si>
  <si>
    <t>Alabama State Hornets</t>
  </si>
  <si>
    <t>Alcorn State Braves</t>
  </si>
  <si>
    <t>American University Eagles</t>
  </si>
  <si>
    <t>App State Mountaineers</t>
  </si>
  <si>
    <t>Arizona State Sun Devils</t>
  </si>
  <si>
    <t>Arkansas State Red Wolves</t>
  </si>
  <si>
    <t>Arkansas-Pine Bluff Golden Lions</t>
  </si>
  <si>
    <t>Army Black Knights</t>
  </si>
  <si>
    <t>Auburn Tigers</t>
  </si>
  <si>
    <t>Ball State Cardinals</t>
  </si>
  <si>
    <t>Baylor Bears</t>
  </si>
  <si>
    <t>Bellarmine Knights</t>
  </si>
  <si>
    <t>Binghamton Bearcats</t>
  </si>
  <si>
    <t>Boise State Broncos</t>
  </si>
  <si>
    <t>Boston College Eagles</t>
  </si>
  <si>
    <t>Boston University Terriers</t>
  </si>
  <si>
    <t>Bowling Green Falcons</t>
  </si>
  <si>
    <t>Bradley Braves</t>
  </si>
  <si>
    <t>Brown Bears</t>
  </si>
  <si>
    <t>Bryant Bulldogs</t>
  </si>
  <si>
    <t>Bucknell Bison</t>
  </si>
  <si>
    <t>Buffalo Bulls</t>
  </si>
  <si>
    <t>Butler Bulldogs</t>
  </si>
  <si>
    <t>Cal Poly Mustangs</t>
  </si>
  <si>
    <t>Cal State Bakersfield Roadrunners</t>
  </si>
  <si>
    <t>Cal State Fullerton Titans</t>
  </si>
  <si>
    <t>Cal State Northridge Matadors</t>
  </si>
  <si>
    <t>California Baptist Lancers</t>
  </si>
  <si>
    <t>California Golden Bears</t>
  </si>
  <si>
    <t>Campbell Fighting Camels</t>
  </si>
  <si>
    <t>Canisius Golden Griffins</t>
  </si>
  <si>
    <t>Central Arkansas Bears</t>
  </si>
  <si>
    <t>Central Connecticut Blue Devils</t>
  </si>
  <si>
    <t>Central Michigan Chippewas</t>
  </si>
  <si>
    <t>Charleston Cougars</t>
  </si>
  <si>
    <t>Charleston Southern Buccaneers</t>
  </si>
  <si>
    <t>Charlotte 49ers</t>
  </si>
  <si>
    <t>Chattanooga Mocs</t>
  </si>
  <si>
    <t>Chicago State Cougars</t>
  </si>
  <si>
    <t>Cincinnati Bearcats</t>
  </si>
  <si>
    <t>Cleveland State Vikings</t>
  </si>
  <si>
    <t>Coastal Carolina Chanticleers</t>
  </si>
  <si>
    <t>Colgate Raiders</t>
  </si>
  <si>
    <t>Colorado Buffaloes</t>
  </si>
  <si>
    <t>Colorado State Rams</t>
  </si>
  <si>
    <t>Columbia Lions</t>
  </si>
  <si>
    <t>Coppin State Eagles</t>
  </si>
  <si>
    <t>Cornell Big Red</t>
  </si>
  <si>
    <t>Creighton Bluejays</t>
  </si>
  <si>
    <t>Dartmouth Big Green</t>
  </si>
  <si>
    <t>Davidson Wildcats</t>
  </si>
  <si>
    <t>Dayton Flyers</t>
  </si>
  <si>
    <t>DePaul Blue Demons</t>
  </si>
  <si>
    <t>Delaware Blue Hens</t>
  </si>
  <si>
    <t>Delaware State Hornets</t>
  </si>
  <si>
    <t>Denver Pioneers</t>
  </si>
  <si>
    <t>Detroit Mercy Titans</t>
  </si>
  <si>
    <t>Drake Bulldogs</t>
  </si>
  <si>
    <t>Drexel Dragons</t>
  </si>
  <si>
    <t>Duquesne Dukes</t>
  </si>
  <si>
    <t>East Carolina Pirates</t>
  </si>
  <si>
    <t>East Texas A&amp;M Lions</t>
  </si>
  <si>
    <t>Eastern Illinois Panthers</t>
  </si>
  <si>
    <t>Eastern Kentucky Colonels</t>
  </si>
  <si>
    <t>Eastern Michigan Eagles</t>
  </si>
  <si>
    <t>Eastern Washington Eagles</t>
  </si>
  <si>
    <t>Elon Phoenix</t>
  </si>
  <si>
    <t>Evansville Purple Aces</t>
  </si>
  <si>
    <t>Fairfield Stags</t>
  </si>
  <si>
    <t>Fairleigh Dickinson Knights</t>
  </si>
  <si>
    <t>Florida A&amp;M Rattlers</t>
  </si>
  <si>
    <t>Florida Atlantic Owls</t>
  </si>
  <si>
    <t>Florida Gulf Coast Eagles</t>
  </si>
  <si>
    <t>Florida International Panthers</t>
  </si>
  <si>
    <t>Florida State Seminoles</t>
  </si>
  <si>
    <t>Fordham Rams</t>
  </si>
  <si>
    <t>Fresno State Bulldogs</t>
  </si>
  <si>
    <t>Furman Paladins</t>
  </si>
  <si>
    <t>Gardner-Webb Runnin' Bulldogs</t>
  </si>
  <si>
    <t>George Mason Patriots</t>
  </si>
  <si>
    <t>George Washington Revolutionaries</t>
  </si>
  <si>
    <t>Georgetown Hoyas</t>
  </si>
  <si>
    <t>Georgia Southern Eagles</t>
  </si>
  <si>
    <t>Georgia State Panthers</t>
  </si>
  <si>
    <t>Georgia Tech Yellow Jackets</t>
  </si>
  <si>
    <t>Grambling Tigers</t>
  </si>
  <si>
    <t>Grand Canyon Lopes</t>
  </si>
  <si>
    <t>Green Bay Phoenix</t>
  </si>
  <si>
    <t>Hampton Pirates</t>
  </si>
  <si>
    <t>Harvard Crimson</t>
  </si>
  <si>
    <t>Hofstra Pride</t>
  </si>
  <si>
    <t>Holy Cross Crusaders</t>
  </si>
  <si>
    <t>Houston Christian Huskies</t>
  </si>
  <si>
    <t>IU Indianapolis Jaguars</t>
  </si>
  <si>
    <t>Idaho State Bengals</t>
  </si>
  <si>
    <t>Idaho Vandals</t>
  </si>
  <si>
    <t>Illinois State Redbirds</t>
  </si>
  <si>
    <t>Incarnate Word Cardinals</t>
  </si>
  <si>
    <t>Indiana State Sycamores</t>
  </si>
  <si>
    <t>Iona Gaels</t>
  </si>
  <si>
    <t>Jackson State Tigers</t>
  </si>
  <si>
    <t>Jacksonville Dolphins</t>
  </si>
  <si>
    <t>Jacksonville State Gamecocks</t>
  </si>
  <si>
    <t>James Madison Dukes</t>
  </si>
  <si>
    <t>Kansas City Roos</t>
  </si>
  <si>
    <t>Kansas State Wildcats</t>
  </si>
  <si>
    <t>Kennesaw State Owls</t>
  </si>
  <si>
    <t>Kent State Golden Flashes</t>
  </si>
  <si>
    <t>LSU Tigers</t>
  </si>
  <si>
    <t>La Salle Explorers</t>
  </si>
  <si>
    <t>Lafayette Leopards</t>
  </si>
  <si>
    <t>Lamar Cardinals</t>
  </si>
  <si>
    <t>Le Moyne Dolphins</t>
  </si>
  <si>
    <t>Lehigh Mountain Hawks</t>
  </si>
  <si>
    <t>Lindenwood Lions</t>
  </si>
  <si>
    <t>Lipscomb Bisons</t>
  </si>
  <si>
    <t>Little Rock Trojans</t>
  </si>
  <si>
    <t>Long Beach State Beach</t>
  </si>
  <si>
    <t>Longwood Lancers</t>
  </si>
  <si>
    <t>Louisiana Ragin' Cajuns</t>
  </si>
  <si>
    <t>Louisiana Tech Bulldogs</t>
  </si>
  <si>
    <t>Loyola Chicago Ramblers</t>
  </si>
  <si>
    <t>Loyola Maryland Greyhounds</t>
  </si>
  <si>
    <t>Loyola Marymount Lions</t>
  </si>
  <si>
    <t>Maine Black Bears</t>
  </si>
  <si>
    <t>Manhattan Jaspers</t>
  </si>
  <si>
    <t>Marist Red Foxes</t>
  </si>
  <si>
    <t>Marquette Golden Eagles</t>
  </si>
  <si>
    <t>Marshall Thundering Herd</t>
  </si>
  <si>
    <t>Maryland Eastern Shore Hawks</t>
  </si>
  <si>
    <t>Maryland Terrapins</t>
  </si>
  <si>
    <t>Massachusetts Minutemen</t>
  </si>
  <si>
    <t>McNeese Cowboys</t>
  </si>
  <si>
    <t>Memphis Tigers</t>
  </si>
  <si>
    <t>Mercer Bears</t>
  </si>
  <si>
    <t>Mercyhurst Lakers</t>
  </si>
  <si>
    <t>Middle Tennessee Blue Raiders</t>
  </si>
  <si>
    <t>Milwaukee Panthers</t>
  </si>
  <si>
    <t>Minnesota Golden Gophers</t>
  </si>
  <si>
    <t>Mississippi State Bulldogs</t>
  </si>
  <si>
    <t>Mississippi Valley State Delta Devils</t>
  </si>
  <si>
    <t>Missouri State Bears</t>
  </si>
  <si>
    <t>Monmouth Hawks</t>
  </si>
  <si>
    <t>Montana Grizzlies</t>
  </si>
  <si>
    <t>Montana State Bobcats</t>
  </si>
  <si>
    <t>Morehead State Eagles</t>
  </si>
  <si>
    <t>Morgan State Bears</t>
  </si>
  <si>
    <t>Mount St. Mary's Mountaineers</t>
  </si>
  <si>
    <t>Murray State Racers</t>
  </si>
  <si>
    <t>NJIT Highlanders</t>
  </si>
  <si>
    <t>Nevada Wolf Pack</t>
  </si>
  <si>
    <t>New Hampshire Wildcats</t>
  </si>
  <si>
    <t>New Haven Chargers</t>
  </si>
  <si>
    <t>New Mexico State Aggies</t>
  </si>
  <si>
    <t>New Orleans Privateers</t>
  </si>
  <si>
    <t>Niagara Purple Eagles</t>
  </si>
  <si>
    <t>Nicholls Colonels</t>
  </si>
  <si>
    <t>Norfolk State Spartans</t>
  </si>
  <si>
    <t>North Alabama Lions</t>
  </si>
  <si>
    <t>North Carolina A&amp;T Aggies</t>
  </si>
  <si>
    <t>North Carolina Central Eagles</t>
  </si>
  <si>
    <t>North Dakota Fighting Hawks</t>
  </si>
  <si>
    <t>North Florida Ospreys</t>
  </si>
  <si>
    <t>North Texas Mean Green</t>
  </si>
  <si>
    <t>Northeastern Huskies</t>
  </si>
  <si>
    <t>Northern Arizona Lumberjacks</t>
  </si>
  <si>
    <t>Northern Colorado Bears</t>
  </si>
  <si>
    <t>Northern Illinois Huskies</t>
  </si>
  <si>
    <t>Northern Iowa Panthers</t>
  </si>
  <si>
    <t>Northern Kentucky Norse</t>
  </si>
  <si>
    <t>Northwestern State Demons</t>
  </si>
  <si>
    <t>Northwestern Wildcats</t>
  </si>
  <si>
    <t>Notre Dame Fighting Irish</t>
  </si>
  <si>
    <t>Oakland Golden Grizzlies</t>
  </si>
  <si>
    <t>Ohio Bobcats</t>
  </si>
  <si>
    <t>Oklahoma Sooners</t>
  </si>
  <si>
    <t>Oklahoma State Cowboys</t>
  </si>
  <si>
    <t>Old Dominion Monarchs</t>
  </si>
  <si>
    <t>Ole Miss Rebels</t>
  </si>
  <si>
    <t>Omaha Mavericks</t>
  </si>
  <si>
    <t>Oral Roberts Golden Eagles</t>
  </si>
  <si>
    <t>Oregon Ducks</t>
  </si>
  <si>
    <t>Oregon State Beavers</t>
  </si>
  <si>
    <t>Pacific Tigers</t>
  </si>
  <si>
    <t>Penn State Nittany Lions</t>
  </si>
  <si>
    <t>Pennsylvania Quakers</t>
  </si>
  <si>
    <t>Pepperdine Waves</t>
  </si>
  <si>
    <t>Pittsburgh Panthers</t>
  </si>
  <si>
    <t>Portland Pilots</t>
  </si>
  <si>
    <t>Prairie View A&amp;M Panthers</t>
  </si>
  <si>
    <t>Presbyterian Blue Hose</t>
  </si>
  <si>
    <t>Princeton Tigers</t>
  </si>
  <si>
    <t>Providence Friars</t>
  </si>
  <si>
    <t>Purdue Fort Wayne Mastodons</t>
  </si>
  <si>
    <t>Queens University Royals</t>
  </si>
  <si>
    <t>Quinnipiac Bobcats</t>
  </si>
  <si>
    <t>Radford Highlanders</t>
  </si>
  <si>
    <t>Rhode Island Rams</t>
  </si>
  <si>
    <t>Rice Owls</t>
  </si>
  <si>
    <t>Richmond Spiders</t>
  </si>
  <si>
    <t>Rider Broncs</t>
  </si>
  <si>
    <t>Robert Morris Colonials</t>
  </si>
  <si>
    <t>Rutgers Scarlet Knights</t>
  </si>
  <si>
    <t>SE Louisiana Lions</t>
  </si>
  <si>
    <t>SIU Edwardsville Cougars</t>
  </si>
  <si>
    <t>Sacramento State Hornets</t>
  </si>
  <si>
    <t>Sacred Heart Pioneers</t>
  </si>
  <si>
    <t>Saint Francis Red Flash</t>
  </si>
  <si>
    <t>Saint Joseph's Hawks</t>
  </si>
  <si>
    <t>Saint Peter's Peacocks</t>
  </si>
  <si>
    <t>Sam Houston Bearkats</t>
  </si>
  <si>
    <t>Samford Bulldogs</t>
  </si>
  <si>
    <t>San Diego State Aztecs</t>
  </si>
  <si>
    <t>San Diego Toreros</t>
  </si>
  <si>
    <t>San Francisco Dons</t>
  </si>
  <si>
    <t>San José State Spartans</t>
  </si>
  <si>
    <t>Seattle U Redhawks</t>
  </si>
  <si>
    <t>Seton Hall Pirates</t>
  </si>
  <si>
    <t>Siena Saints</t>
  </si>
  <si>
    <t>South Alabama Jaguars</t>
  </si>
  <si>
    <t>South Carolina Gamecocks</t>
  </si>
  <si>
    <t>South Carolina State Bulldogs</t>
  </si>
  <si>
    <t>South Carolina Upstate Spartans</t>
  </si>
  <si>
    <t>South Dakota Coyotes</t>
  </si>
  <si>
    <t>South Dakota State Jackrabbits</t>
  </si>
  <si>
    <t>Southeast Missouri State Redhawks</t>
  </si>
  <si>
    <t>Southern Illinois Salukis</t>
  </si>
  <si>
    <t>Southern Indiana Screaming Eagles</t>
  </si>
  <si>
    <t>Southern Jaguars</t>
  </si>
  <si>
    <t>Southern Miss Golden Eagles</t>
  </si>
  <si>
    <t>Southern Utah Thunderbirds</t>
  </si>
  <si>
    <t>St. Bonaventure Bonnies</t>
  </si>
  <si>
    <t>St. Thomas-Minnesota Tommies</t>
  </si>
  <si>
    <t>Stanford Cardinal</t>
  </si>
  <si>
    <t>Stetson Hatters</t>
  </si>
  <si>
    <t>Stonehill Skyhawks</t>
  </si>
  <si>
    <t>Stony Brook Seawolves</t>
  </si>
  <si>
    <t>Syracuse Orange</t>
  </si>
  <si>
    <t>Tarleton State Texans</t>
  </si>
  <si>
    <t>Temple Owls</t>
  </si>
  <si>
    <t>Tennessee Tech Golden Eagles</t>
  </si>
  <si>
    <t>Texas A&amp;M-Corpus Christi Islanders</t>
  </si>
  <si>
    <t>Texas Southern Tigers</t>
  </si>
  <si>
    <t>Texas State Bobcats</t>
  </si>
  <si>
    <t>The Citadel Bulldogs</t>
  </si>
  <si>
    <t>Toledo Rockets</t>
  </si>
  <si>
    <t>Towson Tigers</t>
  </si>
  <si>
    <t>Tulane Green Wave</t>
  </si>
  <si>
    <t>Tulsa Golden Hurricane</t>
  </si>
  <si>
    <t>UAB Blazers</t>
  </si>
  <si>
    <t>UAlbany Great Danes</t>
  </si>
  <si>
    <t>UC Davis Aggies</t>
  </si>
  <si>
    <t>UC Irvine Anteaters</t>
  </si>
  <si>
    <t>UC San Diego Tritons</t>
  </si>
  <si>
    <t>UC Santa Barbara Gauchos</t>
  </si>
  <si>
    <t>UIC Flames</t>
  </si>
  <si>
    <t>UL Monroe Warhawks</t>
  </si>
  <si>
    <t>UMass Lowell River Hawks</t>
  </si>
  <si>
    <t>UNC Asheville Bulldogs</t>
  </si>
  <si>
    <t>UNC Greensboro Spartans</t>
  </si>
  <si>
    <t>UNLV Rebels</t>
  </si>
  <si>
    <t>USC Trojans</t>
  </si>
  <si>
    <t>UT Arlington Mavericks</t>
  </si>
  <si>
    <t>UT Martin Skyhawks</t>
  </si>
  <si>
    <t>UT Rio Grande Valley Vaqueros</t>
  </si>
  <si>
    <t>UTEP Miners</t>
  </si>
  <si>
    <t>UTSA Roadrunners</t>
  </si>
  <si>
    <t>Utah Tech Trailblazers</t>
  </si>
  <si>
    <t>Utah Utes</t>
  </si>
  <si>
    <t>VCU Rams</t>
  </si>
  <si>
    <t>VMI Keydets</t>
  </si>
  <si>
    <t>Valparaiso Beacons</t>
  </si>
  <si>
    <t>Vermont Catamounts</t>
  </si>
  <si>
    <t>Virginia Tech Hokies</t>
  </si>
  <si>
    <t>Wagner Seahawks</t>
  </si>
  <si>
    <t>Wake Forest Demon Deacons</t>
  </si>
  <si>
    <t>Washington Huskies</t>
  </si>
  <si>
    <t>Washington State Cougars</t>
  </si>
  <si>
    <t>Weber State Wildcats</t>
  </si>
  <si>
    <t>West Georgia Wolves</t>
  </si>
  <si>
    <t>West Virginia Mountaineers</t>
  </si>
  <si>
    <t>Western Carolina Catamounts</t>
  </si>
  <si>
    <t>Western Illinois Leathernecks</t>
  </si>
  <si>
    <t>Western Kentucky Hilltoppers</t>
  </si>
  <si>
    <t>Western Michigan Broncos</t>
  </si>
  <si>
    <t>Wichita State Shockers</t>
  </si>
  <si>
    <t>William &amp; Mary Tribe</t>
  </si>
  <si>
    <t>Winthrop Eagles</t>
  </si>
  <si>
    <t>Wofford Terriers</t>
  </si>
  <si>
    <t>Wyoming Cowboys</t>
  </si>
  <si>
    <t>Xavier Musketeers</t>
  </si>
  <si>
    <t>Youngstown State Penguins</t>
  </si>
  <si>
    <t>🏆 TOURNAMENT RESULTS DASHBOARD — Live from Simulation Engine</t>
  </si>
  <si>
    <t>← All data pulls from ⚙️ Sim Engine which reads from 📋 Bracket Input. Change any team name to instantly update everything.</t>
  </si>
  <si>
    <t>FINAL FOUR PARTICIPANTS</t>
  </si>
  <si>
    <t>Midwest Winner</t>
  </si>
  <si>
    <t>South Winner</t>
  </si>
  <si>
    <t>East Winner</t>
  </si>
  <si>
    <t>West Winner</t>
  </si>
  <si>
    <t>🏆  PROJECTED NATIONAL CHAMPION</t>
  </si>
  <si>
    <t>📊 FULL SIMULATION RESULTS</t>
  </si>
  <si>
    <t>💡 TO UPDATE: Go to 📋 Bracket Input tab → Change any team name → All results auto-update here instantly</t>
  </si>
  <si>
    <t>🚀 QUICK START GUIDE</t>
  </si>
  <si>
    <t>HOW TO MAKE A PREDICTION (3 STEPS):</t>
  </si>
  <si>
    <t>1️⃣</t>
  </si>
  <si>
    <t>Go to "Enhanced Matchup Model" tab</t>
  </si>
  <si>
    <t>2️⃣</t>
  </si>
  <si>
    <t>Enter game details in cells B3-B5:</t>
  </si>
  <si>
    <t>• B3: Select venue (Home/Away/Neutral)</t>
  </si>
  <si>
    <t>• B4: Type Team A name (exactly as in Team Stats)</t>
  </si>
  <si>
    <t>• B5: Type Team B name</t>
  </si>
  <si>
    <t>3️⃣</t>
  </si>
  <si>
    <t>View predictions at the bottom of the sheet!</t>
  </si>
  <si>
    <t>WHAT YOU'LL GET:</t>
  </si>
  <si>
    <t>📊</t>
  </si>
  <si>
    <t>Predicted Points</t>
  </si>
  <si>
    <t>For each team</t>
  </si>
  <si>
    <t>📈</t>
  </si>
  <si>
    <t>Combined score</t>
  </si>
  <si>
    <t>📉</t>
  </si>
  <si>
    <t>Point difference</t>
  </si>
  <si>
    <t>🎯</t>
  </si>
  <si>
    <t>Win Probabilities</t>
  </si>
  <si>
    <t>Percentage chance for each team</t>
  </si>
  <si>
    <t>🏆</t>
  </si>
  <si>
    <t>With expected margin</t>
  </si>
  <si>
    <t>TABS OVERVIEW:</t>
  </si>
  <si>
    <t>Tab Name</t>
  </si>
  <si>
    <t>Purpose</t>
  </si>
  <si>
    <t>Priority</t>
  </si>
  <si>
    <t>Enhanced Matchup Model</t>
  </si>
  <si>
    <t>Main prediction engine - use this!</t>
  </si>
  <si>
    <t>Model Documentation</t>
  </si>
  <si>
    <t>Detailed explanations &amp; formulas</t>
  </si>
  <si>
    <t>Advanced Metrics</t>
  </si>
  <si>
    <t>Team ratings &amp; analytics</t>
  </si>
  <si>
    <t>Enhanced Backtest</t>
  </si>
  <si>
    <t>Test predictions vs actual results</t>
  </si>
  <si>
    <t>Team Stats</t>
  </si>
  <si>
    <t>Source data - DO NOT CHANGE</t>
  </si>
  <si>
    <t>Opponents stats vs</t>
  </si>
  <si>
    <t>Defensive data - DO NOT CHANGE</t>
  </si>
  <si>
    <t>SOS</t>
  </si>
  <si>
    <t>Strength of Schedule - DO NOT CHANGE</t>
  </si>
  <si>
    <t>Model Simulations</t>
  </si>
  <si>
    <t>Parameter optimization grid</t>
  </si>
  <si>
    <t>⚙️ ADJUSTABLE PARAMETERS:</t>
  </si>
  <si>
    <t>Location: Enhanced Matchup Model, Column F</t>
  </si>
  <si>
    <t>• Off Weight (F3): How much to weight offense (default 0.65)</t>
  </si>
  <si>
    <t>• Def Weight (F4): How much to weight defense (default 0.35)</t>
  </si>
  <si>
    <t>• Home Court Adj (F7): Points for home team (default 3.5)</t>
  </si>
  <si>
    <t>• Pace Weight (F8): Tempo importance (default 0.4)</t>
  </si>
  <si>
    <t>• SOS Weight (F9): Strength adjustment (default 0.01)</t>
  </si>
  <si>
    <t>💡 PRO TIPS:</t>
  </si>
  <si>
    <t>✓ Team names must EXACTLY match Team Stats tab (case-sensitive)</t>
  </si>
  <si>
    <t>✓ Use Model Simulations to test different parameter combinations</t>
  </si>
  <si>
    <t>✓ Check Advanced Metrics for team efficiency ratings</t>
  </si>
  <si>
    <t>✓ Run Enhanced Backtest to validate any changes</t>
  </si>
  <si>
    <t>✓ Your original model is preserved in "Matchup Model" tab</t>
  </si>
  <si>
    <t>MODEL OPTIMIZED: Feb 2026</t>
  </si>
  <si>
    <t>Backtest: 82.4% winner accuracy on 68 games</t>
  </si>
  <si>
    <t>See "Backtest Results" sheet for details</t>
  </si>
  <si>
    <t>📚 NCAA Basketball Prediction Model - Documentation &amp; Improvements</t>
  </si>
  <si>
    <t>KEY IMPROVEMENTS IMPLEMENTED</t>
  </si>
  <si>
    <t>1. Four Factors Analysis</t>
  </si>
  <si>
    <t>Integrated the Dean Oliver Four Factors (eFG%, TO%, ORB%, FT Rate) which are proven to be the most important factors in winning basketball games. These provide more granular insights than raw stats.</t>
  </si>
  <si>
    <t>2. Pace &amp; Tempo Adjustments</t>
  </si>
  <si>
    <t>Added explicit pace calculations and tempo-based possession adjustments. Games between fast-paced teams will have more possessions than slow-paced matchups, improving total points accuracy.</t>
  </si>
  <si>
    <t>3. Home Court Advantage</t>
  </si>
  <si>
    <t>Implemented configurable home court adjustment (default 3.5 points). Research shows home teams win ~60% of games with 3-4 point advantage on average.</t>
  </si>
  <si>
    <t>4. Enhanced SOS Integration</t>
  </si>
  <si>
    <t>Better incorporation of Strength of Schedule rankings with adjustable weighting. Teams with tougher schedules get slight point adjustments.</t>
  </si>
  <si>
    <t>5. Blended Possession Model</t>
  </si>
  <si>
    <t>Uses both team and opponent possession calculations with pace weighting to get more accurate game possession estimates.</t>
  </si>
  <si>
    <t>6. Advanced Metrics Tab</t>
  </si>
  <si>
    <t>Created new tab calculating Offensive Rating, Defensive Rating, Net Rating, and True Shooting % for deeper analysis.</t>
  </si>
  <si>
    <t>7. Improved Model Structure</t>
  </si>
  <si>
    <t>Reorganized calculations with clear sections, better labeling, and color-coding for easier navigation and understanding.</t>
  </si>
  <si>
    <t>TUNABLE PARAMETERS</t>
  </si>
  <si>
    <t>Parameter</t>
  </si>
  <si>
    <t>Location</t>
  </si>
  <si>
    <t>Default</t>
  </si>
  <si>
    <t>Description</t>
  </si>
  <si>
    <t>Off Weight</t>
  </si>
  <si>
    <t>Enhanced Matchup Model!F3</t>
  </si>
  <si>
    <t>0.65</t>
  </si>
  <si>
    <t>Weight given to offensive efficiency (currently 65%)</t>
  </si>
  <si>
    <t>Def Weight</t>
  </si>
  <si>
    <t>Enhanced Matchup Model!F4</t>
  </si>
  <si>
    <t>0.35</t>
  </si>
  <si>
    <t>Weight given to defensive efficiency (currently 35%)</t>
  </si>
  <si>
    <t>Enhanced Matchup Model!F7</t>
  </si>
  <si>
    <t>3.5</t>
  </si>
  <si>
    <t>Points added for home court advantage</t>
  </si>
  <si>
    <t>Pace Weight</t>
  </si>
  <si>
    <t>Enhanced Matchup Model!F8</t>
  </si>
  <si>
    <t>How much to weight pace-based vs calculated possessions</t>
  </si>
  <si>
    <t>SOS Weight</t>
  </si>
  <si>
    <t>Enhanced Matchup Model!F9</t>
  </si>
  <si>
    <t>0.01</t>
  </si>
  <si>
    <t>Points per rank difference in Strength of Schedule</t>
  </si>
  <si>
    <t>HOW TO USE THE ENHANCED MODEL</t>
  </si>
  <si>
    <t>1. Go to "Enhanced Matchup Model" tab</t>
  </si>
  <si>
    <t>2. Select Venue from dropdown (Home/Away/Neutral) in cell B3</t>
  </si>
  <si>
    <t>3. Type Team A name in cell B4 (exactly as it appears in Team Stats tab)</t>
  </si>
  <si>
    <t>4. Type Team B name in cell B5</t>
  </si>
  <si>
    <t>5. The model will automatically calculate all predictions</t>
  </si>
  <si>
    <t>6. View predicted points, spread, total, and win probabilities at the bottom</t>
  </si>
  <si>
    <t>7. Adjust parameters in column F if desired for sensitivity analysis</t>
  </si>
  <si>
    <t>FORMULAS &amp; CALCULATIONS</t>
  </si>
  <si>
    <t>Metric</t>
  </si>
  <si>
    <t>Formula</t>
  </si>
  <si>
    <t>Possessions</t>
  </si>
  <si>
    <t>(FGA - OR) + TO + 0.44 × FTA</t>
  </si>
  <si>
    <t>PPP (Points Per Possession)</t>
  </si>
  <si>
    <t>Points / Possessions</t>
  </si>
  <si>
    <t>Blended PPP</t>
  </si>
  <si>
    <t>(Off Weight × Team PPP) + (Def Weight × Opp PPP Allowed)</t>
  </si>
  <si>
    <t>eFG% (Effective FG%)</t>
  </si>
  <si>
    <t>(FGM + 0.5 × 3PM) / FGA</t>
  </si>
  <si>
    <t>True Shooting %</t>
  </si>
  <si>
    <t>PTS / (2 × (FGA + 0.44 × FTA))</t>
  </si>
  <si>
    <t>Pace</t>
  </si>
  <si>
    <t>Possessions per Game</t>
  </si>
  <si>
    <t>Offensive Rating</t>
  </si>
  <si>
    <t>Points per 100 Possessions</t>
  </si>
  <si>
    <t>Win Probability</t>
  </si>
  <si>
    <t>1 / (1 + e^(-spread/6))</t>
  </si>
  <si>
    <t>RECOMMENDED NEXT STEPS</t>
  </si>
  <si>
    <t>• Run backtest comparisons to validate improvements</t>
  </si>
  <si>
    <t>• Fine-tune parameters (Off/Def weight, HCA, SOS weight) using historical data</t>
  </si>
  <si>
    <t>• Consider adding injury/roster information if available</t>
  </si>
  <si>
    <t>• Track recent form (last 5-10 games) for hot/cold teams</t>
  </si>
  <si>
    <t>• Add conference strength adjustments</t>
  </si>
  <si>
    <t>• Consider point of season (teams improve over year)</t>
  </si>
  <si>
    <t>• Implement regression to the mean for extreme outliers</t>
  </si>
  <si>
    <t>DATA Source</t>
  </si>
  <si>
    <t>https://www.espn.com/mens-college-basketball/stats/team</t>
  </si>
  <si>
    <t>https://www.espn.com/mens-college-basketball/stats/team/_/view/opponent</t>
  </si>
  <si>
    <t>https://www.espn.com/mens-college-basketball/bpi/_/view/resume</t>
  </si>
  <si>
    <t>RK</t>
  </si>
  <si>
    <t>Team</t>
  </si>
  <si>
    <t>GP</t>
  </si>
  <si>
    <t>PTS</t>
  </si>
  <si>
    <t>FGM</t>
  </si>
  <si>
    <t>FGA</t>
  </si>
  <si>
    <t>FG%</t>
  </si>
  <si>
    <t>3PM</t>
  </si>
  <si>
    <t>3PA</t>
  </si>
  <si>
    <t>3P%</t>
  </si>
  <si>
    <t>FTM</t>
  </si>
  <si>
    <t>FTA</t>
  </si>
  <si>
    <t>FT%</t>
  </si>
  <si>
    <t>OR</t>
  </si>
  <si>
    <t>DR</t>
  </si>
  <si>
    <t>REB</t>
  </si>
  <si>
    <t>AST</t>
  </si>
  <si>
    <t>STL</t>
  </si>
  <si>
    <t>BLK</t>
  </si>
  <si>
    <t>TO</t>
  </si>
  <si>
    <t>PF</t>
  </si>
  <si>
    <t>CONF</t>
  </si>
  <si>
    <t>SOR RK</t>
  </si>
  <si>
    <t>NC SOS</t>
  </si>
  <si>
    <t>W</t>
  </si>
  <si>
    <t>L</t>
  </si>
  <si>
    <t>QW</t>
  </si>
  <si>
    <t>QL</t>
  </si>
  <si>
    <t>SOR Score</t>
  </si>
  <si>
    <t>Big Ten</t>
  </si>
  <si>
    <t>ACC</t>
  </si>
  <si>
    <t>Big 12</t>
  </si>
  <si>
    <t>Big East</t>
  </si>
  <si>
    <t>SEC</t>
  </si>
  <si>
    <t>WCC</t>
  </si>
  <si>
    <t>Mountain West</t>
  </si>
  <si>
    <t>A-10</t>
  </si>
  <si>
    <t>American</t>
  </si>
  <si>
    <t>MVC</t>
  </si>
  <si>
    <t>Ivy</t>
  </si>
  <si>
    <t>CUSA</t>
  </si>
  <si>
    <t>Southland</t>
  </si>
  <si>
    <t>CAA</t>
  </si>
  <si>
    <t>MAC</t>
  </si>
  <si>
    <t>WAC</t>
  </si>
  <si>
    <t>Sun Belt</t>
  </si>
  <si>
    <t>Horizon</t>
  </si>
  <si>
    <t>Big West</t>
  </si>
  <si>
    <t>MAAC</t>
  </si>
  <si>
    <t>Big South</t>
  </si>
  <si>
    <t>SoCon</t>
  </si>
  <si>
    <t>ASUN</t>
  </si>
  <si>
    <t>Big Sky</t>
  </si>
  <si>
    <t>SWAC</t>
  </si>
  <si>
    <t>Summit</t>
  </si>
  <si>
    <t>NEC</t>
  </si>
  <si>
    <t>Patriot</t>
  </si>
  <si>
    <t>Am. East</t>
  </si>
  <si>
    <t>OVC</t>
  </si>
  <si>
    <t>MEAC</t>
  </si>
  <si>
    <t>🏀 2026 NCAA TOURNAMENT BRACKET — Built from SOR Rankings</t>
  </si>
  <si>
    <t>Row</t>
  </si>
  <si>
    <t>RankA</t>
  </si>
  <si>
    <t>RankB</t>
  </si>
  <si>
    <t>DYNAMIC — S-curve seeding auto-updates from SOR Score (SOS tab, column J) • Top 68 teams • Standard bracket matchups</t>
  </si>
  <si>
    <t>Matchup</t>
  </si>
  <si>
    <t>SOR Δ</t>
  </si>
  <si>
    <t>🏠 EAST REGION</t>
  </si>
  <si>
    <t>🏠 SOUTH REGION</t>
  </si>
  <si>
    <t>🏠 MIDWEST REGION</t>
  </si>
  <si>
    <t>🏠 WEST REGION</t>
  </si>
  <si>
    <t>💡 First Four winners advance to the corresponding seed slot in their region's bracket.</t>
  </si>
  <si>
    <t>eFG%</t>
  </si>
  <si>
    <t>TOV%</t>
  </si>
  <si>
    <t>ORB%</t>
  </si>
  <si>
    <t>FTR</t>
  </si>
  <si>
    <t>PPP</t>
  </si>
  <si>
    <t>PTS/G</t>
  </si>
  <si>
    <t>NCAAB MODEL BACKTEST &amp; OPTIMIZATION RESULTS</t>
  </si>
  <si>
    <t>BACKTEST SUMMARY (68 games from January-February 2026)</t>
  </si>
  <si>
    <t>Original</t>
  </si>
  <si>
    <t>Optimized</t>
  </si>
  <si>
    <t>Improvement</t>
  </si>
  <si>
    <t>Winner Accuracy</t>
  </si>
  <si>
    <t>77.9%</t>
  </si>
  <si>
    <t>82.4%</t>
  </si>
  <si>
    <t>+4.4%</t>
  </si>
  <si>
    <t>Spread MAE</t>
  </si>
  <si>
    <t>8.6 pts</t>
  </si>
  <si>
    <t>0.0</t>
  </si>
  <si>
    <t>Total MAE</t>
  </si>
  <si>
    <t>10.1 pts</t>
  </si>
  <si>
    <t>6.9 pts</t>
  </si>
  <si>
    <t>+3.2 pts better</t>
  </si>
  <si>
    <t>Spread Bias</t>
  </si>
  <si>
    <t>+1.2 pts</t>
  </si>
  <si>
    <t>+1.1 pts</t>
  </si>
  <si>
    <t>Improved</t>
  </si>
  <si>
    <t>Total Bias</t>
  </si>
  <si>
    <t>-9.5 pts</t>
  </si>
  <si>
    <t>-4.3 pts</t>
  </si>
  <si>
    <t>+5.3 pts better</t>
  </si>
  <si>
    <t>OPTIMIZED PARAMETER CHANGES</t>
  </si>
  <si>
    <t>New</t>
  </si>
  <si>
    <t>Rationale</t>
  </si>
  <si>
    <t>0.50</t>
  </si>
  <si>
    <t>0.48</t>
  </si>
  <si>
    <t>Slightly less offensive emphasis</t>
  </si>
  <si>
    <t>0.40</t>
  </si>
  <si>
    <t>0.46</t>
  </si>
  <si>
    <t>Weights sum to 0.94 - better total prediction</t>
  </si>
  <si>
    <t>3.0</t>
  </si>
  <si>
    <t>2.5</t>
  </si>
  <si>
    <t>Reduced - data shows smaller HCA this season</t>
  </si>
  <si>
    <t>0.09</t>
  </si>
  <si>
    <t>Unchanged - optimal</t>
  </si>
  <si>
    <t>6</t>
  </si>
  <si>
    <t>7</t>
  </si>
  <si>
    <t>Less extreme probabilities</t>
  </si>
  <si>
    <t>KEY FINDINGS FROM 68-GAME BACKTEST</t>
  </si>
  <si>
    <t>1. Winner Prediction: 82.4% accuracy (vs 77.9% original)</t>
  </si>
  <si>
    <t xml:space="preserve">   - Strong improvement from weight rebalancing</t>
  </si>
  <si>
    <t>2. Total Prediction: Reduced bias from -9.5 to -4.3 points</t>
  </si>
  <si>
    <t xml:space="preserve">   - Model now closer to actual game totals</t>
  </si>
  <si>
    <t>3. Home Court Advantage: 2.5 points optimal</t>
  </si>
  <si>
    <t xml:space="preserve">   - Lower than traditional 3-4 point estimates</t>
  </si>
  <si>
    <t xml:space="preserve">   - May reflect 2025-26 season travel/scheduling factors</t>
  </si>
  <si>
    <t>4. By Venue Performance:</t>
  </si>
  <si>
    <t xml:space="preserve">   - Home games: 80.5% accuracy (41 games)</t>
  </si>
  <si>
    <t xml:space="preserve">   - Away games: 74.1% accuracy (27 games)</t>
  </si>
  <si>
    <t>SAMPLE GAMES TESTED:</t>
  </si>
  <si>
    <t>- Duke 82 vs SMU 75 (Jan 10)</t>
  </si>
  <si>
    <t>- Houston 77 @ Baylor 55 (Jan 10)</t>
  </si>
  <si>
    <t>- Wisconsin 91 @ Michigan 88 (Jan 10) - Upset correctly identified</t>
  </si>
  <si>
    <t>- Iowa State 70 vs Houston 67 (Feb 16)</t>
  </si>
  <si>
    <t>- Duke 68 @ UNC 71 (Feb 7)</t>
  </si>
  <si>
    <t>- Michigan 78 @ Purdue 82 (Feb 16)</t>
  </si>
  <si>
    <t>RECOMMENDED FUTURE ENHANCEMENTS</t>
  </si>
  <si>
    <t>1. Add Recent Form Factor (last 5-10 games weighted more)</t>
  </si>
  <si>
    <t>2. Track key player injuries/absences</t>
  </si>
  <si>
    <t>3. Add conference-specific multipliers</t>
  </si>
  <si>
    <t>4. Incorporate Four Factors data (eFG% now in workbook)</t>
  </si>
  <si>
    <t>🔍 ACTUAL vs SOR BRACKET SEED COMPARISON</t>
  </si>
  <si>
    <t>BI_Team</t>
  </si>
  <si>
    <t>BI_Seed</t>
  </si>
  <si>
    <t>BI_Region</t>
  </si>
  <si>
    <t>SOR_Team</t>
  </si>
  <si>
    <t>SOR_Seed</t>
  </si>
  <si>
    <t>SOR_Region</t>
  </si>
  <si>
    <t>⚡ DYNAMIC — auto-updates from Bracket Input &amp; SOR bracket tabs • Misseeded = seed diff ≥ 2 seed lines</t>
  </si>
  <si>
    <t>Actual Seed</t>
  </si>
  <si>
    <t>Actual Region</t>
  </si>
  <si>
    <t>SOR Seed</t>
  </si>
  <si>
    <t>SOR Region</t>
  </si>
  <si>
    <t>Seed Diff</t>
  </si>
  <si>
    <t>Direction</t>
  </si>
  <si>
    <t>Region Changed?</t>
  </si>
  <si>
    <t>Misseeded?</t>
  </si>
  <si>
    <t>Assessment</t>
  </si>
  <si>
    <t>In Both?</t>
  </si>
  <si>
    <t>TEAMS ONLY IN SOR BRACKET — Projected by SOR but NOT in actual committee bracket</t>
  </si>
  <si>
    <t>In Actual?</t>
  </si>
  <si>
    <t>Status</t>
  </si>
  <si>
    <t>📊 SUMMARY STATISTICS</t>
  </si>
  <si>
    <t>Value</t>
  </si>
  <si>
    <t>Severity Breakdown</t>
  </si>
  <si>
    <t>Count</t>
  </si>
  <si>
    <t>Teams in both brackets</t>
  </si>
  <si>
    <t>🔴 Major Mismatch (|diff| ≥ 3)</t>
  </si>
  <si>
    <t>Teams only in actual bracket</t>
  </si>
  <si>
    <t>🟡 Notable (|diff| = 2)</t>
  </si>
  <si>
    <t>Teams only in SOR bracket</t>
  </si>
  <si>
    <t>🟠 Minor (|diff| = 1)</t>
  </si>
  <si>
    <t>Field overlap %</t>
  </si>
  <si>
    <t>✅ Aligned (diff = 0)</t>
  </si>
  <si>
    <t>🔵 Actual only</t>
  </si>
  <si>
    <t>Teams misseeded (|diff| ≥ 2)</t>
  </si>
  <si>
    <t>Teams overseeded by committee</t>
  </si>
  <si>
    <t>Teams underseeded by committee</t>
  </si>
  <si>
    <t>Teams w/ region change (same seed)</t>
  </si>
  <si>
    <t>Avg absolute seed diff (shared teams)</t>
  </si>
  <si>
    <t>💡 All data is dynamic — update team names in Bracket Input or refresh SOR data and this tab auto-recalculates.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</si>
</sst>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"/>
    <numFmt numFmtId="165" formatCode="0.0%"/>
    <numFmt numFmtId="166" formatCode="_(* #,##0.00_);_(* \(#,##0.00\);_(* \-??_);_(@_)"/>
    <numFmt numFmtId="167" formatCode="_(* #,##0_);_(* \(#,##0\);_(* \-??_);_(@_)"/>
    <numFmt numFmtId="168" formatCode="0.000"/>
  </numFmts>
  <fonts count="97" x14ac:knownFonts="1">
    <font>
      <sz val="11"/>
      <color theme="1"/>
      <name val="Aptos Narrow"/>
      <family val="2"/>
      <charset val="1"/>
    </font>
    <font>
      <sz val="10"/>
      <name val="Arial"/>
      <family val="2"/>
    </font>
    <font>
      <b/>
      <sz val="14"/>
      <color rgb="FFFFFFFF"/>
      <name val="Arial"/>
      <family val="2"/>
      <charset val="1"/>
    </font>
    <font>
      <i/>
      <sz val="9"/>
      <color rgb="FFDDDDDD"/>
      <name val="Arial"/>
      <family val="2"/>
      <charset val="1"/>
    </font>
    <font>
      <i/>
      <sz val="8"/>
      <color rgb="FFCCCCCC"/>
      <name val="Arial"/>
      <family val="2"/>
      <charset val="1"/>
    </font>
    <font>
      <b/>
      <sz val="9"/>
      <color rgb="FFFFFFFF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9"/>
      <color rgb="FF1B4F8A"/>
      <name val="Arial"/>
      <family val="2"/>
      <charset val="1"/>
    </font>
    <font>
      <b/>
      <sz val="9"/>
      <color rgb="FF333333"/>
      <name val="Arial"/>
      <family val="2"/>
      <charset val="1"/>
    </font>
    <font>
      <b/>
      <sz val="10"/>
      <color rgb="FF555555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8"/>
      <color rgb="FF888888"/>
      <name val="Arial"/>
      <family val="2"/>
      <charset val="1"/>
    </font>
    <font>
      <b/>
      <i/>
      <sz val="8"/>
      <color rgb="FF777777"/>
      <name val="Arial"/>
      <family val="2"/>
      <charset val="1"/>
    </font>
    <font>
      <sz val="10"/>
      <color rgb="FF000000"/>
      <name val="Arial"/>
      <family val="2"/>
      <charset val="1"/>
    </font>
    <font>
      <sz val="8"/>
      <color rgb="FF888888"/>
      <name val="Arial"/>
      <family val="2"/>
      <charset val="1"/>
    </font>
    <font>
      <i/>
      <sz val="9"/>
      <color rgb="FF888888"/>
      <name val="Arial"/>
      <family val="2"/>
      <charset val="1"/>
    </font>
    <font>
      <sz val="9"/>
      <color rgb="FF333333"/>
      <name val="Arial"/>
      <family val="2"/>
      <charset val="1"/>
    </font>
    <font>
      <i/>
      <sz val="8"/>
      <color rgb="FF777777"/>
      <name val="Arial"/>
      <family val="2"/>
      <charset val="1"/>
    </font>
    <font>
      <sz val="9"/>
      <color rgb="FF888888"/>
      <name val="Arial"/>
      <family val="2"/>
      <charset val="1"/>
    </font>
    <font>
      <b/>
      <sz val="10"/>
      <color rgb="FFC55A11"/>
      <name val="Arial"/>
      <family val="2"/>
      <charset val="1"/>
    </font>
    <font>
      <b/>
      <sz val="10"/>
      <color rgb="FF1F3864"/>
      <name val="Arial"/>
      <family val="2"/>
      <charset val="1"/>
    </font>
    <font>
      <b/>
      <sz val="9"/>
      <color rgb="FF8B1A1A"/>
      <name val="Arial"/>
      <family val="2"/>
      <charset val="1"/>
    </font>
    <font>
      <i/>
      <sz val="10"/>
      <color rgb="FF000000"/>
      <name val="Arial"/>
      <family val="2"/>
      <charset val="1"/>
    </font>
    <font>
      <b/>
      <sz val="10"/>
      <color rgb="FF2E75B6"/>
      <name val="Arial"/>
      <family val="2"/>
      <charset val="1"/>
    </font>
    <font>
      <b/>
      <sz val="9"/>
      <color rgb="FF7A5C00"/>
      <name val="Arial"/>
      <family val="2"/>
      <charset val="1"/>
    </font>
    <font>
      <b/>
      <sz val="10"/>
      <color rgb="FF7B2C9F"/>
      <name val="Arial"/>
      <family val="2"/>
      <charset val="1"/>
    </font>
    <font>
      <b/>
      <sz val="9"/>
      <color rgb="FF1A5C3A"/>
      <name val="Arial"/>
      <family val="2"/>
      <charset val="1"/>
    </font>
    <font>
      <i/>
      <sz val="8"/>
      <color rgb="FF555555"/>
      <name val="Arial"/>
      <family val="2"/>
      <charset val="1"/>
    </font>
    <font>
      <i/>
      <sz val="9"/>
      <color rgb="FF555555"/>
      <name val="Arial"/>
      <family val="2"/>
      <charset val="1"/>
    </font>
    <font>
      <b/>
      <sz val="9"/>
      <color rgb="FF1F3864"/>
      <name val="Arial"/>
      <family val="2"/>
      <charset val="1"/>
    </font>
    <font>
      <sz val="11"/>
      <name val="Aptos Narrow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sz val="10"/>
      <color rgb="FFCC0000"/>
      <name val="Arial"/>
      <family val="2"/>
      <charset val="1"/>
    </font>
    <font>
      <sz val="10"/>
      <color rgb="FF2E75B6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9"/>
      <color rgb="FF2E75B6"/>
      <name val="Arial"/>
      <family val="2"/>
      <charset val="1"/>
    </font>
    <font>
      <b/>
      <sz val="9"/>
      <color rgb="FFC55A11"/>
      <name val="Arial"/>
      <family val="2"/>
      <charset val="1"/>
    </font>
    <font>
      <b/>
      <sz val="9"/>
      <color rgb="FF375623"/>
      <name val="Arial"/>
      <family val="2"/>
      <charset val="1"/>
    </font>
    <font>
      <b/>
      <sz val="9"/>
      <color rgb="FF7B2C9F"/>
      <name val="Arial"/>
      <family val="2"/>
      <charset val="1"/>
    </font>
    <font>
      <b/>
      <sz val="9"/>
      <color rgb="FF5F3081"/>
      <name val="Arial"/>
      <family val="2"/>
      <charset val="1"/>
    </font>
    <font>
      <b/>
      <sz val="10"/>
      <color rgb="FF5F3081"/>
      <name val="Arial"/>
      <family val="2"/>
      <charset val="1"/>
    </font>
    <font>
      <b/>
      <sz val="11"/>
      <name val="Arial"/>
      <family val="2"/>
      <charset val="1"/>
    </font>
    <font>
      <b/>
      <sz val="11"/>
      <color rgb="FF1F3864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4"/>
      <name val="Arial"/>
      <family val="2"/>
      <charset val="1"/>
    </font>
    <font>
      <b/>
      <sz val="16"/>
      <color rgb="FFFFFFFF"/>
      <name val="Aptos Narrow"/>
      <family val="2"/>
      <charset val="1"/>
    </font>
    <font>
      <b/>
      <sz val="11"/>
      <name val="Aptos Narrow"/>
      <family val="2"/>
      <charset val="1"/>
    </font>
    <font>
      <b/>
      <sz val="12"/>
      <color rgb="FFFFFFFF"/>
      <name val="Aptos Narrow"/>
      <family val="2"/>
      <charset val="1"/>
    </font>
    <font>
      <sz val="10"/>
      <name val="Calibri"/>
      <family val="2"/>
      <charset val="1"/>
    </font>
    <font>
      <b/>
      <sz val="11"/>
      <name val="Cambria"/>
      <family val="1"/>
    </font>
    <font>
      <sz val="11"/>
      <color rgb="FF0000FF"/>
      <name val="Cambria"/>
      <family val="1"/>
    </font>
    <font>
      <i/>
      <sz val="10"/>
      <color rgb="FF595959"/>
      <name val="Cambria"/>
      <family val="1"/>
      <charset val="1"/>
    </font>
    <font>
      <i/>
      <sz val="11"/>
      <color rgb="FF808080"/>
      <name val="Cambria"/>
      <family val="1"/>
    </font>
    <font>
      <sz val="11"/>
      <color rgb="FF008000"/>
      <name val="Cambria"/>
      <family val="1"/>
    </font>
    <font>
      <b/>
      <sz val="14"/>
      <color rgb="FFFFFFFF"/>
      <name val="Aptos Narrow"/>
      <family val="2"/>
      <charset val="1"/>
    </font>
    <font>
      <b/>
      <sz val="12"/>
      <name val="Aptos Narrow"/>
      <family val="2"/>
      <charset val="1"/>
    </font>
    <font>
      <sz val="9"/>
      <color rgb="FF000000"/>
      <name val="Arial"/>
      <family val="2"/>
      <charset val="1"/>
    </font>
    <font>
      <b/>
      <sz val="20"/>
      <color rgb="FF1F3864"/>
      <name val="Arial"/>
      <family val="2"/>
      <charset val="1"/>
    </font>
    <font>
      <b/>
      <sz val="12"/>
      <name val="Arial"/>
      <family val="2"/>
      <charset val="1"/>
    </font>
    <font>
      <sz val="9"/>
      <color rgb="FF555555"/>
      <name val="Arial"/>
      <family val="2"/>
      <charset val="1"/>
    </font>
    <font>
      <b/>
      <sz val="18"/>
      <color rgb="FFFFFFFF"/>
      <name val="Aptos Narrow"/>
      <family val="2"/>
      <charset val="1"/>
    </font>
    <font>
      <b/>
      <sz val="13"/>
      <color rgb="FFFFFFFF"/>
      <name val="Aptos Narrow"/>
      <family val="2"/>
      <charset val="1"/>
    </font>
    <font>
      <sz val="14"/>
      <name val="Aptos Narrow"/>
      <family val="2"/>
      <charset val="1"/>
    </font>
    <font>
      <i/>
      <sz val="11"/>
      <name val="Aptos Narrow"/>
      <family val="2"/>
      <charset val="1"/>
    </font>
    <font>
      <b/>
      <sz val="11"/>
      <color rgb="FF008000"/>
      <name val="Cambria"/>
      <family val="1"/>
      <charset val="1"/>
    </font>
    <font>
      <b/>
      <sz val="8"/>
      <color rgb="FF48494A"/>
      <name val="Arial"/>
      <family val="2"/>
      <charset val="1"/>
    </font>
    <font>
      <u/>
      <sz val="11"/>
      <color theme="10"/>
      <name val="Aptos Narrow"/>
      <family val="2"/>
      <charset val="1"/>
    </font>
    <font>
      <sz val="9"/>
      <color rgb="FF6C6D6F"/>
      <name val="Arial"/>
      <family val="2"/>
      <charset val="1"/>
    </font>
    <font>
      <sz val="9"/>
      <color rgb="FF0066CC"/>
      <name val="Arial"/>
      <family val="2"/>
      <charset val="1"/>
    </font>
    <font>
      <b/>
      <sz val="11"/>
      <name val="Cambria"/>
      <family val="1"/>
      <charset val="1"/>
    </font>
    <font>
      <sz val="11"/>
      <color rgb="FF0000FF"/>
      <name val="Cambria"/>
      <family val="1"/>
      <charset val="1"/>
    </font>
    <font>
      <b/>
      <sz val="11"/>
      <color rgb="FFFFFFFF"/>
      <name val="Cambria"/>
      <family val="1"/>
      <charset val="1"/>
    </font>
    <font>
      <b/>
      <sz val="12"/>
      <name val="Cambria"/>
      <family val="1"/>
      <charset val="1"/>
    </font>
    <font>
      <b/>
      <sz val="14"/>
      <color rgb="FFFFFFFF"/>
      <name val="Arial"/>
      <family val="2"/>
    </font>
    <font>
      <b/>
      <sz val="8"/>
      <color rgb="FF888888"/>
      <name val="Aptos Narrow"/>
      <family val="2"/>
      <charset val="1"/>
    </font>
    <font>
      <i/>
      <sz val="9"/>
      <color rgb="FFDDDDDD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ptos Narrow"/>
      <family val="2"/>
      <charset val="1"/>
    </font>
    <font>
      <i/>
      <sz val="11"/>
      <color rgb="FF666666"/>
      <name val="Aptos Narrow"/>
      <family val="2"/>
      <charset val="1"/>
    </font>
    <font>
      <i/>
      <sz val="11"/>
      <color rgb="FF888888"/>
      <name val="Aptos Narrow"/>
      <family val="2"/>
      <charset val="1"/>
    </font>
    <font>
      <i/>
      <sz val="9"/>
      <color rgb="FF666666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theme="1"/>
      <name val="Aptos Narrow"/>
      <family val="2"/>
      <charset val="1"/>
    </font>
    <font>
      <b/>
      <sz val="11"/>
      <color rgb="FFC00000"/>
      <name val="Aptos Narrow"/>
      <family val="2"/>
      <charset val="1"/>
    </font>
    <font>
      <b/>
      <sz val="11"/>
      <color rgb="FFBF8F00"/>
      <name val="Aptos Narrow"/>
      <family val="2"/>
      <charset val="1"/>
    </font>
    <font>
      <b/>
      <sz val="11"/>
      <color rgb="FFED7D31"/>
      <name val="Aptos Narrow"/>
      <family val="2"/>
      <charset val="1"/>
    </font>
    <font>
      <b/>
      <sz val="11"/>
      <color rgb="FF548235"/>
      <name val="Aptos Narrow"/>
      <family val="2"/>
      <charset val="1"/>
    </font>
    <font>
      <b/>
      <sz val="8"/>
      <color rgb="FF999999"/>
      <name val="Aptos Narrow"/>
      <family val="2"/>
      <charset val="1"/>
    </font>
    <font>
      <b/>
      <sz val="11"/>
      <color rgb="FF4472C4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8"/>
      <color rgb="FF48494A"/>
      <name val="Arial"/>
      <family val="2"/>
    </font>
    <font>
      <sz val="9"/>
      <color rgb="FF6C6D6F"/>
      <name val="Arial"/>
      <family val="2"/>
    </font>
    <font>
      <sz val="9"/>
      <color rgb="FF0066CC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rgb="FF1F3864"/>
        <bgColor rgb="FF203864"/>
      </patternFill>
    </fill>
    <fill>
      <patternFill patternType="solid">
        <fgColor rgb="FF253754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20507E"/>
        <bgColor rgb="FF203864"/>
      </patternFill>
    </fill>
    <fill>
      <patternFill patternType="solid">
        <fgColor rgb="FFE8F0FB"/>
        <bgColor rgb="FFE6F3FF"/>
      </patternFill>
    </fill>
    <fill>
      <patternFill patternType="solid">
        <fgColor rgb="FFFFFACD"/>
        <bgColor rgb="FFFFF2CC"/>
      </patternFill>
    </fill>
    <fill>
      <patternFill patternType="solid">
        <fgColor rgb="FFFBE8E8"/>
        <bgColor rgb="FFFCE4D6"/>
      </patternFill>
    </fill>
    <fill>
      <patternFill patternType="solid">
        <fgColor rgb="FFEFEFEF"/>
        <bgColor rgb="FFF1F1F2"/>
      </patternFill>
    </fill>
    <fill>
      <patternFill patternType="solid">
        <fgColor rgb="FFF5F5F5"/>
        <bgColor rgb="FFF1F1F2"/>
      </patternFill>
    </fill>
    <fill>
      <patternFill patternType="solid">
        <fgColor rgb="FF8B1A1A"/>
        <bgColor rgb="FFC90000"/>
      </patternFill>
    </fill>
    <fill>
      <patternFill patternType="solid">
        <fgColor rgb="FF7A5C00"/>
        <bgColor rgb="FF535454"/>
      </patternFill>
    </fill>
    <fill>
      <patternFill patternType="solid">
        <fgColor rgb="FFF5ECC5"/>
        <bgColor rgb="FFFFF2CC"/>
      </patternFill>
    </fill>
    <fill>
      <patternFill patternType="solid">
        <fgColor rgb="FFFBF6E0"/>
        <bgColor rgb="FFFFFDE7"/>
      </patternFill>
    </fill>
    <fill>
      <patternFill patternType="solid">
        <fgColor rgb="FF325732"/>
        <bgColor rgb="FF375623"/>
      </patternFill>
    </fill>
    <fill>
      <patternFill patternType="solid">
        <fgColor rgb="FFE8F5EE"/>
        <bgColor rgb="FFE8F4FF"/>
      </patternFill>
    </fill>
    <fill>
      <patternFill patternType="darkGray">
        <fgColor rgb="FFF1F1F2"/>
        <bgColor rgb="FFEFEFEF"/>
      </patternFill>
    </fill>
    <fill>
      <patternFill patternType="solid">
        <fgColor rgb="FFE8F4FF"/>
        <bgColor rgb="FFE6F3FF"/>
      </patternFill>
    </fill>
    <fill>
      <patternFill patternType="solid">
        <fgColor rgb="FF203864"/>
        <bgColor rgb="FF1F3864"/>
      </patternFill>
    </fill>
    <fill>
      <patternFill patternType="solid">
        <fgColor rgb="FFFFFDE7"/>
        <bgColor rgb="FFFBF6E0"/>
      </patternFill>
    </fill>
    <fill>
      <patternFill patternType="solid">
        <fgColor rgb="FFEDE0FF"/>
        <bgColor rgb="FFDCE6F1"/>
      </patternFill>
    </fill>
    <fill>
      <patternFill patternType="solid">
        <fgColor rgb="FFC6EFCE"/>
        <bgColor rgb="FFE2EFDA"/>
      </patternFill>
    </fill>
    <fill>
      <patternFill patternType="solid">
        <fgColor rgb="FFDCE6F1"/>
        <bgColor rgb="FFDEEAF1"/>
      </patternFill>
    </fill>
    <fill>
      <patternFill patternType="solid">
        <fgColor rgb="FFDEEAF1"/>
        <bgColor rgb="FFDCE6F1"/>
      </patternFill>
    </fill>
    <fill>
      <patternFill patternType="solid">
        <fgColor rgb="FFE2EFDA"/>
        <bgColor rgb="FFE8F5EE"/>
      </patternFill>
    </fill>
    <fill>
      <patternFill patternType="solid">
        <fgColor rgb="FFFFF2CC"/>
        <bgColor rgb="FFFFFACD"/>
      </patternFill>
    </fill>
    <fill>
      <patternFill patternType="solid">
        <fgColor rgb="FFFCE4D6"/>
        <bgColor rgb="FFFBE8E8"/>
      </patternFill>
    </fill>
    <fill>
      <patternFill patternType="solid">
        <fgColor rgb="FFFFD700"/>
        <bgColor rgb="FFFFC000"/>
      </patternFill>
    </fill>
    <fill>
      <patternFill patternType="solid">
        <fgColor rgb="FFB8860B"/>
        <bgColor rgb="FFC55A11"/>
      </patternFill>
    </fill>
    <fill>
      <patternFill patternType="solid">
        <fgColor rgb="FF4472C4"/>
        <bgColor rgb="FF3475A5"/>
      </patternFill>
    </fill>
    <fill>
      <patternFill patternType="solid">
        <fgColor rgb="FFE6F3FF"/>
        <bgColor rgb="FFE8F4FF"/>
      </patternFill>
    </fill>
    <fill>
      <patternFill patternType="solid">
        <fgColor rgb="FF70AD47"/>
        <bgColor rgb="FF868686"/>
      </patternFill>
    </fill>
    <fill>
      <patternFill patternType="solid">
        <fgColor rgb="FFFFC000"/>
        <bgColor rgb="FFFFD700"/>
      </patternFill>
    </fill>
    <fill>
      <patternFill patternType="solid">
        <fgColor rgb="FFC90000"/>
        <bgColor rgb="FFFF0000"/>
      </patternFill>
    </fill>
    <fill>
      <patternFill patternType="solid">
        <fgColor rgb="FF7030A0"/>
        <bgColor rgb="FF7B2C9F"/>
      </patternFill>
    </fill>
    <fill>
      <patternFill patternType="solid">
        <fgColor rgb="FFD9E1F2"/>
        <bgColor rgb="FFD9E2F3"/>
      </patternFill>
    </fill>
    <fill>
      <patternFill patternType="solid">
        <fgColor rgb="FF00B050"/>
        <bgColor rgb="FF086B0A"/>
      </patternFill>
    </fill>
    <fill>
      <patternFill patternType="solid">
        <fgColor rgb="FF3475A5"/>
        <bgColor rgb="FF4472C4"/>
      </patternFill>
    </fill>
    <fill>
      <patternFill patternType="solid">
        <fgColor rgb="FFFFFFFF"/>
        <bgColor rgb="FFFFFDE7"/>
      </patternFill>
    </fill>
    <fill>
      <patternFill patternType="solid">
        <fgColor rgb="FF99E4D6"/>
        <bgColor rgb="FFC6EFCE"/>
      </patternFill>
    </fill>
    <fill>
      <patternFill patternType="solid">
        <fgColor rgb="FFC55A11"/>
        <bgColor rgb="FFB8860B"/>
      </patternFill>
    </fill>
    <fill>
      <patternFill patternType="solid">
        <fgColor rgb="FF325732"/>
        <bgColor rgb="FF375623"/>
      </patternFill>
    </fill>
    <fill>
      <patternFill patternType="solid">
        <fgColor rgb="FF7B2C9F"/>
        <bgColor rgb="FF7030A0"/>
      </patternFill>
    </fill>
    <fill>
      <patternFill patternType="solid">
        <fgColor rgb="FFD9E2F3"/>
        <bgColor rgb="FFD9E1F2"/>
      </patternFill>
    </fill>
    <fill>
      <patternFill patternType="solid">
        <fgColor rgb="FF1F3864"/>
        <bgColor indexed="64"/>
      </patternFill>
    </fill>
    <fill>
      <patternFill patternType="solid">
        <fgColor rgb="FF253754"/>
        <bgColor indexed="64"/>
      </patternFill>
    </fill>
    <fill>
      <patternFill patternType="solid">
        <fgColor rgb="FF2D5175"/>
        <bgColor indexed="64"/>
      </patternFill>
    </fill>
    <fill>
      <patternFill patternType="solid">
        <fgColor rgb="FF1B4F8A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8B2232"/>
        <bgColor indexed="64"/>
      </patternFill>
    </fill>
    <fill>
      <patternFill patternType="solid">
        <fgColor rgb="FFFBE8E8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BF6E0"/>
        <bgColor indexed="64"/>
      </patternFill>
    </fill>
    <fill>
      <patternFill patternType="solid">
        <fgColor rgb="FF1B6B3A"/>
        <bgColor indexed="64"/>
      </patternFill>
    </fill>
    <fill>
      <patternFill patternType="solid">
        <fgColor rgb="FFE8F5EE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2D9F3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DDDDDD"/>
      </bottom>
      <diagonal/>
    </border>
    <border>
      <left/>
      <right/>
      <top/>
      <bottom style="medium">
        <color rgb="FFAAAAAA"/>
      </bottom>
      <diagonal/>
    </border>
    <border>
      <left/>
      <right/>
      <top style="medium">
        <color rgb="FFDCDDDF"/>
      </top>
      <bottom style="medium">
        <color rgb="FFDCDDDF"/>
      </bottom>
      <diagonal/>
    </border>
    <border>
      <left/>
      <right style="medium">
        <color rgb="FFDCDDDF"/>
      </right>
      <top style="medium">
        <color rgb="FFDCDDDF"/>
      </top>
      <bottom style="medium">
        <color rgb="FFDCDDDF"/>
      </bottom>
      <diagonal/>
    </border>
    <border>
      <left/>
      <right/>
      <top/>
      <bottom style="medium">
        <color rgb="FFF1F1F2"/>
      </bottom>
      <diagonal/>
    </border>
    <border>
      <left/>
      <right style="medium">
        <color rgb="FFDCDDDF"/>
      </right>
      <top/>
      <bottom style="medium">
        <color rgb="FFF1F1F2"/>
      </bottom>
      <diagonal/>
    </border>
    <border>
      <left/>
      <right/>
      <top/>
      <bottom style="medium">
        <color rgb="FFF1F2F3"/>
      </bottom>
      <diagonal/>
    </border>
    <border>
      <left/>
      <right style="medium">
        <color rgb="FFDCDDDF"/>
      </right>
      <top/>
      <bottom style="medium">
        <color rgb="FFF1F2F3"/>
      </bottom>
      <diagonal/>
    </border>
  </borders>
  <cellStyleXfs count="3">
    <xf numFmtId="0" fontId="0" fillId="0" borderId="0"/>
    <xf numFmtId="43" fontId="1" fillId="0" borderId="0"/>
    <xf numFmtId="0" fontId="70" fillId="0" borderId="0"/>
  </cellStyleXfs>
  <cellXfs count="292">
    <xf numFmtId="0" fontId="0" fillId="0" borderId="0" xfId="0"/>
    <xf numFmtId="0" fontId="5" fillId="4" borderId="1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9" fillId="6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8" fillId="6" borderId="3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left" vertical="center"/>
    </xf>
    <xf numFmtId="0" fontId="14" fillId="6" borderId="3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left" vertical="center"/>
    </xf>
    <xf numFmtId="0" fontId="18" fillId="10" borderId="0" xfId="0" applyFont="1" applyFill="1"/>
    <xf numFmtId="0" fontId="19" fillId="10" borderId="1" xfId="0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left" vertical="center"/>
    </xf>
    <xf numFmtId="0" fontId="18" fillId="10" borderId="1" xfId="0" applyFont="1" applyFill="1" applyBorder="1" applyAlignment="1">
      <alignment horizontal="center" vertical="center"/>
    </xf>
    <xf numFmtId="0" fontId="0" fillId="10" borderId="0" xfId="0" applyFill="1"/>
    <xf numFmtId="0" fontId="21" fillId="8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9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21" fillId="8" borderId="2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left" vertical="center"/>
    </xf>
    <xf numFmtId="0" fontId="9" fillId="8" borderId="2" xfId="0" applyFont="1" applyFill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/>
    </xf>
    <xf numFmtId="0" fontId="16" fillId="8" borderId="2" xfId="0" applyFont="1" applyFill="1" applyBorder="1" applyAlignment="1">
      <alignment horizontal="left" vertical="center"/>
    </xf>
    <xf numFmtId="0" fontId="21" fillId="8" borderId="3" xfId="0" applyFont="1" applyFill="1" applyBorder="1" applyAlignment="1">
      <alignment horizontal="left" vertical="center"/>
    </xf>
    <xf numFmtId="0" fontId="8" fillId="8" borderId="3" xfId="0" applyFont="1" applyFill="1" applyBorder="1" applyAlignment="1">
      <alignment horizontal="left" vertical="center"/>
    </xf>
    <xf numFmtId="0" fontId="9" fillId="8" borderId="3" xfId="0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left" vertical="center"/>
    </xf>
    <xf numFmtId="0" fontId="23" fillId="10" borderId="1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0" fontId="8" fillId="13" borderId="0" xfId="0" applyFont="1" applyFill="1" applyAlignment="1">
      <alignment horizontal="left" vertical="center"/>
    </xf>
    <xf numFmtId="0" fontId="9" fillId="13" borderId="0" xfId="0" applyFont="1" applyFill="1" applyAlignment="1">
      <alignment horizontal="center" vertical="center"/>
    </xf>
    <xf numFmtId="0" fontId="11" fillId="13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left" vertical="center"/>
    </xf>
    <xf numFmtId="0" fontId="24" fillId="14" borderId="2" xfId="0" applyFont="1" applyFill="1" applyBorder="1" applyAlignment="1">
      <alignment horizontal="left" vertical="center"/>
    </xf>
    <xf numFmtId="0" fontId="8" fillId="14" borderId="2" xfId="0" applyFont="1" applyFill="1" applyBorder="1" applyAlignment="1">
      <alignment horizontal="left" vertical="center"/>
    </xf>
    <xf numFmtId="0" fontId="9" fillId="14" borderId="2" xfId="0" applyFont="1" applyFill="1" applyBorder="1" applyAlignment="1">
      <alignment horizontal="center" vertical="center"/>
    </xf>
    <xf numFmtId="0" fontId="14" fillId="14" borderId="2" xfId="0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left" vertical="center"/>
    </xf>
    <xf numFmtId="0" fontId="17" fillId="14" borderId="2" xfId="0" applyFont="1" applyFill="1" applyBorder="1" applyAlignment="1">
      <alignment horizontal="left" vertical="center"/>
    </xf>
    <xf numFmtId="0" fontId="24" fillId="14" borderId="3" xfId="0" applyFont="1" applyFill="1" applyBorder="1" applyAlignment="1">
      <alignment horizontal="left" vertical="center"/>
    </xf>
    <xf numFmtId="0" fontId="8" fillId="14" borderId="3" xfId="0" applyFont="1" applyFill="1" applyBorder="1" applyAlignment="1">
      <alignment horizontal="left" vertical="center"/>
    </xf>
    <xf numFmtId="0" fontId="9" fillId="14" borderId="3" xfId="0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0" fontId="17" fillId="14" borderId="3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center" vertical="center"/>
    </xf>
    <xf numFmtId="0" fontId="26" fillId="16" borderId="2" xfId="0" applyFont="1" applyFill="1" applyBorder="1" applyAlignment="1">
      <alignment horizontal="left" vertical="center"/>
    </xf>
    <xf numFmtId="0" fontId="8" fillId="16" borderId="2" xfId="0" applyFont="1" applyFill="1" applyBorder="1" applyAlignment="1">
      <alignment horizontal="left" vertical="center"/>
    </xf>
    <xf numFmtId="0" fontId="9" fillId="16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6" fillId="16" borderId="2" xfId="0" applyFont="1" applyFill="1" applyBorder="1" applyAlignment="1">
      <alignment horizontal="left" vertical="center"/>
    </xf>
    <xf numFmtId="0" fontId="17" fillId="1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left" vertical="center"/>
    </xf>
    <xf numFmtId="0" fontId="11" fillId="16" borderId="2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left" vertical="center"/>
    </xf>
    <xf numFmtId="0" fontId="26" fillId="16" borderId="3" xfId="0" applyFont="1" applyFill="1" applyBorder="1" applyAlignment="1">
      <alignment horizontal="left" vertical="center"/>
    </xf>
    <xf numFmtId="0" fontId="8" fillId="16" borderId="3" xfId="0" applyFont="1" applyFill="1" applyBorder="1" applyAlignment="1">
      <alignment horizontal="left" vertical="center"/>
    </xf>
    <xf numFmtId="0" fontId="9" fillId="16" borderId="3" xfId="0" applyFont="1" applyFill="1" applyBorder="1" applyAlignment="1">
      <alignment horizontal="center" vertical="center"/>
    </xf>
    <xf numFmtId="0" fontId="14" fillId="16" borderId="3" xfId="0" applyFont="1" applyFill="1" applyBorder="1" applyAlignment="1">
      <alignment horizontal="center" vertical="center"/>
    </xf>
    <xf numFmtId="0" fontId="17" fillId="16" borderId="3" xfId="0" applyFont="1" applyFill="1" applyBorder="1" applyAlignment="1">
      <alignment horizontal="left" vertical="center"/>
    </xf>
    <xf numFmtId="0" fontId="28" fillId="17" borderId="0" xfId="0" applyFont="1" applyFill="1" applyAlignment="1">
      <alignment horizontal="center" vertical="center"/>
    </xf>
    <xf numFmtId="0" fontId="29" fillId="18" borderId="0" xfId="0" applyFont="1" applyFill="1" applyAlignment="1">
      <alignment horizontal="center" vertical="center" wrapText="1"/>
    </xf>
    <xf numFmtId="0" fontId="30" fillId="0" borderId="0" xfId="0" applyFont="1" applyAlignment="1">
      <alignment horizontal="left"/>
    </xf>
    <xf numFmtId="0" fontId="33" fillId="19" borderId="1" xfId="0" applyFont="1" applyFill="1" applyBorder="1" applyAlignment="1">
      <alignment horizontal="left" vertical="center"/>
    </xf>
    <xf numFmtId="0" fontId="34" fillId="19" borderId="1" xfId="0" applyFont="1" applyFill="1" applyBorder="1" applyAlignment="1">
      <alignment horizontal="center" vertical="center"/>
    </xf>
    <xf numFmtId="0" fontId="33" fillId="21" borderId="0" xfId="0" applyFont="1" applyFill="1" applyAlignment="1">
      <alignment horizontal="left" vertical="center"/>
    </xf>
    <xf numFmtId="0" fontId="35" fillId="21" borderId="1" xfId="0" applyFont="1" applyFill="1" applyBorder="1" applyAlignment="1">
      <alignment horizontal="left" vertical="center"/>
    </xf>
    <xf numFmtId="0" fontId="23" fillId="21" borderId="1" xfId="0" applyFont="1" applyFill="1" applyBorder="1" applyAlignment="1">
      <alignment horizontal="left" vertical="center"/>
    </xf>
    <xf numFmtId="164" fontId="36" fillId="20" borderId="1" xfId="0" applyNumberFormat="1" applyFont="1" applyFill="1" applyBorder="1" applyAlignment="1">
      <alignment horizontal="center" vertical="center"/>
    </xf>
    <xf numFmtId="164" fontId="33" fillId="21" borderId="1" xfId="0" applyNumberFormat="1" applyFont="1" applyFill="1" applyBorder="1" applyAlignment="1">
      <alignment horizontal="center" vertical="center"/>
    </xf>
    <xf numFmtId="165" fontId="37" fillId="21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left" vertical="center"/>
    </xf>
    <xf numFmtId="0" fontId="19" fillId="21" borderId="1" xfId="0" applyFont="1" applyFill="1" applyBorder="1" applyAlignment="1">
      <alignment horizontal="left" vertical="center"/>
    </xf>
    <xf numFmtId="0" fontId="25" fillId="21" borderId="1" xfId="0" applyFont="1" applyFill="1" applyBorder="1" applyAlignment="1">
      <alignment horizontal="left" vertical="center"/>
    </xf>
    <xf numFmtId="0" fontId="33" fillId="23" borderId="0" xfId="0" applyFont="1" applyFill="1" applyAlignment="1">
      <alignment horizontal="left" vertical="center"/>
    </xf>
    <xf numFmtId="0" fontId="35" fillId="23" borderId="1" xfId="0" applyFont="1" applyFill="1" applyBorder="1" applyAlignment="1">
      <alignment horizontal="left" vertical="center"/>
    </xf>
    <xf numFmtId="0" fontId="23" fillId="23" borderId="1" xfId="0" applyFont="1" applyFill="1" applyBorder="1" applyAlignment="1">
      <alignment horizontal="left" vertical="center"/>
    </xf>
    <xf numFmtId="164" fontId="33" fillId="23" borderId="1" xfId="0" applyNumberFormat="1" applyFont="1" applyFill="1" applyBorder="1" applyAlignment="1">
      <alignment horizontal="center" vertical="center"/>
    </xf>
    <xf numFmtId="165" fontId="37" fillId="23" borderId="1" xfId="0" applyNumberFormat="1" applyFont="1" applyFill="1" applyBorder="1" applyAlignment="1">
      <alignment horizontal="center" vertical="center"/>
    </xf>
    <xf numFmtId="0" fontId="19" fillId="23" borderId="1" xfId="0" applyFont="1" applyFill="1" applyBorder="1" applyAlignment="1">
      <alignment horizontal="left" vertical="center"/>
    </xf>
    <xf numFmtId="0" fontId="38" fillId="23" borderId="1" xfId="0" applyFont="1" applyFill="1" applyBorder="1" applyAlignment="1">
      <alignment horizontal="left" vertical="center"/>
    </xf>
    <xf numFmtId="0" fontId="25" fillId="23" borderId="1" xfId="0" applyFont="1" applyFill="1" applyBorder="1" applyAlignment="1">
      <alignment horizontal="left" vertical="center"/>
    </xf>
    <xf numFmtId="0" fontId="33" fillId="24" borderId="0" xfId="0" applyFont="1" applyFill="1" applyAlignment="1">
      <alignment horizontal="left" vertical="center"/>
    </xf>
    <xf numFmtId="0" fontId="35" fillId="24" borderId="1" xfId="0" applyFont="1" applyFill="1" applyBorder="1" applyAlignment="1">
      <alignment horizontal="left" vertical="center"/>
    </xf>
    <xf numFmtId="0" fontId="39" fillId="24" borderId="1" xfId="0" applyFont="1" applyFill="1" applyBorder="1" applyAlignment="1">
      <alignment horizontal="center" vertical="center"/>
    </xf>
    <xf numFmtId="0" fontId="23" fillId="24" borderId="1" xfId="0" applyFont="1" applyFill="1" applyBorder="1" applyAlignment="1">
      <alignment horizontal="left" vertical="center"/>
    </xf>
    <xf numFmtId="164" fontId="33" fillId="24" borderId="1" xfId="0" applyNumberFormat="1" applyFont="1" applyFill="1" applyBorder="1" applyAlignment="1">
      <alignment horizontal="center" vertical="center"/>
    </xf>
    <xf numFmtId="165" fontId="37" fillId="24" borderId="1" xfId="0" applyNumberFormat="1" applyFont="1" applyFill="1" applyBorder="1" applyAlignment="1">
      <alignment horizontal="center" vertical="center"/>
    </xf>
    <xf numFmtId="0" fontId="40" fillId="24" borderId="1" xfId="0" applyFont="1" applyFill="1" applyBorder="1" applyAlignment="1">
      <alignment horizontal="center" vertical="center"/>
    </xf>
    <xf numFmtId="0" fontId="19" fillId="24" borderId="1" xfId="0" applyFont="1" applyFill="1" applyBorder="1" applyAlignment="1">
      <alignment horizontal="left" vertical="center"/>
    </xf>
    <xf numFmtId="0" fontId="41" fillId="24" borderId="1" xfId="0" applyFont="1" applyFill="1" applyBorder="1" applyAlignment="1">
      <alignment horizontal="center" vertical="center"/>
    </xf>
    <xf numFmtId="0" fontId="38" fillId="24" borderId="1" xfId="0" applyFont="1" applyFill="1" applyBorder="1" applyAlignment="1">
      <alignment horizontal="left" vertical="center"/>
    </xf>
    <xf numFmtId="0" fontId="42" fillId="24" borderId="1" xfId="0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0" fontId="33" fillId="25" borderId="0" xfId="0" applyFont="1" applyFill="1" applyAlignment="1">
      <alignment horizontal="left" vertical="center"/>
    </xf>
    <xf numFmtId="0" fontId="35" fillId="25" borderId="1" xfId="0" applyFont="1" applyFill="1" applyBorder="1" applyAlignment="1">
      <alignment horizontal="left" vertical="center"/>
    </xf>
    <xf numFmtId="0" fontId="39" fillId="25" borderId="1" xfId="0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left" vertical="center"/>
    </xf>
    <xf numFmtId="164" fontId="33" fillId="25" borderId="1" xfId="0" applyNumberFormat="1" applyFont="1" applyFill="1" applyBorder="1" applyAlignment="1">
      <alignment horizontal="center" vertical="center"/>
    </xf>
    <xf numFmtId="165" fontId="37" fillId="25" borderId="1" xfId="0" applyNumberFormat="1" applyFont="1" applyFill="1" applyBorder="1" applyAlignment="1">
      <alignment horizontal="center" vertical="center"/>
    </xf>
    <xf numFmtId="0" fontId="40" fillId="25" borderId="1" xfId="0" applyFont="1" applyFill="1" applyBorder="1" applyAlignment="1">
      <alignment horizontal="center" vertical="center"/>
    </xf>
    <xf numFmtId="0" fontId="19" fillId="25" borderId="1" xfId="0" applyFont="1" applyFill="1" applyBorder="1" applyAlignment="1">
      <alignment horizontal="left" vertical="center"/>
    </xf>
    <xf numFmtId="0" fontId="41" fillId="25" borderId="1" xfId="0" applyFont="1" applyFill="1" applyBorder="1" applyAlignment="1">
      <alignment horizontal="center" vertical="center"/>
    </xf>
    <xf numFmtId="0" fontId="38" fillId="25" borderId="1" xfId="0" applyFont="1" applyFill="1" applyBorder="1" applyAlignment="1">
      <alignment horizontal="left" vertical="center"/>
    </xf>
    <xf numFmtId="0" fontId="42" fillId="25" borderId="1" xfId="0" applyFont="1" applyFill="1" applyBorder="1" applyAlignment="1">
      <alignment horizontal="center" vertical="center"/>
    </xf>
    <xf numFmtId="0" fontId="25" fillId="25" borderId="1" xfId="0" applyFont="1" applyFill="1" applyBorder="1" applyAlignment="1">
      <alignment horizontal="left" vertical="center"/>
    </xf>
    <xf numFmtId="0" fontId="33" fillId="26" borderId="0" xfId="0" applyFont="1" applyFill="1" applyAlignment="1">
      <alignment horizontal="left" vertical="center"/>
    </xf>
    <xf numFmtId="0" fontId="35" fillId="26" borderId="1" xfId="0" applyFont="1" applyFill="1" applyBorder="1" applyAlignment="1">
      <alignment horizontal="left" vertical="center"/>
    </xf>
    <xf numFmtId="0" fontId="39" fillId="26" borderId="1" xfId="0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left" vertical="center"/>
    </xf>
    <xf numFmtId="164" fontId="33" fillId="26" borderId="1" xfId="0" applyNumberFormat="1" applyFont="1" applyFill="1" applyBorder="1" applyAlignment="1">
      <alignment horizontal="center" vertical="center"/>
    </xf>
    <xf numFmtId="165" fontId="37" fillId="26" borderId="1" xfId="0" applyNumberFormat="1" applyFont="1" applyFill="1" applyBorder="1" applyAlignment="1">
      <alignment horizontal="center" vertical="center"/>
    </xf>
    <xf numFmtId="0" fontId="40" fillId="26" borderId="1" xfId="0" applyFont="1" applyFill="1" applyBorder="1" applyAlignment="1">
      <alignment horizontal="center" vertical="center"/>
    </xf>
    <xf numFmtId="0" fontId="19" fillId="26" borderId="1" xfId="0" applyFont="1" applyFill="1" applyBorder="1" applyAlignment="1">
      <alignment horizontal="left" vertical="center"/>
    </xf>
    <xf numFmtId="0" fontId="41" fillId="26" borderId="1" xfId="0" applyFont="1" applyFill="1" applyBorder="1" applyAlignment="1">
      <alignment horizontal="center" vertical="center"/>
    </xf>
    <xf numFmtId="0" fontId="38" fillId="26" borderId="1" xfId="0" applyFont="1" applyFill="1" applyBorder="1" applyAlignment="1">
      <alignment horizontal="left" vertical="center"/>
    </xf>
    <xf numFmtId="0" fontId="42" fillId="26" borderId="1" xfId="0" applyFont="1" applyFill="1" applyBorder="1" applyAlignment="1">
      <alignment horizontal="center" vertical="center"/>
    </xf>
    <xf numFmtId="0" fontId="25" fillId="26" borderId="1" xfId="0" applyFont="1" applyFill="1" applyBorder="1" applyAlignment="1">
      <alignment horizontal="left" vertical="center"/>
    </xf>
    <xf numFmtId="0" fontId="33" fillId="27" borderId="0" xfId="0" applyFont="1" applyFill="1" applyAlignment="1">
      <alignment horizontal="left" vertical="center"/>
    </xf>
    <xf numFmtId="0" fontId="35" fillId="27" borderId="1" xfId="0" applyFont="1" applyFill="1" applyBorder="1" applyAlignment="1">
      <alignment horizontal="left" vertical="center"/>
    </xf>
    <xf numFmtId="0" fontId="43" fillId="27" borderId="1" xfId="0" applyFont="1" applyFill="1" applyBorder="1" applyAlignment="1">
      <alignment horizontal="center" vertical="center"/>
    </xf>
    <xf numFmtId="0" fontId="44" fillId="27" borderId="1" xfId="0" applyFont="1" applyFill="1" applyBorder="1" applyAlignment="1">
      <alignment horizontal="left" vertical="center"/>
    </xf>
    <xf numFmtId="164" fontId="33" fillId="27" borderId="1" xfId="0" applyNumberFormat="1" applyFont="1" applyFill="1" applyBorder="1" applyAlignment="1">
      <alignment horizontal="center" vertical="center"/>
    </xf>
    <xf numFmtId="165" fontId="37" fillId="27" borderId="1" xfId="0" applyNumberFormat="1" applyFont="1" applyFill="1" applyBorder="1" applyAlignment="1">
      <alignment horizontal="center" vertical="center"/>
    </xf>
    <xf numFmtId="0" fontId="33" fillId="28" borderId="0" xfId="0" applyFont="1" applyFill="1" applyAlignment="1">
      <alignment horizontal="left" vertical="center"/>
    </xf>
    <xf numFmtId="0" fontId="45" fillId="28" borderId="1" xfId="0" applyFont="1" applyFill="1" applyBorder="1" applyAlignment="1">
      <alignment horizontal="left" vertical="center"/>
    </xf>
    <xf numFmtId="0" fontId="46" fillId="28" borderId="1" xfId="0" applyFont="1" applyFill="1" applyBorder="1" applyAlignment="1">
      <alignment horizontal="center" vertical="center"/>
    </xf>
    <xf numFmtId="0" fontId="46" fillId="28" borderId="1" xfId="0" applyFont="1" applyFill="1" applyBorder="1" applyAlignment="1">
      <alignment horizontal="left" vertical="center"/>
    </xf>
    <xf numFmtId="164" fontId="46" fillId="28" borderId="1" xfId="0" applyNumberFormat="1" applyFont="1" applyFill="1" applyBorder="1" applyAlignment="1">
      <alignment horizontal="center" vertical="center"/>
    </xf>
    <xf numFmtId="165" fontId="46" fillId="28" borderId="1" xfId="0" applyNumberFormat="1" applyFont="1" applyFill="1" applyBorder="1" applyAlignment="1">
      <alignment horizontal="center" vertical="center"/>
    </xf>
    <xf numFmtId="0" fontId="47" fillId="29" borderId="1" xfId="0" applyFont="1" applyFill="1" applyBorder="1" applyAlignment="1">
      <alignment horizontal="left" vertical="center"/>
    </xf>
    <xf numFmtId="0" fontId="48" fillId="28" borderId="0" xfId="0" applyFont="1" applyFill="1" applyAlignment="1">
      <alignment horizontal="left" vertical="center"/>
    </xf>
    <xf numFmtId="166" fontId="0" fillId="0" borderId="0" xfId="0" applyNumberFormat="1"/>
    <xf numFmtId="0" fontId="50" fillId="0" borderId="0" xfId="0" applyFont="1"/>
    <xf numFmtId="0" fontId="0" fillId="31" borderId="0" xfId="0" applyFill="1"/>
    <xf numFmtId="0" fontId="51" fillId="32" borderId="0" xfId="0" applyFont="1" applyFill="1"/>
    <xf numFmtId="0" fontId="52" fillId="0" borderId="0" xfId="0" applyFont="1"/>
    <xf numFmtId="0" fontId="51" fillId="33" borderId="0" xfId="0" applyFont="1" applyFill="1"/>
    <xf numFmtId="0" fontId="53" fillId="0" borderId="0" xfId="0" applyFont="1"/>
    <xf numFmtId="0" fontId="54" fillId="0" borderId="0" xfId="0" applyFont="1"/>
    <xf numFmtId="0" fontId="51" fillId="34" borderId="0" xfId="0" applyFont="1" applyFill="1"/>
    <xf numFmtId="0" fontId="55" fillId="0" borderId="0" xfId="0" applyFont="1"/>
    <xf numFmtId="0" fontId="51" fillId="35" borderId="0" xfId="0" applyFont="1" applyFill="1"/>
    <xf numFmtId="0" fontId="56" fillId="0" borderId="0" xfId="0" applyFont="1"/>
    <xf numFmtId="0" fontId="57" fillId="0" borderId="0" xfId="0" applyFont="1"/>
    <xf numFmtId="0" fontId="58" fillId="19" borderId="0" xfId="0" applyFont="1" applyFill="1"/>
    <xf numFmtId="167" fontId="59" fillId="36" borderId="0" xfId="0" applyNumberFormat="1" applyFont="1" applyFill="1"/>
    <xf numFmtId="167" fontId="50" fillId="0" borderId="0" xfId="0" applyNumberFormat="1" applyFont="1"/>
    <xf numFmtId="166" fontId="50" fillId="0" borderId="0" xfId="0" applyNumberFormat="1" applyFont="1"/>
    <xf numFmtId="9" fontId="59" fillId="25" borderId="0" xfId="0" applyNumberFormat="1" applyFont="1" applyFill="1"/>
    <xf numFmtId="9" fontId="59" fillId="0" borderId="0" xfId="0" applyNumberFormat="1" applyFont="1"/>
    <xf numFmtId="166" fontId="51" fillId="37" borderId="0" xfId="0" applyNumberFormat="1" applyFont="1" applyFill="1" applyAlignment="1">
      <alignment wrapText="1"/>
    </xf>
    <xf numFmtId="0" fontId="34" fillId="38" borderId="1" xfId="0" applyFont="1" applyFill="1" applyBorder="1" applyAlignment="1">
      <alignment horizontal="center" vertical="center"/>
    </xf>
    <xf numFmtId="0" fontId="60" fillId="10" borderId="1" xfId="0" applyFont="1" applyFill="1" applyBorder="1" applyAlignment="1">
      <alignment horizontal="left" vertical="center"/>
    </xf>
    <xf numFmtId="168" fontId="60" fillId="10" borderId="1" xfId="0" applyNumberFormat="1" applyFont="1" applyFill="1" applyBorder="1" applyAlignment="1">
      <alignment horizontal="center" vertical="center"/>
    </xf>
    <xf numFmtId="1" fontId="60" fillId="10" borderId="1" xfId="0" applyNumberFormat="1" applyFont="1" applyFill="1" applyBorder="1" applyAlignment="1">
      <alignment horizontal="center" vertical="center"/>
    </xf>
    <xf numFmtId="0" fontId="60" fillId="39" borderId="1" xfId="0" applyFont="1" applyFill="1" applyBorder="1" applyAlignment="1">
      <alignment horizontal="left" vertical="center"/>
    </xf>
    <xf numFmtId="0" fontId="34" fillId="40" borderId="1" xfId="0" applyFont="1" applyFill="1" applyBorder="1" applyAlignment="1">
      <alignment horizontal="center" vertical="center"/>
    </xf>
    <xf numFmtId="0" fontId="5" fillId="38" borderId="1" xfId="0" applyFont="1" applyFill="1" applyBorder="1" applyAlignment="1">
      <alignment horizontal="center"/>
    </xf>
    <xf numFmtId="0" fontId="5" fillId="41" borderId="1" xfId="0" applyFont="1" applyFill="1" applyBorder="1" applyAlignment="1">
      <alignment horizontal="center"/>
    </xf>
    <xf numFmtId="0" fontId="5" fillId="42" borderId="1" xfId="0" applyFont="1" applyFill="1" applyBorder="1" applyAlignment="1">
      <alignment horizontal="center"/>
    </xf>
    <xf numFmtId="0" fontId="5" fillId="43" borderId="1" xfId="0" applyFont="1" applyFill="1" applyBorder="1" applyAlignment="1">
      <alignment horizontal="center"/>
    </xf>
    <xf numFmtId="0" fontId="62" fillId="23" borderId="1" xfId="0" applyFont="1" applyFill="1" applyBorder="1" applyAlignment="1">
      <alignment horizontal="center" vertical="center"/>
    </xf>
    <xf numFmtId="0" fontId="62" fillId="27" borderId="1" xfId="0" applyFont="1" applyFill="1" applyBorder="1" applyAlignment="1">
      <alignment horizontal="center" vertical="center"/>
    </xf>
    <xf numFmtId="0" fontId="62" fillId="25" borderId="1" xfId="0" applyFont="1" applyFill="1" applyBorder="1" applyAlignment="1">
      <alignment horizontal="center" vertical="center"/>
    </xf>
    <xf numFmtId="0" fontId="62" fillId="21" borderId="1" xfId="0" applyFont="1" applyFill="1" applyBorder="1" applyAlignment="1">
      <alignment horizontal="center" vertical="center"/>
    </xf>
    <xf numFmtId="0" fontId="6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left" vertical="center"/>
    </xf>
    <xf numFmtId="0" fontId="63" fillId="23" borderId="1" xfId="0" applyFont="1" applyFill="1" applyBorder="1" applyAlignment="1">
      <alignment horizontal="center" vertical="center"/>
    </xf>
    <xf numFmtId="0" fontId="33" fillId="23" borderId="1" xfId="0" applyFont="1" applyFill="1" applyBorder="1" applyAlignment="1">
      <alignment horizontal="left" vertical="center"/>
    </xf>
    <xf numFmtId="0" fontId="63" fillId="24" borderId="1" xfId="0" applyFont="1" applyFill="1" applyBorder="1" applyAlignment="1">
      <alignment horizontal="center" vertical="center"/>
    </xf>
    <xf numFmtId="0" fontId="33" fillId="24" borderId="1" xfId="0" applyFont="1" applyFill="1" applyBorder="1" applyAlignment="1">
      <alignment horizontal="left" vertical="center"/>
    </xf>
    <xf numFmtId="0" fontId="63" fillId="25" borderId="1" xfId="0" applyFont="1" applyFill="1" applyBorder="1" applyAlignment="1">
      <alignment horizontal="center" vertical="center"/>
    </xf>
    <xf numFmtId="0" fontId="33" fillId="25" borderId="1" xfId="0" applyFont="1" applyFill="1" applyBorder="1" applyAlignment="1">
      <alignment horizontal="left" vertical="center"/>
    </xf>
    <xf numFmtId="0" fontId="63" fillId="26" borderId="1" xfId="0" applyFont="1" applyFill="1" applyBorder="1" applyAlignment="1">
      <alignment horizontal="center" vertical="center"/>
    </xf>
    <xf numFmtId="0" fontId="33" fillId="26" borderId="1" xfId="0" applyFont="1" applyFill="1" applyBorder="1" applyAlignment="1">
      <alignment horizontal="left" vertical="center"/>
    </xf>
    <xf numFmtId="0" fontId="63" fillId="27" borderId="1" xfId="0" applyFont="1" applyFill="1" applyBorder="1" applyAlignment="1">
      <alignment horizontal="center" vertical="center"/>
    </xf>
    <xf numFmtId="0" fontId="33" fillId="27" borderId="1" xfId="0" applyFont="1" applyFill="1" applyBorder="1" applyAlignment="1">
      <alignment horizontal="left" vertical="center"/>
    </xf>
    <xf numFmtId="0" fontId="66" fillId="0" borderId="0" xfId="0" applyFont="1"/>
    <xf numFmtId="0" fontId="50" fillId="36" borderId="0" xfId="0" applyFont="1" applyFill="1"/>
    <xf numFmtId="0" fontId="0" fillId="0" borderId="0" xfId="0" applyAlignment="1">
      <alignment wrapText="1"/>
    </xf>
    <xf numFmtId="0" fontId="68" fillId="0" borderId="0" xfId="0" applyFont="1"/>
    <xf numFmtId="0" fontId="69" fillId="39" borderId="4" xfId="0" applyFont="1" applyFill="1" applyBorder="1" applyAlignment="1">
      <alignment horizontal="left" vertical="center"/>
    </xf>
    <xf numFmtId="0" fontId="69" fillId="39" borderId="5" xfId="0" applyFont="1" applyFill="1" applyBorder="1" applyAlignment="1">
      <alignment horizontal="left" vertical="center"/>
    </xf>
    <xf numFmtId="0" fontId="70" fillId="39" borderId="4" xfId="0" applyFont="1" applyFill="1" applyBorder="1" applyAlignment="1">
      <alignment horizontal="right" vertical="center"/>
    </xf>
    <xf numFmtId="0" fontId="71" fillId="39" borderId="6" xfId="0" applyFont="1" applyFill="1" applyBorder="1" applyAlignment="1">
      <alignment horizontal="right" vertical="center"/>
    </xf>
    <xf numFmtId="0" fontId="73" fillId="0" borderId="0" xfId="0" applyFont="1"/>
    <xf numFmtId="0" fontId="72" fillId="39" borderId="6" xfId="0" applyFont="1" applyFill="1" applyBorder="1" applyAlignment="1">
      <alignment horizontal="left" vertical="center"/>
    </xf>
    <xf numFmtId="0" fontId="71" fillId="39" borderId="7" xfId="0" applyFont="1" applyFill="1" applyBorder="1" applyAlignment="1">
      <alignment horizontal="left" vertical="center"/>
    </xf>
    <xf numFmtId="0" fontId="74" fillId="0" borderId="0" xfId="0" applyFont="1"/>
    <xf numFmtId="0" fontId="75" fillId="30" borderId="0" xfId="0" applyFont="1" applyFill="1"/>
    <xf numFmtId="0" fontId="76" fillId="0" borderId="0" xfId="0" applyFont="1"/>
    <xf numFmtId="0" fontId="73" fillId="44" borderId="0" xfId="0" applyFont="1" applyFill="1"/>
    <xf numFmtId="0" fontId="77" fillId="45" borderId="0" xfId="0" applyFont="1" applyFill="1" applyAlignment="1">
      <alignment horizontal="left"/>
    </xf>
    <xf numFmtId="0" fontId="78" fillId="0" borderId="0" xfId="0" applyFont="1"/>
    <xf numFmtId="0" fontId="79" fillId="46" borderId="0" xfId="0" applyFont="1" applyFill="1" applyAlignment="1">
      <alignment horizontal="left"/>
    </xf>
    <xf numFmtId="0" fontId="80" fillId="47" borderId="0" xfId="0" applyFont="1" applyFill="1" applyAlignment="1">
      <alignment horizontal="left"/>
    </xf>
    <xf numFmtId="0" fontId="80" fillId="47" borderId="0" xfId="0" applyFont="1" applyFill="1" applyAlignment="1">
      <alignment horizontal="center"/>
    </xf>
    <xf numFmtId="0" fontId="81" fillId="48" borderId="0" xfId="0" applyFont="1" applyFill="1"/>
    <xf numFmtId="0" fontId="0" fillId="49" borderId="0" xfId="0" applyFill="1"/>
    <xf numFmtId="0" fontId="82" fillId="49" borderId="0" xfId="0" applyFont="1" applyFill="1"/>
    <xf numFmtId="0" fontId="0" fillId="49" borderId="0" xfId="0" applyFill="1" applyAlignment="1">
      <alignment horizontal="center"/>
    </xf>
    <xf numFmtId="0" fontId="83" fillId="49" borderId="0" xfId="0" applyFont="1" applyFill="1"/>
    <xf numFmtId="0" fontId="81" fillId="50" borderId="0" xfId="0" applyFont="1" applyFill="1"/>
    <xf numFmtId="0" fontId="0" fillId="51" borderId="0" xfId="0" applyFill="1"/>
    <xf numFmtId="0" fontId="82" fillId="51" borderId="0" xfId="0" applyFont="1" applyFill="1"/>
    <xf numFmtId="0" fontId="0" fillId="51" borderId="0" xfId="0" applyFill="1" applyAlignment="1">
      <alignment horizontal="center"/>
    </xf>
    <xf numFmtId="0" fontId="83" fillId="51" borderId="0" xfId="0" applyFont="1" applyFill="1"/>
    <xf numFmtId="0" fontId="81" fillId="52" borderId="0" xfId="0" applyFont="1" applyFill="1"/>
    <xf numFmtId="0" fontId="0" fillId="53" borderId="0" xfId="0" applyFill="1"/>
    <xf numFmtId="0" fontId="82" fillId="53" borderId="0" xfId="0" applyFont="1" applyFill="1"/>
    <xf numFmtId="0" fontId="0" fillId="53" borderId="0" xfId="0" applyFill="1" applyAlignment="1">
      <alignment horizontal="center"/>
    </xf>
    <xf numFmtId="0" fontId="83" fillId="53" borderId="0" xfId="0" applyFont="1" applyFill="1"/>
    <xf numFmtId="0" fontId="81" fillId="54" borderId="0" xfId="0" applyFont="1" applyFill="1"/>
    <xf numFmtId="0" fontId="0" fillId="55" borderId="0" xfId="0" applyFill="1"/>
    <xf numFmtId="0" fontId="0" fillId="55" borderId="0" xfId="0" applyFill="1" applyAlignment="1">
      <alignment horizontal="center"/>
    </xf>
    <xf numFmtId="0" fontId="82" fillId="55" borderId="0" xfId="0" applyFont="1" applyFill="1"/>
    <xf numFmtId="0" fontId="83" fillId="55" borderId="0" xfId="0" applyFont="1" applyFill="1"/>
    <xf numFmtId="0" fontId="84" fillId="55" borderId="0" xfId="0" applyFont="1" applyFill="1"/>
    <xf numFmtId="0" fontId="0" fillId="0" borderId="0" xfId="0" applyAlignment="1">
      <alignment horizontal="left"/>
    </xf>
    <xf numFmtId="43" fontId="1" fillId="0" borderId="0" xfId="1"/>
    <xf numFmtId="0" fontId="58" fillId="45" borderId="0" xfId="0" applyFont="1" applyFill="1"/>
    <xf numFmtId="0" fontId="0" fillId="45" borderId="0" xfId="0" applyFill="1"/>
    <xf numFmtId="0" fontId="84" fillId="0" borderId="0" xfId="0" applyFont="1"/>
    <xf numFmtId="0" fontId="85" fillId="56" borderId="0" xfId="0" applyFont="1" applyFill="1"/>
    <xf numFmtId="0" fontId="85" fillId="56" borderId="0" xfId="0" applyFont="1" applyFill="1" applyAlignment="1">
      <alignment horizontal="center"/>
    </xf>
    <xf numFmtId="0" fontId="86" fillId="57" borderId="0" xfId="0" applyFont="1" applyFill="1"/>
    <xf numFmtId="0" fontId="0" fillId="57" borderId="0" xfId="0" applyFill="1"/>
    <xf numFmtId="0" fontId="85" fillId="57" borderId="0" xfId="0" applyFont="1" applyFill="1" applyAlignment="1">
      <alignment horizontal="center"/>
    </xf>
    <xf numFmtId="0" fontId="51" fillId="45" borderId="0" xfId="0" applyFont="1" applyFill="1"/>
    <xf numFmtId="0" fontId="0" fillId="0" borderId="0" xfId="0" applyAlignment="1">
      <alignment horizontal="center"/>
    </xf>
    <xf numFmtId="0" fontId="87" fillId="0" borderId="0" xfId="0" applyFont="1" applyAlignment="1">
      <alignment horizontal="center"/>
    </xf>
    <xf numFmtId="0" fontId="88" fillId="0" borderId="0" xfId="0" applyFont="1" applyAlignment="1">
      <alignment horizontal="center"/>
    </xf>
    <xf numFmtId="0" fontId="89" fillId="0" borderId="0" xfId="0" applyFont="1" applyAlignment="1">
      <alignment horizontal="center"/>
    </xf>
    <xf numFmtId="0" fontId="90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91" fillId="0" borderId="0" xfId="0" applyFont="1"/>
    <xf numFmtId="0" fontId="92" fillId="0" borderId="0" xfId="0" applyFont="1" applyAlignment="1">
      <alignment horizontal="center"/>
    </xf>
    <xf numFmtId="0" fontId="93" fillId="0" borderId="0" xfId="0" applyFont="1"/>
    <xf numFmtId="0" fontId="94" fillId="58" borderId="4" xfId="0" applyFont="1" applyFill="1" applyBorder="1" applyAlignment="1">
      <alignment horizontal="right" vertical="center"/>
    </xf>
    <xf numFmtId="0" fontId="70" fillId="58" borderId="4" xfId="2" applyFill="1" applyBorder="1" applyAlignment="1">
      <alignment horizontal="right" vertical="center"/>
    </xf>
    <xf numFmtId="0" fontId="95" fillId="58" borderId="8" xfId="0" applyFont="1" applyFill="1" applyBorder="1" applyAlignment="1">
      <alignment horizontal="right" vertical="center"/>
    </xf>
    <xf numFmtId="0" fontId="94" fillId="58" borderId="4" xfId="0" applyFont="1" applyFill="1" applyBorder="1" applyAlignment="1">
      <alignment horizontal="left" vertical="center"/>
    </xf>
    <xf numFmtId="0" fontId="95" fillId="58" borderId="8" xfId="0" applyFont="1" applyFill="1" applyBorder="1" applyAlignment="1">
      <alignment horizontal="left" vertical="center"/>
    </xf>
    <xf numFmtId="0" fontId="94" fillId="58" borderId="5" xfId="0" applyFont="1" applyFill="1" applyBorder="1" applyAlignment="1">
      <alignment horizontal="left" vertical="center"/>
    </xf>
    <xf numFmtId="0" fontId="96" fillId="58" borderId="9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left" vertical="center"/>
    </xf>
    <xf numFmtId="0" fontId="6" fillId="15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left" vertical="center"/>
    </xf>
    <xf numFmtId="0" fontId="27" fillId="17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left" vertical="center"/>
    </xf>
    <xf numFmtId="0" fontId="31" fillId="19" borderId="0" xfId="0" applyFont="1" applyFill="1" applyAlignment="1">
      <alignment horizontal="center" vertical="center"/>
    </xf>
    <xf numFmtId="0" fontId="32" fillId="20" borderId="0" xfId="0" applyFont="1" applyFill="1" applyAlignment="1">
      <alignment horizontal="center" vertical="center" wrapText="1"/>
    </xf>
    <xf numFmtId="0" fontId="49" fillId="30" borderId="0" xfId="0" applyFont="1" applyFill="1"/>
    <xf numFmtId="166" fontId="0" fillId="0" borderId="0" xfId="0" applyNumberFormat="1"/>
    <xf numFmtId="0" fontId="6" fillId="19" borderId="0" xfId="0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0" fillId="18" borderId="0" xfId="0" applyFont="1" applyFill="1" applyAlignment="1">
      <alignment horizontal="center" vertical="center"/>
    </xf>
    <xf numFmtId="0" fontId="61" fillId="28" borderId="0" xfId="0" applyFont="1" applyFill="1" applyAlignment="1">
      <alignment horizontal="center" vertical="center"/>
    </xf>
    <xf numFmtId="0" fontId="32" fillId="20" borderId="0" xfId="0" applyFont="1" applyFill="1" applyAlignment="1">
      <alignment horizontal="center" vertical="center"/>
    </xf>
    <xf numFmtId="0" fontId="6" fillId="29" borderId="0" xfId="0" applyFont="1" applyFill="1" applyAlignment="1">
      <alignment horizontal="center" vertical="center"/>
    </xf>
    <xf numFmtId="0" fontId="30" fillId="0" borderId="0" xfId="0" applyFont="1"/>
    <xf numFmtId="0" fontId="59" fillId="0" borderId="0" xfId="0" applyFont="1"/>
    <xf numFmtId="0" fontId="0" fillId="0" borderId="0" xfId="0" applyAlignment="1">
      <alignment wrapText="1"/>
    </xf>
    <xf numFmtId="0" fontId="64" fillId="37" borderId="0" xfId="0" applyFont="1" applyFill="1"/>
    <xf numFmtId="0" fontId="65" fillId="37" borderId="0" xfId="0" applyFont="1" applyFill="1"/>
    <xf numFmtId="0" fontId="67" fillId="0" borderId="0" xfId="0" applyFont="1"/>
    <xf numFmtId="0" fontId="58" fillId="30" borderId="0" xfId="0" applyFont="1" applyFill="1"/>
    <xf numFmtId="0" fontId="65" fillId="35" borderId="0" xfId="0" applyFont="1" applyFill="1"/>
    <xf numFmtId="0" fontId="65" fillId="34" borderId="0" xfId="0" applyFont="1" applyFill="1"/>
    <xf numFmtId="0" fontId="65" fillId="33" borderId="0" xfId="0" applyFont="1" applyFill="1"/>
    <xf numFmtId="0" fontId="65" fillId="32" borderId="0" xfId="0" applyFont="1" applyFill="1"/>
    <xf numFmtId="0" fontId="65" fillId="30" borderId="0" xfId="0" applyFont="1" applyFill="1"/>
    <xf numFmtId="0" fontId="49" fillId="19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7"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color rgb="FF9C6500"/>
      </font>
      <fill>
        <patternFill patternType="solid">
          <fgColor indexed="64"/>
          <bgColor rgb="FFFFEB9C"/>
        </patternFill>
      </fill>
    </dxf>
    <dxf>
      <font>
        <b/>
        <color rgb="FF9C6500"/>
      </font>
      <fill>
        <patternFill patternType="solid">
          <fgColor indexed="64"/>
          <bgColor rgb="FFFFEB9C"/>
        </patternFill>
      </fill>
    </dxf>
    <dxf>
      <font>
        <b/>
        <color rgb="FF9C0006"/>
      </font>
      <fill>
        <patternFill patternType="solid">
          <fgColor indexed="64"/>
          <bgColor rgb="FFFFC7CE"/>
        </patternFill>
      </fill>
    </dxf>
    <dxf>
      <font>
        <b/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E8F5EE"/>
      <rgbColor rgb="FF0000FF"/>
      <rgbColor rgb="FFF5ECC5"/>
      <rgbColor rgb="FFEDE0FF"/>
      <rgbColor rgb="FFDEEAF1"/>
      <rgbColor rgb="FFC90000"/>
      <rgbColor rgb="FF086B0A"/>
      <rgbColor rgb="FF325732"/>
      <rgbColor rgb="FF7A5C00"/>
      <rgbColor rgb="FF535454"/>
      <rgbColor rgb="FF3475A5"/>
      <rgbColor rgb="FFBFBFBF"/>
      <rgbColor rgb="FF868686"/>
      <rgbColor rgb="FFD9E2F3"/>
      <rgbColor rgb="FF7B2C9F"/>
      <rgbColor rgb="FFFFFACD"/>
      <rgbColor rgb="FFE6F3FF"/>
      <rgbColor rgb="FF5F3081"/>
      <rgbColor rgb="FFB8860B"/>
      <rgbColor rgb="FF1471BF"/>
      <rgbColor rgb="FFD9E1F2"/>
      <rgbColor rgb="FFFFFDE7"/>
      <rgbColor rgb="FFFBE8E8"/>
      <rgbColor rgb="FFFBF6E0"/>
      <rgbColor rgb="FFE2EFDA"/>
      <rgbColor rgb="FFEFEFEF"/>
      <rgbColor rgb="FFF1F1F2"/>
      <rgbColor rgb="FF20507E"/>
      <rgbColor rgb="FFF5F5F5"/>
      <rgbColor rgb="FFE8F0FB"/>
      <rgbColor rgb="FFE8F4FF"/>
      <rgbColor rgb="FFC6EFCE"/>
      <rgbColor rgb="FFFFF2CC"/>
      <rgbColor rgb="FF99E4D6"/>
      <rgbColor rgb="FFDDDDDD"/>
      <rgbColor rgb="FFDCDDDF"/>
      <rgbColor rgb="FFFCE4D6"/>
      <rgbColor rgb="FF4472C4"/>
      <rgbColor rgb="FFDCE6F1"/>
      <rgbColor rgb="FF70AD47"/>
      <rgbColor rgb="FFFFD700"/>
      <rgbColor rgb="FFFFC000"/>
      <rgbColor rgb="FFC55A11"/>
      <rgbColor rgb="FF737474"/>
      <rgbColor rgb="FFAAAAAA"/>
      <rgbColor rgb="FF1F3864"/>
      <rgbColor rgb="FF00B050"/>
      <rgbColor rgb="FF375623"/>
      <rgbColor rgb="FF253754"/>
      <rgbColor rgb="FF8B1A1A"/>
      <rgbColor rgb="FF7030A0"/>
      <rgbColor rgb="FF203864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6CAEADD-B77F-44E1-8E76-07256CB172C0}">
  <we:reference id="wa200009404" version="1.0.0.8" store="en-US" storeType="OMEX"/>
  <we:alternateReferences>
    <we:reference id="WA200009404" version="1.0.0.8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table/offensive/sort/avgFreeThrowsMade/dir/desc" TargetMode="External"/><Relationship Id="rId13" Type="http://schemas.openxmlformats.org/officeDocument/2006/relationships/hyperlink" Target="https://www.espn.com/mens-college-basketball/stats/team/_/table/general/sort/avgRebounds/dir/desc" TargetMode="External"/><Relationship Id="rId18" Type="http://schemas.openxmlformats.org/officeDocument/2006/relationships/hyperlink" Target="https://www.espn.com/mens-college-basketball/stats/team/_/table/general/sort/avgFouls/dir/asc" TargetMode="External"/><Relationship Id="rId3" Type="http://schemas.openxmlformats.org/officeDocument/2006/relationships/hyperlink" Target="https://www.espn.com/mens-college-basketball/stats/team/_/table/offensive/sort/avgFieldGoalsAttempted/dir/desc" TargetMode="External"/><Relationship Id="rId7" Type="http://schemas.openxmlformats.org/officeDocument/2006/relationships/hyperlink" Target="https://www.espn.com/mens-college-basketball/stats/team/_/table/offensive/sort/threePointFieldGoalPct/dir/desc" TargetMode="External"/><Relationship Id="rId12" Type="http://schemas.openxmlformats.org/officeDocument/2006/relationships/hyperlink" Target="https://www.espn.com/mens-college-basketball/stats/team/_/table/defensive/sort/avgDefensiveRebounds/dir/desc" TargetMode="External"/><Relationship Id="rId17" Type="http://schemas.openxmlformats.org/officeDocument/2006/relationships/hyperlink" Target="https://www.espn.com/mens-college-basketball/stats/team/_/table/offensive/sort/avgTurnovers/dir/asc" TargetMode="External"/><Relationship Id="rId2" Type="http://schemas.openxmlformats.org/officeDocument/2006/relationships/hyperlink" Target="https://www.espn.com/mens-college-basketball/stats/team/_/table/offensive/sort/avgFieldGoalsMade/dir/desc" TargetMode="External"/><Relationship Id="rId16" Type="http://schemas.openxmlformats.org/officeDocument/2006/relationships/hyperlink" Target="https://www.espn.com/mens-college-basketball/stats/team/_/table/defensive/sort/avgBlocks/dir/desc" TargetMode="External"/><Relationship Id="rId1" Type="http://schemas.openxmlformats.org/officeDocument/2006/relationships/hyperlink" Target="https://www.espn.com/mens-college-basketball/stats/team/_/table/offensive/sort/avgPoints/dir/asc" TargetMode="External"/><Relationship Id="rId6" Type="http://schemas.openxmlformats.org/officeDocument/2006/relationships/hyperlink" Target="https://www.espn.com/mens-college-basketball/stats/team/_/table/offensive/sort/avgThreePointFieldGoalsAttempted/dir/desc" TargetMode="External"/><Relationship Id="rId11" Type="http://schemas.openxmlformats.org/officeDocument/2006/relationships/hyperlink" Target="https://www.espn.com/mens-college-basketball/stats/team/_/table/offensive/sort/avgOffensiveRebounds/dir/desc" TargetMode="External"/><Relationship Id="rId5" Type="http://schemas.openxmlformats.org/officeDocument/2006/relationships/hyperlink" Target="https://www.espn.com/mens-college-basketball/stats/team/_/table/offensive/sort/avgThreePointFieldGoalsMade/dir/desc" TargetMode="External"/><Relationship Id="rId15" Type="http://schemas.openxmlformats.org/officeDocument/2006/relationships/hyperlink" Target="https://www.espn.com/mens-college-basketball/stats/team/_/table/defensive/sort/avgSteals/dir/desc" TargetMode="External"/><Relationship Id="rId10" Type="http://schemas.openxmlformats.org/officeDocument/2006/relationships/hyperlink" Target="https://www.espn.com/mens-college-basketball/stats/team/_/table/offensive/sort/freeThrowPct/dir/desc" TargetMode="External"/><Relationship Id="rId4" Type="http://schemas.openxmlformats.org/officeDocument/2006/relationships/hyperlink" Target="https://www.espn.com/mens-college-basketball/stats/team/_/table/offensive/sort/fieldGoalPct/dir/desc" TargetMode="External"/><Relationship Id="rId9" Type="http://schemas.openxmlformats.org/officeDocument/2006/relationships/hyperlink" Target="https://www.espn.com/mens-college-basketball/stats/team/_/table/offensive/sort/avgFreeThrowsAttempted/dir/desc" TargetMode="External"/><Relationship Id="rId14" Type="http://schemas.openxmlformats.org/officeDocument/2006/relationships/hyperlink" Target="https://www.espn.com/mens-college-basketball/stats/team/_/table/offensive/sort/avgAssists/dir/desc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spn.com/mens-college-basketball/stats/team/_/view/opponent/table/offensive/sort/avgFreeThrowsMade/dir/asc" TargetMode="External"/><Relationship Id="rId13" Type="http://schemas.openxmlformats.org/officeDocument/2006/relationships/hyperlink" Target="https://www.espn.com/mens-college-basketball/stats/team/_/view/opponent/table/general/sort/avgRebounds/dir/asc" TargetMode="External"/><Relationship Id="rId18" Type="http://schemas.openxmlformats.org/officeDocument/2006/relationships/hyperlink" Target="https://www.espn.com/mens-college-basketball/stats/team/_/view/opponent/table/general/sort/avgFouls/dir/desc" TargetMode="External"/><Relationship Id="rId3" Type="http://schemas.openxmlformats.org/officeDocument/2006/relationships/hyperlink" Target="https://www.espn.com/mens-college-basketball/stats/team/_/view/opponent/table/offensive/sort/avgFieldGoalsAttempted/dir/asc" TargetMode="External"/><Relationship Id="rId7" Type="http://schemas.openxmlformats.org/officeDocument/2006/relationships/hyperlink" Target="https://www.espn.com/mens-college-basketball/stats/team/_/view/opponent/table/offensive/sort/threePointFieldGoalPct/dir/asc" TargetMode="External"/><Relationship Id="rId12" Type="http://schemas.openxmlformats.org/officeDocument/2006/relationships/hyperlink" Target="https://www.espn.com/mens-college-basketball/stats/team/_/view/opponent/table/defensive/sort/avgDefensiveRebounds/dir/asc" TargetMode="External"/><Relationship Id="rId17" Type="http://schemas.openxmlformats.org/officeDocument/2006/relationships/hyperlink" Target="https://www.espn.com/mens-college-basketball/stats/team/_/view/opponent/table/offensive/sort/avgTurnovers/dir/desc" TargetMode="External"/><Relationship Id="rId2" Type="http://schemas.openxmlformats.org/officeDocument/2006/relationships/hyperlink" Target="https://www.espn.com/mens-college-basketball/stats/team/_/view/opponent/table/offensive/sort/avgFieldGoalsMade/dir/asc" TargetMode="External"/><Relationship Id="rId16" Type="http://schemas.openxmlformats.org/officeDocument/2006/relationships/hyperlink" Target="https://www.espn.com/mens-college-basketball/stats/team/_/view/opponent/table/defensive/sort/avgBlocks/dir/asc" TargetMode="External"/><Relationship Id="rId1" Type="http://schemas.openxmlformats.org/officeDocument/2006/relationships/hyperlink" Target="https://www.espn.com/mens-college-basketball/stats/team/_/view/opponent/table/offensive/sort/avgPoints/dir/desc" TargetMode="External"/><Relationship Id="rId6" Type="http://schemas.openxmlformats.org/officeDocument/2006/relationships/hyperlink" Target="https://www.espn.com/mens-college-basketball/stats/team/_/view/opponent/table/offensive/sort/avgThreePointFieldGoalsAttempted/dir/asc" TargetMode="External"/><Relationship Id="rId11" Type="http://schemas.openxmlformats.org/officeDocument/2006/relationships/hyperlink" Target="https://www.espn.com/mens-college-basketball/stats/team/_/view/opponent/table/offensive/sort/avgOffensiveRebounds/dir/asc" TargetMode="External"/><Relationship Id="rId5" Type="http://schemas.openxmlformats.org/officeDocument/2006/relationships/hyperlink" Target="https://www.espn.com/mens-college-basketball/stats/team/_/view/opponent/table/offensive/sort/avgThreePointFieldGoalsMade/dir/asc" TargetMode="External"/><Relationship Id="rId15" Type="http://schemas.openxmlformats.org/officeDocument/2006/relationships/hyperlink" Target="https://www.espn.com/mens-college-basketball/stats/team/_/view/opponent/table/defensive/sort/avgSteals/dir/asc" TargetMode="External"/><Relationship Id="rId10" Type="http://schemas.openxmlformats.org/officeDocument/2006/relationships/hyperlink" Target="https://www.espn.com/mens-college-basketball/stats/team/_/view/opponent/table/offensive/sort/freeThrowPct/dir/asc" TargetMode="External"/><Relationship Id="rId4" Type="http://schemas.openxmlformats.org/officeDocument/2006/relationships/hyperlink" Target="https://www.espn.com/mens-college-basketball/stats/team/_/view/opponent/table/offensive/sort/fieldGoalPct/dir/asc" TargetMode="External"/><Relationship Id="rId9" Type="http://schemas.openxmlformats.org/officeDocument/2006/relationships/hyperlink" Target="https://www.espn.com/mens-college-basketball/stats/team/_/view/opponent/table/offensive/sort/avgFreeThrowsAttempted/dir/asc" TargetMode="External"/><Relationship Id="rId14" Type="http://schemas.openxmlformats.org/officeDocument/2006/relationships/hyperlink" Target="https://www.espn.com/mens-college-basketball/stats/team/_/view/opponent/table/offensive/sort/avgAssists/dir/as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spn.com/mens-college-basketball/bpi/_/view/resume/sort/resume.sosoutofconfpastrank/dir/asc" TargetMode="External"/><Relationship Id="rId2" Type="http://schemas.openxmlformats.org/officeDocument/2006/relationships/hyperlink" Target="https://www.espn.com/mens-college-basketball/bpi/_/view/resume/sort/resume.sospastrank/dir/asc" TargetMode="External"/><Relationship Id="rId1" Type="http://schemas.openxmlformats.org/officeDocument/2006/relationships/hyperlink" Target="https://www.espn.com/mens-college-basketball/bpi/_/view/resume/sort/resume.sorrank/dir/des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1"/>
  <sheetViews>
    <sheetView zoomScaleNormal="100" workbookViewId="0">
      <pane ySplit="4" topLeftCell="A33" activePane="bottomLeft" state="frozen"/>
      <selection pane="bottomLeft" activeCell="J9" sqref="J9"/>
    </sheetView>
  </sheetViews>
  <sheetFormatPr defaultColWidth="8.5703125" defaultRowHeight="15" x14ac:dyDescent="0.25"/>
  <cols>
    <col min="1" max="1" width="10" customWidth="1"/>
    <col min="2" max="2" width="16" customWidth="1"/>
    <col min="3" max="3" width="6" customWidth="1"/>
    <col min="4" max="4" width="32" customWidth="1"/>
    <col min="5" max="5" width="4" customWidth="1"/>
    <col min="6" max="6" width="6" customWidth="1"/>
    <col min="7" max="7" width="32" customWidth="1"/>
    <col min="8" max="8" width="26" customWidth="1"/>
  </cols>
  <sheetData>
    <row r="1" spans="1:8" ht="25.5" customHeight="1" x14ac:dyDescent="0.25">
      <c r="A1" s="267" t="s">
        <v>0</v>
      </c>
      <c r="B1" s="261"/>
      <c r="C1" s="261"/>
      <c r="D1" s="261"/>
      <c r="E1" s="261"/>
      <c r="F1" s="261"/>
      <c r="G1" s="261"/>
      <c r="H1" s="261"/>
    </row>
    <row r="2" spans="1:8" ht="18" customHeight="1" x14ac:dyDescent="0.25">
      <c r="A2" s="264" t="s">
        <v>1</v>
      </c>
      <c r="B2" s="261"/>
      <c r="C2" s="261"/>
      <c r="D2" s="261"/>
      <c r="E2" s="261"/>
      <c r="F2" s="261"/>
      <c r="G2" s="261"/>
      <c r="H2" s="261"/>
    </row>
    <row r="3" spans="1:8" ht="15" customHeight="1" x14ac:dyDescent="0.25">
      <c r="A3" s="260" t="s">
        <v>2</v>
      </c>
      <c r="B3" s="261"/>
      <c r="C3" s="261"/>
      <c r="D3" s="261"/>
      <c r="E3" s="261"/>
      <c r="F3" s="261"/>
      <c r="G3" s="261"/>
      <c r="H3" s="261"/>
    </row>
    <row r="4" spans="1:8" ht="15.75" customHeight="1" x14ac:dyDescent="0.25">
      <c r="A4" s="1" t="s">
        <v>3</v>
      </c>
      <c r="B4" s="1" t="s">
        <v>4</v>
      </c>
      <c r="C4" s="1" t="s">
        <v>5</v>
      </c>
      <c r="D4" s="1" t="s">
        <v>6</v>
      </c>
      <c r="E4" s="1"/>
      <c r="F4" s="1" t="s">
        <v>5</v>
      </c>
      <c r="G4" s="1" t="s">
        <v>7</v>
      </c>
      <c r="H4" s="1" t="s">
        <v>8</v>
      </c>
    </row>
    <row r="5" spans="1:8" ht="19.5" customHeight="1" x14ac:dyDescent="0.25">
      <c r="A5" s="262" t="s">
        <v>9</v>
      </c>
      <c r="B5" s="261"/>
      <c r="C5" s="261"/>
      <c r="D5" s="261"/>
      <c r="E5" s="261"/>
      <c r="F5" s="261"/>
      <c r="G5" s="261"/>
      <c r="H5" s="261"/>
    </row>
    <row r="6" spans="1:8" ht="19.5" customHeight="1" x14ac:dyDescent="0.25">
      <c r="A6" s="2" t="s">
        <v>10</v>
      </c>
      <c r="B6" s="3" t="s">
        <v>11</v>
      </c>
      <c r="C6" s="4">
        <v>16</v>
      </c>
      <c r="D6" s="10" t="s">
        <v>12</v>
      </c>
      <c r="E6" s="5" t="s">
        <v>13</v>
      </c>
      <c r="F6" s="4">
        <v>16</v>
      </c>
      <c r="G6" s="10" t="s">
        <v>14</v>
      </c>
      <c r="H6" s="6" t="s">
        <v>15</v>
      </c>
    </row>
    <row r="7" spans="1:8" ht="16.5" customHeight="1" x14ac:dyDescent="0.25">
      <c r="A7" s="7" t="s">
        <v>10</v>
      </c>
      <c r="B7" s="8" t="s">
        <v>16</v>
      </c>
      <c r="C7" s="9">
        <v>1</v>
      </c>
      <c r="D7" s="10" t="s">
        <v>17</v>
      </c>
      <c r="E7" s="11" t="s">
        <v>13</v>
      </c>
      <c r="F7" s="9">
        <v>16</v>
      </c>
      <c r="G7" s="12" t="s">
        <v>18</v>
      </c>
      <c r="H7" s="12" t="s">
        <v>19</v>
      </c>
    </row>
    <row r="8" spans="1:8" ht="16.5" customHeight="1" x14ac:dyDescent="0.25">
      <c r="A8" s="7" t="s">
        <v>10</v>
      </c>
      <c r="B8" s="13" t="s">
        <v>20</v>
      </c>
      <c r="C8" s="9">
        <v>8</v>
      </c>
      <c r="D8" s="10" t="s">
        <v>21</v>
      </c>
      <c r="E8" s="11" t="s">
        <v>13</v>
      </c>
      <c r="F8" s="9">
        <v>9</v>
      </c>
      <c r="G8" s="10" t="s">
        <v>22</v>
      </c>
      <c r="H8" s="14"/>
    </row>
    <row r="9" spans="1:8" ht="16.5" customHeight="1" x14ac:dyDescent="0.25">
      <c r="A9" s="7" t="s">
        <v>10</v>
      </c>
      <c r="B9" s="13" t="s">
        <v>23</v>
      </c>
      <c r="C9" s="9">
        <v>5</v>
      </c>
      <c r="D9" s="10" t="s">
        <v>24</v>
      </c>
      <c r="E9" s="11" t="s">
        <v>13</v>
      </c>
      <c r="F9" s="9">
        <v>12</v>
      </c>
      <c r="G9" s="10" t="s">
        <v>25</v>
      </c>
      <c r="H9" s="14"/>
    </row>
    <row r="10" spans="1:8" ht="16.5" customHeight="1" x14ac:dyDescent="0.25">
      <c r="A10" s="7" t="s">
        <v>10</v>
      </c>
      <c r="B10" s="13" t="s">
        <v>26</v>
      </c>
      <c r="C10" s="9">
        <v>4</v>
      </c>
      <c r="D10" s="10" t="s">
        <v>27</v>
      </c>
      <c r="E10" s="11" t="s">
        <v>13</v>
      </c>
      <c r="F10" s="9">
        <v>13</v>
      </c>
      <c r="G10" s="10" t="s">
        <v>28</v>
      </c>
      <c r="H10" s="14"/>
    </row>
    <row r="11" spans="1:8" ht="16.5" customHeight="1" x14ac:dyDescent="0.25">
      <c r="A11" s="7" t="s">
        <v>10</v>
      </c>
      <c r="B11" s="13" t="s">
        <v>29</v>
      </c>
      <c r="C11" s="9">
        <v>6</v>
      </c>
      <c r="D11" s="10" t="s">
        <v>30</v>
      </c>
      <c r="E11" s="11" t="s">
        <v>13</v>
      </c>
      <c r="F11" s="9">
        <v>11</v>
      </c>
      <c r="G11" s="10" t="s">
        <v>31</v>
      </c>
      <c r="H11" s="14"/>
    </row>
    <row r="12" spans="1:8" ht="16.5" customHeight="1" x14ac:dyDescent="0.25">
      <c r="A12" s="7" t="s">
        <v>10</v>
      </c>
      <c r="B12" s="13" t="s">
        <v>32</v>
      </c>
      <c r="C12" s="9">
        <v>3</v>
      </c>
      <c r="D12" s="10" t="s">
        <v>33</v>
      </c>
      <c r="E12" s="11" t="s">
        <v>13</v>
      </c>
      <c r="F12" s="9">
        <v>14</v>
      </c>
      <c r="G12" s="10" t="s">
        <v>34</v>
      </c>
      <c r="H12" s="14"/>
    </row>
    <row r="13" spans="1:8" ht="16.5" customHeight="1" x14ac:dyDescent="0.25">
      <c r="A13" s="7" t="s">
        <v>10</v>
      </c>
      <c r="B13" s="13" t="s">
        <v>35</v>
      </c>
      <c r="C13" s="9">
        <v>7</v>
      </c>
      <c r="D13" s="10" t="s">
        <v>36</v>
      </c>
      <c r="E13" s="11" t="s">
        <v>13</v>
      </c>
      <c r="F13" s="9">
        <v>10</v>
      </c>
      <c r="G13" s="10" t="s">
        <v>37</v>
      </c>
      <c r="H13" s="14"/>
    </row>
    <row r="14" spans="1:8" ht="16.5" customHeight="1" x14ac:dyDescent="0.25">
      <c r="A14" s="15" t="s">
        <v>10</v>
      </c>
      <c r="B14" s="16" t="s">
        <v>38</v>
      </c>
      <c r="C14" s="17">
        <v>2</v>
      </c>
      <c r="D14" s="18" t="s">
        <v>39</v>
      </c>
      <c r="E14" s="19" t="s">
        <v>13</v>
      </c>
      <c r="F14" s="17">
        <v>15</v>
      </c>
      <c r="G14" s="18" t="s">
        <v>40</v>
      </c>
      <c r="H14" s="20"/>
    </row>
    <row r="15" spans="1:8" ht="19.5" customHeight="1" x14ac:dyDescent="0.25">
      <c r="A15" s="21"/>
      <c r="B15" s="22"/>
      <c r="C15" s="22"/>
      <c r="D15" s="23"/>
      <c r="E15" s="24"/>
      <c r="F15" s="22"/>
      <c r="G15" s="23"/>
      <c r="H15" s="25"/>
    </row>
    <row r="16" spans="1:8" ht="19.5" customHeight="1" x14ac:dyDescent="0.25">
      <c r="A16" s="265" t="s">
        <v>41</v>
      </c>
      <c r="B16" s="261"/>
      <c r="C16" s="261"/>
      <c r="D16" s="261"/>
      <c r="E16" s="261"/>
      <c r="F16" s="261"/>
      <c r="G16" s="261"/>
      <c r="H16" s="261"/>
    </row>
    <row r="17" spans="1:8" ht="19.5" customHeight="1" x14ac:dyDescent="0.25">
      <c r="A17" s="26" t="s">
        <v>42</v>
      </c>
      <c r="B17" s="27" t="s">
        <v>43</v>
      </c>
      <c r="C17" s="28">
        <v>11</v>
      </c>
      <c r="D17" s="10" t="s">
        <v>44</v>
      </c>
      <c r="E17" s="29" t="s">
        <v>13</v>
      </c>
      <c r="F17" s="28">
        <v>11</v>
      </c>
      <c r="G17" s="34" t="s">
        <v>45</v>
      </c>
      <c r="H17" s="6" t="s">
        <v>46</v>
      </c>
    </row>
    <row r="18" spans="1:8" ht="16.5" customHeight="1" x14ac:dyDescent="0.25">
      <c r="A18" s="30" t="s">
        <v>42</v>
      </c>
      <c r="B18" s="31" t="s">
        <v>16</v>
      </c>
      <c r="C18" s="32">
        <v>1</v>
      </c>
      <c r="D18" s="10" t="s">
        <v>47</v>
      </c>
      <c r="E18" s="33" t="s">
        <v>13</v>
      </c>
      <c r="F18" s="32">
        <v>16</v>
      </c>
      <c r="G18" s="34" t="s">
        <v>48</v>
      </c>
      <c r="H18" s="35"/>
    </row>
    <row r="19" spans="1:8" ht="16.5" customHeight="1" x14ac:dyDescent="0.25">
      <c r="A19" s="30" t="s">
        <v>42</v>
      </c>
      <c r="B19" s="36" t="s">
        <v>20</v>
      </c>
      <c r="C19" s="32">
        <v>8</v>
      </c>
      <c r="D19" s="10" t="s">
        <v>49</v>
      </c>
      <c r="E19" s="33" t="s">
        <v>13</v>
      </c>
      <c r="F19" s="32">
        <v>9</v>
      </c>
      <c r="G19" s="10" t="s">
        <v>50</v>
      </c>
      <c r="H19" s="35"/>
    </row>
    <row r="20" spans="1:8" ht="16.5" customHeight="1" x14ac:dyDescent="0.25">
      <c r="A20" s="30" t="s">
        <v>42</v>
      </c>
      <c r="B20" s="36" t="s">
        <v>23</v>
      </c>
      <c r="C20" s="32">
        <v>5</v>
      </c>
      <c r="D20" s="10" t="s">
        <v>51</v>
      </c>
      <c r="E20" s="33" t="s">
        <v>13</v>
      </c>
      <c r="F20" s="32">
        <v>12</v>
      </c>
      <c r="G20" s="10" t="s">
        <v>52</v>
      </c>
      <c r="H20" s="35"/>
    </row>
    <row r="21" spans="1:8" ht="16.5" customHeight="1" x14ac:dyDescent="0.25">
      <c r="A21" s="30" t="s">
        <v>42</v>
      </c>
      <c r="B21" s="36" t="s">
        <v>26</v>
      </c>
      <c r="C21" s="32">
        <v>4</v>
      </c>
      <c r="D21" s="10" t="s">
        <v>53</v>
      </c>
      <c r="E21" s="33" t="s">
        <v>13</v>
      </c>
      <c r="F21" s="32">
        <v>13</v>
      </c>
      <c r="G21" s="10" t="s">
        <v>54</v>
      </c>
      <c r="H21" s="35"/>
    </row>
    <row r="22" spans="1:8" ht="16.5" customHeight="1" x14ac:dyDescent="0.25">
      <c r="A22" s="30" t="s">
        <v>42</v>
      </c>
      <c r="B22" s="36" t="s">
        <v>29</v>
      </c>
      <c r="C22" s="32">
        <v>6</v>
      </c>
      <c r="D22" s="10" t="s">
        <v>55</v>
      </c>
      <c r="E22" s="33" t="s">
        <v>13</v>
      </c>
      <c r="F22" s="32">
        <v>11</v>
      </c>
      <c r="G22" s="12" t="s">
        <v>56</v>
      </c>
      <c r="H22" s="12" t="s">
        <v>19</v>
      </c>
    </row>
    <row r="23" spans="1:8" ht="16.5" customHeight="1" x14ac:dyDescent="0.25">
      <c r="A23" s="30" t="s">
        <v>42</v>
      </c>
      <c r="B23" s="36" t="s">
        <v>32</v>
      </c>
      <c r="C23" s="32">
        <v>3</v>
      </c>
      <c r="D23" s="10" t="s">
        <v>57</v>
      </c>
      <c r="E23" s="33" t="s">
        <v>13</v>
      </c>
      <c r="F23" s="32">
        <v>14</v>
      </c>
      <c r="G23" s="10" t="s">
        <v>58</v>
      </c>
      <c r="H23" s="35"/>
    </row>
    <row r="24" spans="1:8" ht="16.5" customHeight="1" x14ac:dyDescent="0.25">
      <c r="A24" s="30" t="s">
        <v>42</v>
      </c>
      <c r="B24" s="36" t="s">
        <v>35</v>
      </c>
      <c r="C24" s="32">
        <v>7</v>
      </c>
      <c r="D24" s="10" t="s">
        <v>59</v>
      </c>
      <c r="E24" s="33" t="s">
        <v>13</v>
      </c>
      <c r="F24" s="32">
        <v>10</v>
      </c>
      <c r="G24" s="10" t="s">
        <v>60</v>
      </c>
      <c r="H24" s="35"/>
    </row>
    <row r="25" spans="1:8" ht="16.5" customHeight="1" x14ac:dyDescent="0.25">
      <c r="A25" s="37" t="s">
        <v>42</v>
      </c>
      <c r="B25" s="38" t="s">
        <v>38</v>
      </c>
      <c r="C25" s="39">
        <v>2</v>
      </c>
      <c r="D25" s="18" t="s">
        <v>61</v>
      </c>
      <c r="E25" s="40" t="s">
        <v>13</v>
      </c>
      <c r="F25" s="39">
        <v>15</v>
      </c>
      <c r="G25" s="18" t="s">
        <v>62</v>
      </c>
      <c r="H25" s="41"/>
    </row>
    <row r="26" spans="1:8" ht="19.5" customHeight="1" x14ac:dyDescent="0.25">
      <c r="A26" s="21"/>
      <c r="B26" s="42"/>
      <c r="C26" s="42"/>
      <c r="D26" s="23"/>
      <c r="E26" s="24"/>
      <c r="F26" s="42"/>
      <c r="G26" s="23"/>
      <c r="H26" s="25"/>
    </row>
    <row r="27" spans="1:8" ht="19.5" customHeight="1" x14ac:dyDescent="0.25">
      <c r="A27" s="268" t="s">
        <v>63</v>
      </c>
      <c r="B27" s="261"/>
      <c r="C27" s="261"/>
      <c r="D27" s="261"/>
      <c r="E27" s="261"/>
      <c r="F27" s="261"/>
      <c r="G27" s="261"/>
      <c r="H27" s="261"/>
    </row>
    <row r="28" spans="1:8" ht="19.5" customHeight="1" x14ac:dyDescent="0.25">
      <c r="A28" s="43" t="s">
        <v>64</v>
      </c>
      <c r="B28" s="44" t="s">
        <v>11</v>
      </c>
      <c r="C28" s="45">
        <v>16</v>
      </c>
      <c r="D28" s="10" t="s">
        <v>65</v>
      </c>
      <c r="E28" s="46" t="s">
        <v>13</v>
      </c>
      <c r="F28" s="45">
        <v>16</v>
      </c>
      <c r="G28" s="10" t="s">
        <v>66</v>
      </c>
      <c r="H28" s="47" t="s">
        <v>15</v>
      </c>
    </row>
    <row r="29" spans="1:8" ht="16.5" customHeight="1" x14ac:dyDescent="0.25">
      <c r="A29" s="48" t="s">
        <v>64</v>
      </c>
      <c r="B29" s="49" t="s">
        <v>16</v>
      </c>
      <c r="C29" s="50">
        <v>1</v>
      </c>
      <c r="D29" s="10" t="s">
        <v>67</v>
      </c>
      <c r="E29" s="51" t="s">
        <v>13</v>
      </c>
      <c r="F29" s="50">
        <v>16</v>
      </c>
      <c r="G29" s="12" t="s">
        <v>18</v>
      </c>
      <c r="H29" s="12" t="s">
        <v>19</v>
      </c>
    </row>
    <row r="30" spans="1:8" ht="16.5" customHeight="1" x14ac:dyDescent="0.25">
      <c r="A30" s="48" t="s">
        <v>64</v>
      </c>
      <c r="B30" s="52" t="s">
        <v>20</v>
      </c>
      <c r="C30" s="50">
        <v>8</v>
      </c>
      <c r="D30" s="10" t="s">
        <v>68</v>
      </c>
      <c r="E30" s="51" t="s">
        <v>13</v>
      </c>
      <c r="F30" s="50">
        <v>9</v>
      </c>
      <c r="G30" s="10" t="s">
        <v>69</v>
      </c>
      <c r="H30" s="53"/>
    </row>
    <row r="31" spans="1:8" ht="16.5" customHeight="1" x14ac:dyDescent="0.25">
      <c r="A31" s="48" t="s">
        <v>64</v>
      </c>
      <c r="B31" s="52" t="s">
        <v>23</v>
      </c>
      <c r="C31" s="50">
        <v>5</v>
      </c>
      <c r="D31" s="10" t="s">
        <v>70</v>
      </c>
      <c r="E31" s="51" t="s">
        <v>13</v>
      </c>
      <c r="F31" s="50">
        <v>12</v>
      </c>
      <c r="G31" s="10" t="s">
        <v>71</v>
      </c>
      <c r="H31" s="53"/>
    </row>
    <row r="32" spans="1:8" ht="16.5" customHeight="1" x14ac:dyDescent="0.25">
      <c r="A32" s="48" t="s">
        <v>64</v>
      </c>
      <c r="B32" s="52" t="s">
        <v>26</v>
      </c>
      <c r="C32" s="50">
        <v>4</v>
      </c>
      <c r="D32" s="10" t="s">
        <v>72</v>
      </c>
      <c r="E32" s="51" t="s">
        <v>13</v>
      </c>
      <c r="F32" s="50">
        <v>13</v>
      </c>
      <c r="G32" s="10" t="s">
        <v>73</v>
      </c>
      <c r="H32" s="53"/>
    </row>
    <row r="33" spans="1:8" ht="16.5" customHeight="1" x14ac:dyDescent="0.25">
      <c r="A33" s="48" t="s">
        <v>64</v>
      </c>
      <c r="B33" s="52" t="s">
        <v>29</v>
      </c>
      <c r="C33" s="50">
        <v>6</v>
      </c>
      <c r="D33" s="10" t="s">
        <v>74</v>
      </c>
      <c r="E33" s="51" t="s">
        <v>13</v>
      </c>
      <c r="F33" s="50">
        <v>11</v>
      </c>
      <c r="G33" s="34" t="s">
        <v>75</v>
      </c>
      <c r="H33" s="53"/>
    </row>
    <row r="34" spans="1:8" ht="16.5" customHeight="1" x14ac:dyDescent="0.25">
      <c r="A34" s="48" t="s">
        <v>64</v>
      </c>
      <c r="B34" s="52" t="s">
        <v>32</v>
      </c>
      <c r="C34" s="50">
        <v>3</v>
      </c>
      <c r="D34" s="10" t="s">
        <v>76</v>
      </c>
      <c r="E34" s="51" t="s">
        <v>13</v>
      </c>
      <c r="F34" s="50">
        <v>14</v>
      </c>
      <c r="G34" s="10" t="s">
        <v>77</v>
      </c>
      <c r="H34" s="53"/>
    </row>
    <row r="35" spans="1:8" ht="16.5" customHeight="1" x14ac:dyDescent="0.25">
      <c r="A35" s="48" t="s">
        <v>64</v>
      </c>
      <c r="B35" s="52" t="s">
        <v>35</v>
      </c>
      <c r="C35" s="50">
        <v>7</v>
      </c>
      <c r="D35" s="10" t="s">
        <v>78</v>
      </c>
      <c r="E35" s="51" t="s">
        <v>13</v>
      </c>
      <c r="F35" s="50">
        <v>10</v>
      </c>
      <c r="G35" s="10" t="s">
        <v>79</v>
      </c>
      <c r="H35" s="53"/>
    </row>
    <row r="36" spans="1:8" ht="16.5" customHeight="1" x14ac:dyDescent="0.25">
      <c r="A36" s="54" t="s">
        <v>64</v>
      </c>
      <c r="B36" s="55" t="s">
        <v>38</v>
      </c>
      <c r="C36" s="56">
        <v>2</v>
      </c>
      <c r="D36" s="18" t="s">
        <v>80</v>
      </c>
      <c r="E36" s="57" t="s">
        <v>13</v>
      </c>
      <c r="F36" s="56">
        <v>15</v>
      </c>
      <c r="G36" s="18" t="s">
        <v>81</v>
      </c>
      <c r="H36" s="58"/>
    </row>
    <row r="37" spans="1:8" ht="19.5" customHeight="1" x14ac:dyDescent="0.25">
      <c r="A37" s="21"/>
      <c r="B37" s="59"/>
      <c r="C37" s="59"/>
      <c r="D37" s="23"/>
      <c r="E37" s="24"/>
      <c r="F37" s="59"/>
      <c r="G37" s="23"/>
      <c r="H37" s="25"/>
    </row>
    <row r="38" spans="1:8" ht="19.5" customHeight="1" x14ac:dyDescent="0.25">
      <c r="A38" s="263" t="s">
        <v>82</v>
      </c>
      <c r="B38" s="261"/>
      <c r="C38" s="261"/>
      <c r="D38" s="261"/>
      <c r="E38" s="261"/>
      <c r="F38" s="261"/>
      <c r="G38" s="261"/>
      <c r="H38" s="261"/>
    </row>
    <row r="39" spans="1:8" ht="16.5" customHeight="1" x14ac:dyDescent="0.25">
      <c r="A39" s="60" t="s">
        <v>83</v>
      </c>
      <c r="B39" s="61" t="s">
        <v>16</v>
      </c>
      <c r="C39" s="62">
        <v>1</v>
      </c>
      <c r="D39" s="10" t="s">
        <v>84</v>
      </c>
      <c r="E39" s="63" t="s">
        <v>13</v>
      </c>
      <c r="F39" s="62">
        <v>16</v>
      </c>
      <c r="G39" s="34" t="s">
        <v>85</v>
      </c>
      <c r="H39" s="12"/>
    </row>
    <row r="40" spans="1:8" ht="16.5" customHeight="1" x14ac:dyDescent="0.25">
      <c r="A40" s="60" t="s">
        <v>83</v>
      </c>
      <c r="B40" s="64" t="s">
        <v>20</v>
      </c>
      <c r="C40" s="62">
        <v>8</v>
      </c>
      <c r="D40" s="10" t="s">
        <v>86</v>
      </c>
      <c r="E40" s="63" t="s">
        <v>13</v>
      </c>
      <c r="F40" s="62">
        <v>9</v>
      </c>
      <c r="G40" s="10" t="s">
        <v>87</v>
      </c>
      <c r="H40" s="65"/>
    </row>
    <row r="41" spans="1:8" ht="16.5" customHeight="1" x14ac:dyDescent="0.25">
      <c r="A41" s="60" t="s">
        <v>83</v>
      </c>
      <c r="B41" s="64" t="s">
        <v>23</v>
      </c>
      <c r="C41" s="62">
        <v>5</v>
      </c>
      <c r="D41" s="10" t="s">
        <v>88</v>
      </c>
      <c r="E41" s="63" t="s">
        <v>13</v>
      </c>
      <c r="F41" s="62">
        <v>12</v>
      </c>
      <c r="G41" s="10" t="s">
        <v>89</v>
      </c>
      <c r="H41" s="65"/>
    </row>
    <row r="42" spans="1:8" ht="16.5" customHeight="1" x14ac:dyDescent="0.25">
      <c r="A42" s="60" t="s">
        <v>83</v>
      </c>
      <c r="B42" s="64" t="s">
        <v>26</v>
      </c>
      <c r="C42" s="62">
        <v>4</v>
      </c>
      <c r="D42" s="10" t="s">
        <v>90</v>
      </c>
      <c r="E42" s="63" t="s">
        <v>13</v>
      </c>
      <c r="F42" s="62">
        <v>13</v>
      </c>
      <c r="G42" s="10" t="s">
        <v>91</v>
      </c>
      <c r="H42" s="65"/>
    </row>
    <row r="43" spans="1:8" ht="16.5" customHeight="1" x14ac:dyDescent="0.25">
      <c r="A43" s="60" t="s">
        <v>83</v>
      </c>
      <c r="B43" s="61" t="s">
        <v>43</v>
      </c>
      <c r="C43" s="62">
        <v>11</v>
      </c>
      <c r="D43" s="66" t="s">
        <v>92</v>
      </c>
      <c r="E43" s="67" t="s">
        <v>13</v>
      </c>
      <c r="F43" s="62">
        <v>11</v>
      </c>
      <c r="G43" s="66" t="s">
        <v>93</v>
      </c>
      <c r="H43" s="68" t="s">
        <v>46</v>
      </c>
    </row>
    <row r="44" spans="1:8" ht="16.5" customHeight="1" x14ac:dyDescent="0.25">
      <c r="A44" s="60" t="s">
        <v>83</v>
      </c>
      <c r="B44" s="64" t="s">
        <v>29</v>
      </c>
      <c r="C44" s="62">
        <v>6</v>
      </c>
      <c r="D44" s="10" t="s">
        <v>94</v>
      </c>
      <c r="E44" s="63" t="s">
        <v>13</v>
      </c>
      <c r="F44" s="62">
        <v>11</v>
      </c>
      <c r="G44" s="12" t="s">
        <v>56</v>
      </c>
      <c r="H44" s="12" t="s">
        <v>19</v>
      </c>
    </row>
    <row r="45" spans="1:8" ht="16.5" customHeight="1" x14ac:dyDescent="0.25">
      <c r="A45" s="60" t="s">
        <v>83</v>
      </c>
      <c r="B45" s="64" t="s">
        <v>32</v>
      </c>
      <c r="C45" s="62">
        <v>3</v>
      </c>
      <c r="D45" s="10" t="s">
        <v>95</v>
      </c>
      <c r="E45" s="63" t="s">
        <v>13</v>
      </c>
      <c r="F45" s="62">
        <v>14</v>
      </c>
      <c r="G45" s="10" t="s">
        <v>96</v>
      </c>
      <c r="H45" s="65"/>
    </row>
    <row r="46" spans="1:8" ht="16.5" customHeight="1" x14ac:dyDescent="0.25">
      <c r="A46" s="60" t="s">
        <v>83</v>
      </c>
      <c r="B46" s="64" t="s">
        <v>35</v>
      </c>
      <c r="C46" s="62">
        <v>7</v>
      </c>
      <c r="D46" s="10" t="s">
        <v>97</v>
      </c>
      <c r="E46" s="63" t="s">
        <v>13</v>
      </c>
      <c r="F46" s="62">
        <v>10</v>
      </c>
      <c r="G46" s="10" t="s">
        <v>98</v>
      </c>
      <c r="H46" s="65"/>
    </row>
    <row r="47" spans="1:8" ht="16.5" customHeight="1" x14ac:dyDescent="0.25">
      <c r="A47" s="69" t="s">
        <v>83</v>
      </c>
      <c r="B47" s="70" t="s">
        <v>38</v>
      </c>
      <c r="C47" s="71">
        <v>2</v>
      </c>
      <c r="D47" s="18" t="s">
        <v>99</v>
      </c>
      <c r="E47" s="72" t="s">
        <v>13</v>
      </c>
      <c r="F47" s="71">
        <v>15</v>
      </c>
      <c r="G47" s="18" t="s">
        <v>100</v>
      </c>
      <c r="H47" s="73"/>
    </row>
    <row r="48" spans="1:8" ht="15.75" customHeight="1" x14ac:dyDescent="0.25">
      <c r="A48" s="25"/>
      <c r="B48" s="25"/>
      <c r="C48" s="25"/>
      <c r="D48" s="25"/>
      <c r="E48" s="25"/>
      <c r="F48" s="25"/>
      <c r="G48" s="25"/>
      <c r="H48" s="25"/>
    </row>
    <row r="49" spans="1:8" ht="18" customHeight="1" x14ac:dyDescent="0.25">
      <c r="A49" s="266" t="s">
        <v>101</v>
      </c>
      <c r="B49" s="261"/>
      <c r="C49" s="261"/>
      <c r="D49" s="261"/>
      <c r="E49" s="261"/>
      <c r="F49" s="261"/>
      <c r="G49" s="261"/>
      <c r="H49" s="261"/>
    </row>
    <row r="50" spans="1:8" ht="15" customHeight="1" x14ac:dyDescent="0.25">
      <c r="A50" s="74"/>
    </row>
    <row r="51" spans="1:8" ht="27.75" customHeight="1" x14ac:dyDescent="0.25">
      <c r="A51" s="75"/>
    </row>
  </sheetData>
  <mergeCells count="8">
    <mergeCell ref="A49:H49"/>
    <mergeCell ref="A1:H1"/>
    <mergeCell ref="A27:H27"/>
    <mergeCell ref="A3:H3"/>
    <mergeCell ref="A5:H5"/>
    <mergeCell ref="A38:H38"/>
    <mergeCell ref="A2:H2"/>
    <mergeCell ref="A16:H16"/>
  </mergeCells>
  <dataValidations count="1">
    <dataValidation type="list" allowBlank="1" showInputMessage="1" showErrorMessage="1" errorTitle="Invalid Team Name" error="Team not found. Check spelling matches Team Stats tab." promptTitle="Team Name" prompt="Select from dropdown or type exact team name" sqref="D7:D14 D18:D25 D29:D36 D39:D47 G8:G14 G18:G25 G29:G32 G34:G36 G40:G43 G45:G47" xr:uid="{00000000-0002-0000-0000-000000000000}">
      <formula1>TeamList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79"/>
  <sheetViews>
    <sheetView showGridLines="0" tabSelected="1" zoomScaleNormal="100" workbookViewId="0">
      <pane ySplit="3" topLeftCell="A27" activePane="bottomLeft" state="frozen"/>
      <selection pane="bottomLeft" activeCell="C44" sqref="C44"/>
    </sheetView>
  </sheetViews>
  <sheetFormatPr defaultColWidth="8.5703125" defaultRowHeight="15" x14ac:dyDescent="0.25"/>
  <cols>
    <col min="1" max="1" width="17.85546875" style="76" customWidth="1"/>
    <col min="2" max="2" width="18.42578125" customWidth="1"/>
    <col min="3" max="3" width="26" customWidth="1"/>
    <col min="4" max="4" width="8" customWidth="1"/>
    <col min="5" max="5" width="26" customWidth="1"/>
    <col min="6" max="6" width="8" customWidth="1"/>
    <col min="7" max="8" width="9" customWidth="1"/>
    <col min="9" max="9" width="26" customWidth="1"/>
  </cols>
  <sheetData>
    <row r="1" spans="1:9" ht="27.75" customHeight="1" x14ac:dyDescent="0.25">
      <c r="A1" s="269" t="s">
        <v>102</v>
      </c>
      <c r="B1" s="261"/>
      <c r="C1" s="261"/>
      <c r="D1" s="261"/>
      <c r="E1" s="261"/>
      <c r="F1" s="261"/>
      <c r="G1" s="261"/>
      <c r="H1" s="261"/>
      <c r="I1" s="261"/>
    </row>
    <row r="2" spans="1:9" ht="21.75" customHeight="1" x14ac:dyDescent="0.25">
      <c r="A2" s="270" t="s">
        <v>103</v>
      </c>
      <c r="B2" s="261"/>
      <c r="C2" s="261"/>
      <c r="D2" s="261"/>
      <c r="E2" s="261"/>
      <c r="F2" s="261"/>
      <c r="G2" s="261"/>
      <c r="H2" s="261"/>
      <c r="I2" s="261"/>
    </row>
    <row r="3" spans="1:9" ht="19.5" customHeight="1" x14ac:dyDescent="0.25">
      <c r="A3" s="77" t="s">
        <v>104</v>
      </c>
      <c r="B3" s="78" t="s">
        <v>3</v>
      </c>
      <c r="C3" s="78" t="s">
        <v>105</v>
      </c>
      <c r="D3" s="78" t="s">
        <v>106</v>
      </c>
      <c r="E3" s="78" t="s">
        <v>107</v>
      </c>
      <c r="F3" s="78" t="s">
        <v>108</v>
      </c>
      <c r="G3" s="78" t="s">
        <v>109</v>
      </c>
      <c r="H3" s="78" t="s">
        <v>110</v>
      </c>
      <c r="I3" s="78" t="s">
        <v>111</v>
      </c>
    </row>
    <row r="4" spans="1:9" ht="18" customHeight="1" x14ac:dyDescent="0.25">
      <c r="A4" s="79" t="s">
        <v>112</v>
      </c>
    </row>
    <row r="5" spans="1:9" ht="18" customHeight="1" x14ac:dyDescent="0.25">
      <c r="A5" s="80" t="s">
        <v>113</v>
      </c>
      <c r="B5" s="81" t="s">
        <v>10</v>
      </c>
      <c r="C5" s="81" t="str">
        <f>'📋 Bracket Input'!D6</f>
        <v>Howard Bison</v>
      </c>
      <c r="D5" s="82">
        <f>IFERROR(ROUND(('Enhanced Matchup Model'!$F$3*IFERROR(VLOOKUP(C5,'📊 Team Lookup'!$A$3:$H$367,7,FALSE()),1)+'Enhanced Matchup Model'!$F$4*IFERROR(VLOOKUP(E5,'📊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Lookup'!$A$3:$H$367,3,FALSE()),70)))+(-(IFERROR(VLOOKUP(C5,'📊 Team Lookup'!$A$3:$H$367,5,FALSE()),200)-IFERROR(VLOOKUP(E5,'📊 Team Lookup'!$A$3:$H$367,5,FALSE()),200))*'Enhanced Matchup Model'!$F$8),1),0)</f>
        <v>60.9</v>
      </c>
      <c r="E5" s="81" t="str">
        <f>'📋 Bracket Input'!G6</f>
        <v>UMBC Retrievers</v>
      </c>
      <c r="F5" s="82">
        <f>IFERROR(ROUND(('Enhanced Matchup Model'!$F$3*IFERROR(VLOOKUP(E5,'📊 Team Lookup'!$A$3:$H$367,7,FALSE()),1)+'Enhanced Matchup Model'!$F$4*IFERROR(VLOOKUP(C5,'📊 Team Lookup'!$A$3:$H$367,8,FALSE()),1.05))*(0.65*MIN(IFERROR(VLOOKUP(C5,'📊 Team Lookup'!$A$3:$H$367,3,FALSE()),70),IFERROR(VLOOKUP(E5,'📊 Team Lookup'!$A$3:$H$367,3,FALSE()),70))+0.35*MAX(IFERROR(VLOOKUP(C5,'📊 Team Lookup'!$A$3:$H$367,3,FALSE()),70),IFERROR(VLOOKUP(E5,'📊 Team Lookup'!$A$3:$H$367,3,FALSE()),70)))+(-(IFERROR(VLOOKUP(E5,'📊 Team Lookup'!$A$3:$H$367,5,FALSE()),200)-IFERROR(VLOOKUP(C5,'📊 Team Lookup'!$A$3:$H$367,5,FALSE()),200))*'Enhanced Matchup Model'!$F$8),1),0)</f>
        <v>61.9</v>
      </c>
      <c r="G5" s="83">
        <f>D5-F5</f>
        <v>-1</v>
      </c>
      <c r="H5" s="84">
        <f>IFERROR(1/(1+EXP(-G5/7)),0.5)</f>
        <v>0.46434632916602836</v>
      </c>
      <c r="I5" s="85" t="str">
        <f>IF(H5&gt;0.5,C5,E5)</f>
        <v>UMBC Retrievers</v>
      </c>
    </row>
    <row r="6" spans="1:9" ht="18" customHeight="1" x14ac:dyDescent="0.25">
      <c r="A6" s="80" t="s">
        <v>113</v>
      </c>
      <c r="B6" s="86" t="s">
        <v>42</v>
      </c>
      <c r="C6" s="86" t="str">
        <f>'📋 Bracket Input'!D17</f>
        <v>Santa Clara Broncos</v>
      </c>
      <c r="D6" s="82">
        <f>IFERROR(ROUND(('Enhanced Matchup Model'!$F$3*IFERROR(VLOOKUP(C6,'📊 Team Lookup'!$A$3:$H$367,7,FALSE()),1)+'Enhanced Matchup Model'!$F$4*IFERROR(VLOOKUP(E6,'📊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Lookup'!$A$3:$H$367,3,FALSE()),70)))+(-(IFERROR(VLOOKUP(C6,'📊 Team Lookup'!$A$3:$H$367,5,FALSE()),200)-IFERROR(VLOOKUP(E6,'📊 Team Lookup'!$A$3:$H$367,5,FALSE()),200))*'Enhanced Matchup Model'!$F$8),1),0)</f>
        <v>67.2</v>
      </c>
      <c r="E6" s="86" t="str">
        <f>'📋 Bracket Input'!G17</f>
        <v>New Mexico Lobos</v>
      </c>
      <c r="F6" s="82">
        <f>IFERROR(ROUND(('Enhanced Matchup Model'!$F$3*IFERROR(VLOOKUP(E6,'📊 Team Lookup'!$A$3:$H$367,7,FALSE()),1)+'Enhanced Matchup Model'!$F$4*IFERROR(VLOOKUP(C6,'📊 Team Lookup'!$A$3:$H$367,8,FALSE()),1.05))*(0.65*MIN(IFERROR(VLOOKUP(C6,'📊 Team Lookup'!$A$3:$H$367,3,FALSE()),70),IFERROR(VLOOKUP(E6,'📊 Team Lookup'!$A$3:$H$367,3,FALSE()),70))+0.35*MAX(IFERROR(VLOOKUP(C6,'📊 Team Lookup'!$A$3:$H$367,3,FALSE()),70),IFERROR(VLOOKUP(E6,'📊 Team Lookup'!$A$3:$H$367,3,FALSE()),70)))+(-(IFERROR(VLOOKUP(E6,'📊 Team Lookup'!$A$3:$H$367,5,FALSE()),200)-IFERROR(VLOOKUP(C6,'📊 Team Lookup'!$A$3:$H$367,5,FALSE()),200))*'Enhanced Matchup Model'!$F$8),1),0)</f>
        <v>66</v>
      </c>
      <c r="G6" s="83">
        <f>D6-F6</f>
        <v>1.2000000000000028</v>
      </c>
      <c r="H6" s="84">
        <f>IFERROR(1/(1+EXP(-G6/7)),0.5)</f>
        <v>0.5427524941173193</v>
      </c>
      <c r="I6" s="85" t="str">
        <f>IF(H6&gt;0.5,C6,E6)</f>
        <v>Santa Clara Broncos</v>
      </c>
    </row>
    <row r="7" spans="1:9" ht="18" customHeight="1" x14ac:dyDescent="0.25">
      <c r="A7" s="80" t="s">
        <v>113</v>
      </c>
      <c r="B7" s="86" t="s">
        <v>64</v>
      </c>
      <c r="C7" s="86" t="str">
        <f>'📋 Bracket Input'!D28</f>
        <v>Long Island University Sharks</v>
      </c>
      <c r="D7" s="82">
        <f>IFERROR(ROUND(('Enhanced Matchup Model'!$F$3*IFERROR(VLOOKUP(C7,'📊 Team Lookup'!$A$3:$H$367,7,FALSE()),1)+'Enhanced Matchup Model'!$F$4*IFERROR(VLOOKUP(E7,'📊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Lookup'!$A$3:$H$367,3,FALSE()),70)))+(-(IFERROR(VLOOKUP(C7,'📊 Team Lookup'!$A$3:$H$367,5,FALSE()),200)-IFERROR(VLOOKUP(E7,'📊 Team Lookup'!$A$3:$H$367,5,FALSE()),200))*'Enhanced Matchup Model'!$F$8),1),0)</f>
        <v>62.7</v>
      </c>
      <c r="E7" s="86" t="str">
        <f>'📋 Bracket Input'!G28</f>
        <v>Bethune-Cookman Wildcats</v>
      </c>
      <c r="F7" s="82">
        <f>IFERROR(ROUND(('Enhanced Matchup Model'!$F$3*IFERROR(VLOOKUP(E7,'📊 Team Lookup'!$A$3:$H$367,7,FALSE()),1)+'Enhanced Matchup Model'!$F$4*IFERROR(VLOOKUP(C7,'📊 Team Lookup'!$A$3:$H$367,8,FALSE()),1.05))*(0.65*MIN(IFERROR(VLOOKUP(C7,'📊 Team Lookup'!$A$3:$H$367,3,FALSE()),70),IFERROR(VLOOKUP(E7,'📊 Team Lookup'!$A$3:$H$367,3,FALSE()),70))+0.35*MAX(IFERROR(VLOOKUP(C7,'📊 Team Lookup'!$A$3:$H$367,3,FALSE()),70),IFERROR(VLOOKUP(E7,'📊 Team Lookup'!$A$3:$H$367,3,FALSE()),70)))+(-(IFERROR(VLOOKUP(E7,'📊 Team Lookup'!$A$3:$H$367,5,FALSE()),200)-IFERROR(VLOOKUP(C7,'📊 Team Lookup'!$A$3:$H$367,5,FALSE()),200))*'Enhanced Matchup Model'!$F$8),1),0)</f>
        <v>66</v>
      </c>
      <c r="G7" s="83">
        <f>D7-F7</f>
        <v>-3.2999999999999972</v>
      </c>
      <c r="H7" s="84">
        <f>IFERROR(1/(1+EXP(-G7/7)),0.5)</f>
        <v>0.38427817569314809</v>
      </c>
      <c r="I7" s="85" t="str">
        <f>IF(H7&gt;0.5,C7,E7)</f>
        <v>Bethune-Cookman Wildcats</v>
      </c>
    </row>
    <row r="8" spans="1:9" ht="18" customHeight="1" x14ac:dyDescent="0.25">
      <c r="A8" s="80" t="s">
        <v>113</v>
      </c>
      <c r="B8" s="87" t="s">
        <v>83</v>
      </c>
      <c r="C8" s="87" t="str">
        <f>'📋 Bracket Input'!D43</f>
        <v>TCU Horned Frogs</v>
      </c>
      <c r="D8" s="82">
        <f>IFERROR(ROUND(('Enhanced Matchup Model'!$F$3*IFERROR(VLOOKUP(C8,'📊 Team Lookup'!$A$3:$H$367,7,FALSE()),1)+'Enhanced Matchup Model'!$F$4*IFERROR(VLOOKUP(E8,'📊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Lookup'!$A$3:$H$367,3,FALSE()),70)))+(-(IFERROR(VLOOKUP(C8,'📊 Team Lookup'!$A$3:$H$367,5,FALSE()),200)-IFERROR(VLOOKUP(E8,'📊 Team Lookup'!$A$3:$H$367,5,FALSE()),200))*'Enhanced Matchup Model'!$F$8),1),0)</f>
        <v>64.900000000000006</v>
      </c>
      <c r="E8" s="87" t="str">
        <f>'📋 Bracket Input'!G43</f>
        <v>Indiana Hoosiers</v>
      </c>
      <c r="F8" s="82">
        <f>IFERROR(ROUND(('Enhanced Matchup Model'!$F$3*IFERROR(VLOOKUP(E8,'📊 Team Lookup'!$A$3:$H$367,7,FALSE()),1)+'Enhanced Matchup Model'!$F$4*IFERROR(VLOOKUP(C8,'📊 Team Lookup'!$A$3:$H$367,8,FALSE()),1.05))*(0.65*MIN(IFERROR(VLOOKUP(C8,'📊 Team Lookup'!$A$3:$H$367,3,FALSE()),70),IFERROR(VLOOKUP(E8,'📊 Team Lookup'!$A$3:$H$367,3,FALSE()),70))+0.35*MAX(IFERROR(VLOOKUP(C8,'📊 Team Lookup'!$A$3:$H$367,3,FALSE()),70),IFERROR(VLOOKUP(E8,'📊 Team Lookup'!$A$3:$H$367,3,FALSE()),70)))+(-(IFERROR(VLOOKUP(E8,'📊 Team Lookup'!$A$3:$H$367,5,FALSE()),200)-IFERROR(VLOOKUP(C8,'📊 Team Lookup'!$A$3:$H$367,5,FALSE()),200))*'Enhanced Matchup Model'!$F$8),1),0)</f>
        <v>64.900000000000006</v>
      </c>
      <c r="G8" s="83">
        <f>D8-F8</f>
        <v>0</v>
      </c>
      <c r="H8" s="84">
        <f>IFERROR(1/(1+EXP(-G8/7)),0.5)</f>
        <v>0.5</v>
      </c>
      <c r="I8" s="85" t="str">
        <f>IF(H8&gt;0.5,C8,E8)</f>
        <v>Indiana Hoosiers</v>
      </c>
    </row>
    <row r="9" spans="1:9" ht="18" customHeight="1" x14ac:dyDescent="0.25">
      <c r="A9" s="88" t="s">
        <v>114</v>
      </c>
    </row>
    <row r="10" spans="1:9" ht="18" customHeight="1" x14ac:dyDescent="0.25">
      <c r="A10" s="89" t="s">
        <v>115</v>
      </c>
      <c r="B10" s="90" t="str">
        <f>'📋 Bracket Input'!A7</f>
        <v>EAST</v>
      </c>
      <c r="C10" s="90" t="str">
        <f>'📋 Bracket Input'!D7</f>
        <v>Duke Blue Devils</v>
      </c>
      <c r="D10" s="82">
        <f>IFERROR(ROUND(('Enhanced Matchup Model'!$F$3*IFERROR(VLOOKUP(C10,'📊 Team Lookup'!$A$3:$H$367,7,FALSE()),1)+'Enhanced Matchup Model'!$F$4*IFERROR(VLOOKUP(E10,'📊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Lookup'!$A$3:$H$367,3,FALSE()),70)))+(-(IFERROR(VLOOKUP(C10,'📊 Team Lookup'!$A$3:$H$367,5,FALSE()),200)-IFERROR(VLOOKUP(E10,'📊 Team Lookup'!$A$3:$H$367,5,FALSE()),200))*'Enhanced Matchup Model'!$F$8),1),0)</f>
        <v>80.5</v>
      </c>
      <c r="E10" s="90" t="str">
        <f>I5</f>
        <v>UMBC Retrievers</v>
      </c>
      <c r="F10" s="82">
        <f>IFERROR(ROUND(('Enhanced Matchup Model'!$F$3*IFERROR(VLOOKUP(E10,'📊 Team Lookup'!$A$3:$H$367,7,FALSE()),1)+'Enhanced Matchup Model'!$F$4*IFERROR(VLOOKUP(C10,'📊 Team Lookup'!$A$3:$H$367,8,FALSE()),1.05))*(0.65*MIN(IFERROR(VLOOKUP(C10,'📊 Team Lookup'!$A$3:$H$367,3,FALSE()),70),IFERROR(VLOOKUP(E10,'📊 Team Lookup'!$A$3:$H$367,3,FALSE()),70))+0.35*MAX(IFERROR(VLOOKUP(C10,'📊 Team Lookup'!$A$3:$H$367,3,FALSE()),70),IFERROR(VLOOKUP(E10,'📊 Team Lookup'!$A$3:$H$367,3,FALSE()),70)))+(-(IFERROR(VLOOKUP(E10,'📊 Team Lookup'!$A$3:$H$367,5,FALSE()),200)-IFERROR(VLOOKUP(C10,'📊 Team Lookup'!$A$3:$H$367,5,FALSE()),200))*'Enhanced Matchup Model'!$F$8),1),0)</f>
        <v>44</v>
      </c>
      <c r="G10" s="91">
        <f t="shared" ref="G10:G41" si="0">D10-F10</f>
        <v>36.5</v>
      </c>
      <c r="H10" s="92">
        <f t="shared" ref="H10:H41" si="1">IFERROR(1/(1+EXP(-G10/7)),0.5)</f>
        <v>0.99459109871630247</v>
      </c>
      <c r="I10" s="85" t="str">
        <f t="shared" ref="I10:I41" si="2">IF(H10&gt;0.5,C10,E10)</f>
        <v>Duke Blue Devils</v>
      </c>
    </row>
    <row r="11" spans="1:9" ht="18" customHeight="1" x14ac:dyDescent="0.25">
      <c r="A11" s="89" t="s">
        <v>115</v>
      </c>
      <c r="B11" s="90" t="str">
        <f>'📋 Bracket Input'!A8</f>
        <v>EAST</v>
      </c>
      <c r="C11" s="90" t="str">
        <f>'📋 Bracket Input'!D8</f>
        <v>UCF Knights</v>
      </c>
      <c r="D11" s="82">
        <f>IFERROR(ROUND(('Enhanced Matchup Model'!$F$3*IFERROR(VLOOKUP(C11,'📊 Team Lookup'!$A$3:$H$367,7,FALSE()),1)+'Enhanced Matchup Model'!$F$4*IFERROR(VLOOKUP(E11,'📊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Lookup'!$A$3:$H$367,3,FALSE()),70)))+(-(IFERROR(VLOOKUP(C11,'📊 Team Lookup'!$A$3:$H$367,5,FALSE()),200)-IFERROR(VLOOKUP(E11,'📊 Team Lookup'!$A$3:$H$367,5,FALSE()),200))*'Enhanced Matchup Model'!$F$8),1),0)</f>
        <v>68.599999999999994</v>
      </c>
      <c r="E11" s="90" t="str">
        <f>'📋 Bracket Input'!G8</f>
        <v>Missouri Tigers</v>
      </c>
      <c r="F11" s="82">
        <f>IFERROR(ROUND(('Enhanced Matchup Model'!$F$3*IFERROR(VLOOKUP(E11,'📊 Team Lookup'!$A$3:$H$367,7,FALSE()),1)+'Enhanced Matchup Model'!$F$4*IFERROR(VLOOKUP(C11,'📊 Team Lookup'!$A$3:$H$367,8,FALSE()),1.05))*(0.65*MIN(IFERROR(VLOOKUP(C11,'📊 Team Lookup'!$A$3:$H$367,3,FALSE()),70),IFERROR(VLOOKUP(E11,'📊 Team Lookup'!$A$3:$H$367,3,FALSE()),70))+0.35*MAX(IFERROR(VLOOKUP(C11,'📊 Team Lookup'!$A$3:$H$367,3,FALSE()),70),IFERROR(VLOOKUP(E11,'📊 Team Lookup'!$A$3:$H$367,3,FALSE()),70)))+(-(IFERROR(VLOOKUP(E11,'📊 Team Lookup'!$A$3:$H$367,5,FALSE()),200)-IFERROR(VLOOKUP(C11,'📊 Team Lookup'!$A$3:$H$367,5,FALSE()),200))*'Enhanced Matchup Model'!$F$8),1),0)</f>
        <v>68.3</v>
      </c>
      <c r="G11" s="91">
        <f t="shared" si="0"/>
        <v>0.29999999999999716</v>
      </c>
      <c r="H11" s="92">
        <f t="shared" si="1"/>
        <v>0.51071264607375244</v>
      </c>
      <c r="I11" s="85" t="str">
        <f t="shared" si="2"/>
        <v>UCF Knights</v>
      </c>
    </row>
    <row r="12" spans="1:9" ht="18" customHeight="1" x14ac:dyDescent="0.25">
      <c r="A12" s="89" t="s">
        <v>115</v>
      </c>
      <c r="B12" s="90" t="str">
        <f>'📋 Bracket Input'!A9</f>
        <v>EAST</v>
      </c>
      <c r="C12" s="90" t="str">
        <f>'📋 Bracket Input'!D9</f>
        <v>Vanderbilt Commodores</v>
      </c>
      <c r="D12" s="82">
        <f>IFERROR(ROUND(('Enhanced Matchup Model'!$F$3*IFERROR(VLOOKUP(C12,'📊 Team Lookup'!$A$3:$H$367,7,FALSE()),1)+'Enhanced Matchup Model'!$F$4*IFERROR(VLOOKUP(E12,'📊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Lookup'!$A$3:$H$367,3,FALSE()),70)))+(-(IFERROR(VLOOKUP(C12,'📊 Team Lookup'!$A$3:$H$367,5,FALSE()),200)-IFERROR(VLOOKUP(E12,'📊 Team Lookup'!$A$3:$H$367,5,FALSE()),200))*'Enhanced Matchup Model'!$F$8),1),0)</f>
        <v>70.099999999999994</v>
      </c>
      <c r="E12" s="90" t="str">
        <f>'📋 Bracket Input'!G9</f>
        <v>Liberty Flames</v>
      </c>
      <c r="F12" s="82">
        <f>IFERROR(ROUND(('Enhanced Matchup Model'!$F$3*IFERROR(VLOOKUP(E12,'📊 Team Lookup'!$A$3:$H$367,7,FALSE()),1)+'Enhanced Matchup Model'!$F$4*IFERROR(VLOOKUP(C12,'📊 Team Lookup'!$A$3:$H$367,8,FALSE()),1.05))*(0.65*MIN(IFERROR(VLOOKUP(C12,'📊 Team Lookup'!$A$3:$H$367,3,FALSE()),70),IFERROR(VLOOKUP(E12,'📊 Team Lookup'!$A$3:$H$367,3,FALSE()),70))+0.35*MAX(IFERROR(VLOOKUP(C12,'📊 Team Lookup'!$A$3:$H$367,3,FALSE()),70),IFERROR(VLOOKUP(E12,'📊 Team Lookup'!$A$3:$H$367,3,FALSE()),70)))+(-(IFERROR(VLOOKUP(E12,'📊 Team Lookup'!$A$3:$H$367,5,FALSE()),200)-IFERROR(VLOOKUP(C12,'📊 Team Lookup'!$A$3:$H$367,5,FALSE()),200))*'Enhanced Matchup Model'!$F$8),1),0)</f>
        <v>63.1</v>
      </c>
      <c r="G12" s="91">
        <f t="shared" si="0"/>
        <v>6.9999999999999929</v>
      </c>
      <c r="H12" s="92">
        <f t="shared" si="1"/>
        <v>0.73105857863000467</v>
      </c>
      <c r="I12" s="85" t="str">
        <f t="shared" si="2"/>
        <v>Vanderbilt Commodores</v>
      </c>
    </row>
    <row r="13" spans="1:9" ht="18" customHeight="1" x14ac:dyDescent="0.25">
      <c r="A13" s="89" t="s">
        <v>115</v>
      </c>
      <c r="B13" s="90" t="str">
        <f>'📋 Bracket Input'!A10</f>
        <v>EAST</v>
      </c>
      <c r="C13" s="90" t="str">
        <f>'📋 Bracket Input'!D10</f>
        <v>Gonzaga Bulldogs</v>
      </c>
      <c r="D13" s="82">
        <f>IFERROR(ROUND(('Enhanced Matchup Model'!$F$3*IFERROR(VLOOKUP(C13,'📊 Team Lookup'!$A$3:$H$367,7,FALSE()),1)+'Enhanced Matchup Model'!$F$4*IFERROR(VLOOKUP(E13,'📊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Lookup'!$A$3:$H$367,3,FALSE()),70)))+(-(IFERROR(VLOOKUP(C13,'📊 Team Lookup'!$A$3:$H$367,5,FALSE()),200)-IFERROR(VLOOKUP(E13,'📊 Team Lookup'!$A$3:$H$367,5,FALSE()),200))*'Enhanced Matchup Model'!$F$8),1),0)</f>
        <v>71.5</v>
      </c>
      <c r="E13" s="90" t="str">
        <f>'📋 Bracket Input'!G10</f>
        <v>Stephen F. Austin Lumberjacks</v>
      </c>
      <c r="F13" s="82">
        <f>IFERROR(ROUND(('Enhanced Matchup Model'!$F$3*IFERROR(VLOOKUP(E13,'📊 Team Lookup'!$A$3:$H$367,7,FALSE()),1)+'Enhanced Matchup Model'!$F$4*IFERROR(VLOOKUP(C13,'📊 Team Lookup'!$A$3:$H$367,8,FALSE()),1.05))*(0.65*MIN(IFERROR(VLOOKUP(C13,'📊 Team Lookup'!$A$3:$H$367,3,FALSE()),70),IFERROR(VLOOKUP(E13,'📊 Team Lookup'!$A$3:$H$367,3,FALSE()),70))+0.35*MAX(IFERROR(VLOOKUP(C13,'📊 Team Lookup'!$A$3:$H$367,3,FALSE()),70),IFERROR(VLOOKUP(E13,'📊 Team Lookup'!$A$3:$H$367,3,FALSE()),70)))+(-(IFERROR(VLOOKUP(E13,'📊 Team Lookup'!$A$3:$H$367,5,FALSE()),200)-IFERROR(VLOOKUP(C13,'📊 Team Lookup'!$A$3:$H$367,5,FALSE()),200))*'Enhanced Matchup Model'!$F$8),1),0)</f>
        <v>55.6</v>
      </c>
      <c r="G13" s="91">
        <f t="shared" si="0"/>
        <v>15.899999999999999</v>
      </c>
      <c r="H13" s="92">
        <f t="shared" si="1"/>
        <v>0.90648296039525511</v>
      </c>
      <c r="I13" s="85" t="str">
        <f t="shared" si="2"/>
        <v>Gonzaga Bulldogs</v>
      </c>
    </row>
    <row r="14" spans="1:9" ht="18" customHeight="1" x14ac:dyDescent="0.25">
      <c r="A14" s="89" t="s">
        <v>115</v>
      </c>
      <c r="B14" s="90" t="str">
        <f>'📋 Bracket Input'!A11</f>
        <v>EAST</v>
      </c>
      <c r="C14" s="90" t="str">
        <f>'📋 Bracket Input'!D11</f>
        <v>Louisville Cardinals</v>
      </c>
      <c r="D14" s="82">
        <f>IFERROR(ROUND(('Enhanced Matchup Model'!$F$3*IFERROR(VLOOKUP(C14,'📊 Team Lookup'!$A$3:$H$367,7,FALSE()),1)+'Enhanced Matchup Model'!$F$4*IFERROR(VLOOKUP(E14,'📊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Lookup'!$A$3:$H$367,3,FALSE()),70)))+(-(IFERROR(VLOOKUP(C14,'📊 Team Lookup'!$A$3:$H$367,5,FALSE()),200)-IFERROR(VLOOKUP(E14,'📊 Team Lookup'!$A$3:$H$367,5,FALSE()),200))*'Enhanced Matchup Model'!$F$8),1),0)</f>
        <v>76.5</v>
      </c>
      <c r="E14" s="90" t="str">
        <f>'📋 Bracket Input'!G11</f>
        <v>Miami (OH) RedHawks</v>
      </c>
      <c r="F14" s="82">
        <f>IFERROR(ROUND(('Enhanced Matchup Model'!$F$3*IFERROR(VLOOKUP(E14,'📊 Team Lookup'!$A$3:$H$367,7,FALSE()),1)+'Enhanced Matchup Model'!$F$4*IFERROR(VLOOKUP(C14,'📊 Team Lookup'!$A$3:$H$367,8,FALSE()),1.05))*(0.65*MIN(IFERROR(VLOOKUP(C14,'📊 Team Lookup'!$A$3:$H$367,3,FALSE()),70),IFERROR(VLOOKUP(E14,'📊 Team Lookup'!$A$3:$H$367,3,FALSE()),70))+0.35*MAX(IFERROR(VLOOKUP(C14,'📊 Team Lookup'!$A$3:$H$367,3,FALSE()),70),IFERROR(VLOOKUP(E14,'📊 Team Lookup'!$A$3:$H$367,3,FALSE()),70)))+(-(IFERROR(VLOOKUP(E14,'📊 Team Lookup'!$A$3:$H$367,5,FALSE()),200)-IFERROR(VLOOKUP(C14,'📊 Team Lookup'!$A$3:$H$367,5,FALSE()),200))*'Enhanced Matchup Model'!$F$8),1),0)</f>
        <v>62.5</v>
      </c>
      <c r="G14" s="91">
        <f t="shared" si="0"/>
        <v>14</v>
      </c>
      <c r="H14" s="92">
        <f t="shared" si="1"/>
        <v>0.88079707797788231</v>
      </c>
      <c r="I14" s="85" t="str">
        <f t="shared" si="2"/>
        <v>Louisville Cardinals</v>
      </c>
    </row>
    <row r="15" spans="1:9" ht="18" customHeight="1" x14ac:dyDescent="0.25">
      <c r="A15" s="89" t="s">
        <v>115</v>
      </c>
      <c r="B15" s="90" t="str">
        <f>'📋 Bracket Input'!A12</f>
        <v>EAST</v>
      </c>
      <c r="C15" s="90" t="str">
        <f>'📋 Bracket Input'!D12</f>
        <v>Iowa State Cyclones</v>
      </c>
      <c r="D15" s="82">
        <f>IFERROR(ROUND(('Enhanced Matchup Model'!$F$3*IFERROR(VLOOKUP(C15,'📊 Team Lookup'!$A$3:$H$367,7,FALSE()),1)+'Enhanced Matchup Model'!$F$4*IFERROR(VLOOKUP(E15,'📊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Lookup'!$A$3:$H$367,3,FALSE()),70)))+(-(IFERROR(VLOOKUP(C15,'📊 Team Lookup'!$A$3:$H$367,5,FALSE()),200)-IFERROR(VLOOKUP(E15,'📊 Team Lookup'!$A$3:$H$367,5,FALSE()),200))*'Enhanced Matchup Model'!$F$8),1),0)</f>
        <v>76</v>
      </c>
      <c r="E15" s="90" t="str">
        <f>'📋 Bracket Input'!G12</f>
        <v>Navy Midshipmen</v>
      </c>
      <c r="F15" s="82">
        <f>IFERROR(ROUND(('Enhanced Matchup Model'!$F$3*IFERROR(VLOOKUP(E15,'📊 Team Lookup'!$A$3:$H$367,7,FALSE()),1)+'Enhanced Matchup Model'!$F$4*IFERROR(VLOOKUP(C15,'📊 Team Lookup'!$A$3:$H$367,8,FALSE()),1.05))*(0.65*MIN(IFERROR(VLOOKUP(C15,'📊 Team Lookup'!$A$3:$H$367,3,FALSE()),70),IFERROR(VLOOKUP(E15,'📊 Team Lookup'!$A$3:$H$367,3,FALSE()),70))+0.35*MAX(IFERROR(VLOOKUP(C15,'📊 Team Lookup'!$A$3:$H$367,3,FALSE()),70),IFERROR(VLOOKUP(E15,'📊 Team Lookup'!$A$3:$H$367,3,FALSE()),70)))+(-(IFERROR(VLOOKUP(E15,'📊 Team Lookup'!$A$3:$H$367,5,FALSE()),200)-IFERROR(VLOOKUP(C15,'📊 Team Lookup'!$A$3:$H$367,5,FALSE()),200))*'Enhanced Matchup Model'!$F$8),1),0)</f>
        <v>46.5</v>
      </c>
      <c r="G15" s="91">
        <f t="shared" si="0"/>
        <v>29.5</v>
      </c>
      <c r="H15" s="92">
        <f t="shared" si="1"/>
        <v>0.98543247277121604</v>
      </c>
      <c r="I15" s="85" t="str">
        <f t="shared" si="2"/>
        <v>Iowa State Cyclones</v>
      </c>
    </row>
    <row r="16" spans="1:9" ht="18" customHeight="1" x14ac:dyDescent="0.25">
      <c r="A16" s="89" t="s">
        <v>115</v>
      </c>
      <c r="B16" s="90" t="str">
        <f>'📋 Bracket Input'!A13</f>
        <v>EAST</v>
      </c>
      <c r="C16" s="90" t="str">
        <f>'📋 Bracket Input'!D13</f>
        <v>Utah State Aggies</v>
      </c>
      <c r="D16" s="82">
        <f>IFERROR(ROUND(('Enhanced Matchup Model'!$F$3*IFERROR(VLOOKUP(C16,'📊 Team Lookup'!$A$3:$H$367,7,FALSE()),1)+'Enhanced Matchup Model'!$F$4*IFERROR(VLOOKUP(E16,'📊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Lookup'!$A$3:$H$367,3,FALSE()),70)))+(-(IFERROR(VLOOKUP(C16,'📊 Team Lookup'!$A$3:$H$367,5,FALSE()),200)-IFERROR(VLOOKUP(E16,'📊 Team Lookup'!$A$3:$H$367,5,FALSE()),200))*'Enhanced Matchup Model'!$F$8),1),0)</f>
        <v>66.7</v>
      </c>
      <c r="E16" s="90" t="str">
        <f>'📋 Bracket Input'!G13</f>
        <v>UCLA Bruins</v>
      </c>
      <c r="F16" s="82">
        <f>IFERROR(ROUND(('Enhanced Matchup Model'!$F$3*IFERROR(VLOOKUP(E16,'📊 Team Lookup'!$A$3:$H$367,7,FALSE()),1)+'Enhanced Matchup Model'!$F$4*IFERROR(VLOOKUP(C16,'📊 Team Lookup'!$A$3:$H$367,8,FALSE()),1.05))*(0.65*MIN(IFERROR(VLOOKUP(C16,'📊 Team Lookup'!$A$3:$H$367,3,FALSE()),70),IFERROR(VLOOKUP(E16,'📊 Team Lookup'!$A$3:$H$367,3,FALSE()),70))+0.35*MAX(IFERROR(VLOOKUP(C16,'📊 Team Lookup'!$A$3:$H$367,3,FALSE()),70),IFERROR(VLOOKUP(E16,'📊 Team Lookup'!$A$3:$H$367,3,FALSE()),70)))+(-(IFERROR(VLOOKUP(E16,'📊 Team Lookup'!$A$3:$H$367,5,FALSE()),200)-IFERROR(VLOOKUP(C16,'📊 Team Lookup'!$A$3:$H$367,5,FALSE()),200))*'Enhanced Matchup Model'!$F$8),1),0)</f>
        <v>64.099999999999994</v>
      </c>
      <c r="G16" s="91">
        <f t="shared" si="0"/>
        <v>2.6000000000000085</v>
      </c>
      <c r="H16" s="92">
        <f t="shared" si="1"/>
        <v>0.59180412650033076</v>
      </c>
      <c r="I16" s="85" t="str">
        <f t="shared" si="2"/>
        <v>Utah State Aggies</v>
      </c>
    </row>
    <row r="17" spans="1:9" ht="18" customHeight="1" x14ac:dyDescent="0.25">
      <c r="A17" s="89" t="s">
        <v>115</v>
      </c>
      <c r="B17" s="90" t="str">
        <f>'📋 Bracket Input'!A14</f>
        <v>EAST</v>
      </c>
      <c r="C17" s="90" t="str">
        <f>'📋 Bracket Input'!D14</f>
        <v>Illinois Fighting Illini</v>
      </c>
      <c r="D17" s="82">
        <f>IFERROR(ROUND(('Enhanced Matchup Model'!$F$3*IFERROR(VLOOKUP(C17,'📊 Team Lookup'!$A$3:$H$367,7,FALSE()),1)+'Enhanced Matchup Model'!$F$4*IFERROR(VLOOKUP(E17,'📊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Lookup'!$A$3:$H$367,3,FALSE()),70)))+(-(IFERROR(VLOOKUP(C17,'📊 Team Lookup'!$A$3:$H$367,5,FALSE()),200)-IFERROR(VLOOKUP(E17,'📊 Team Lookup'!$A$3:$H$367,5,FALSE()),200))*'Enhanced Matchup Model'!$F$8),1),0)</f>
        <v>76.599999999999994</v>
      </c>
      <c r="E17" s="90" t="str">
        <f>'📋 Bracket Input'!G14</f>
        <v>East Tennessee State Buccaneers</v>
      </c>
      <c r="F17" s="82">
        <f>IFERROR(ROUND(('Enhanced Matchup Model'!$F$3*IFERROR(VLOOKUP(E17,'📊 Team Lookup'!$A$3:$H$367,7,FALSE()),1)+'Enhanced Matchup Model'!$F$4*IFERROR(VLOOKUP(C17,'📊 Team Lookup'!$A$3:$H$367,8,FALSE()),1.05))*(0.65*MIN(IFERROR(VLOOKUP(C17,'📊 Team Lookup'!$A$3:$H$367,3,FALSE()),70),IFERROR(VLOOKUP(E17,'📊 Team Lookup'!$A$3:$H$367,3,FALSE()),70))+0.35*MAX(IFERROR(VLOOKUP(C17,'📊 Team Lookup'!$A$3:$H$367,3,FALSE()),70),IFERROR(VLOOKUP(E17,'📊 Team Lookup'!$A$3:$H$367,3,FALSE()),70)))+(-(IFERROR(VLOOKUP(E17,'📊 Team Lookup'!$A$3:$H$367,5,FALSE()),200)-IFERROR(VLOOKUP(C17,'📊 Team Lookup'!$A$3:$H$367,5,FALSE()),200))*'Enhanced Matchup Model'!$F$8),1),0)</f>
        <v>53.8</v>
      </c>
      <c r="G17" s="91">
        <f t="shared" si="0"/>
        <v>22.799999999999997</v>
      </c>
      <c r="H17" s="92">
        <f t="shared" si="1"/>
        <v>0.96292893463158968</v>
      </c>
      <c r="I17" s="85" t="str">
        <f t="shared" si="2"/>
        <v>Illinois Fighting Illini</v>
      </c>
    </row>
    <row r="18" spans="1:9" ht="18" customHeight="1" x14ac:dyDescent="0.25">
      <c r="A18" s="89" t="s">
        <v>115</v>
      </c>
      <c r="B18" s="93" t="str">
        <f>'📋 Bracket Input'!A18</f>
        <v>SOUTH</v>
      </c>
      <c r="C18" s="93" t="str">
        <f>'📋 Bracket Input'!D18</f>
        <v>UConn Huskies</v>
      </c>
      <c r="D18" s="82">
        <f>IFERROR(ROUND(('Enhanced Matchup Model'!$F$3*IFERROR(VLOOKUP(C18,'📊 Team Lookup'!$A$3:$H$367,7,FALSE()),1)+'Enhanced Matchup Model'!$F$4*IFERROR(VLOOKUP(E18,'📊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Lookup'!$A$3:$H$367,3,FALSE()),70)))+(-(IFERROR(VLOOKUP(C18,'📊 Team Lookup'!$A$3:$H$367,5,FALSE()),200)-IFERROR(VLOOKUP(E18,'📊 Team Lookup'!$A$3:$H$367,5,FALSE()),200))*'Enhanced Matchup Model'!$F$8),1),0)</f>
        <v>69</v>
      </c>
      <c r="E18" s="93" t="str">
        <f>'📋 Bracket Input'!G18</f>
        <v>Merrimack Warriors</v>
      </c>
      <c r="F18" s="82">
        <f>IFERROR(ROUND(('Enhanced Matchup Model'!$F$3*IFERROR(VLOOKUP(E18,'📊 Team Lookup'!$A$3:$H$367,7,FALSE()),1)+'Enhanced Matchup Model'!$F$4*IFERROR(VLOOKUP(C18,'📊 Team Lookup'!$A$3:$H$367,8,FALSE()),1.05))*(0.65*MIN(IFERROR(VLOOKUP(C18,'📊 Team Lookup'!$A$3:$H$367,3,FALSE()),70),IFERROR(VLOOKUP(E18,'📊 Team Lookup'!$A$3:$H$367,3,FALSE()),70))+0.35*MAX(IFERROR(VLOOKUP(C18,'📊 Team Lookup'!$A$3:$H$367,3,FALSE()),70),IFERROR(VLOOKUP(E18,'📊 Team Lookup'!$A$3:$H$367,3,FALSE()),70)))+(-(IFERROR(VLOOKUP(E18,'📊 Team Lookup'!$A$3:$H$367,5,FALSE()),200)-IFERROR(VLOOKUP(C18,'📊 Team Lookup'!$A$3:$H$367,5,FALSE()),200))*'Enhanced Matchup Model'!$F$8),1),0)</f>
        <v>52.4</v>
      </c>
      <c r="G18" s="91">
        <f t="shared" si="0"/>
        <v>16.600000000000001</v>
      </c>
      <c r="H18" s="92">
        <f t="shared" si="1"/>
        <v>0.91462248122977574</v>
      </c>
      <c r="I18" s="85" t="str">
        <f t="shared" si="2"/>
        <v>UConn Huskies</v>
      </c>
    </row>
    <row r="19" spans="1:9" ht="18" customHeight="1" x14ac:dyDescent="0.25">
      <c r="A19" s="89" t="s">
        <v>115</v>
      </c>
      <c r="B19" s="93" t="str">
        <f>'📋 Bracket Input'!A19</f>
        <v>SOUTH</v>
      </c>
      <c r="C19" s="93" t="str">
        <f>'📋 Bracket Input'!D19</f>
        <v>Saint Louis Billikens</v>
      </c>
      <c r="D19" s="82">
        <f>IFERROR(ROUND(('Enhanced Matchup Model'!$F$3*IFERROR(VLOOKUP(C19,'📊 Team Lookup'!$A$3:$H$367,7,FALSE()),1)+'Enhanced Matchup Model'!$F$4*IFERROR(VLOOKUP(E19,'📊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Lookup'!$A$3:$H$367,3,FALSE()),70)))+(-(IFERROR(VLOOKUP(C19,'📊 Team Lookup'!$A$3:$H$367,5,FALSE()),200)-IFERROR(VLOOKUP(E19,'📊 Team Lookup'!$A$3:$H$367,5,FALSE()),200))*'Enhanced Matchup Model'!$F$8),1),0)</f>
        <v>70.5</v>
      </c>
      <c r="E19" s="93" t="str">
        <f>'📋 Bracket Input'!G19</f>
        <v>NC State Wolfpack</v>
      </c>
      <c r="F19" s="82">
        <f>IFERROR(ROUND(('Enhanced Matchup Model'!$F$3*IFERROR(VLOOKUP(E19,'📊 Team Lookup'!$A$3:$H$367,7,FALSE()),1)+'Enhanced Matchup Model'!$F$4*IFERROR(VLOOKUP(C19,'📊 Team Lookup'!$A$3:$H$367,8,FALSE()),1.05))*(0.65*MIN(IFERROR(VLOOKUP(C19,'📊 Team Lookup'!$A$3:$H$367,3,FALSE()),70),IFERROR(VLOOKUP(E19,'📊 Team Lookup'!$A$3:$H$367,3,FALSE()),70))+0.35*MAX(IFERROR(VLOOKUP(C19,'📊 Team Lookup'!$A$3:$H$367,3,FALSE()),70),IFERROR(VLOOKUP(E19,'📊 Team Lookup'!$A$3:$H$367,3,FALSE()),70)))+(-(IFERROR(VLOOKUP(E19,'📊 Team Lookup'!$A$3:$H$367,5,FALSE()),200)-IFERROR(VLOOKUP(C19,'📊 Team Lookup'!$A$3:$H$367,5,FALSE()),200))*'Enhanced Matchup Model'!$F$8),1),0)</f>
        <v>66.7</v>
      </c>
      <c r="G19" s="91">
        <f t="shared" si="0"/>
        <v>3.7999999999999972</v>
      </c>
      <c r="H19" s="92">
        <f t="shared" si="1"/>
        <v>0.63247681131615163</v>
      </c>
      <c r="I19" s="85" t="str">
        <f t="shared" si="2"/>
        <v>Saint Louis Billikens</v>
      </c>
    </row>
    <row r="20" spans="1:9" ht="18" customHeight="1" x14ac:dyDescent="0.25">
      <c r="A20" s="89" t="s">
        <v>115</v>
      </c>
      <c r="B20" s="93" t="str">
        <f>'📋 Bracket Input'!A20</f>
        <v>SOUTH</v>
      </c>
      <c r="C20" s="93" t="str">
        <f>'📋 Bracket Input'!D20</f>
        <v>Tennessee Volunteers</v>
      </c>
      <c r="D20" s="82">
        <f>IFERROR(ROUND(('Enhanced Matchup Model'!$F$3*IFERROR(VLOOKUP(C20,'📊 Team Lookup'!$A$3:$H$367,7,FALSE()),1)+'Enhanced Matchup Model'!$F$4*IFERROR(VLOOKUP(E20,'📊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Lookup'!$A$3:$H$367,3,FALSE()),70)))+(-(IFERROR(VLOOKUP(C20,'📊 Team Lookup'!$A$3:$H$367,5,FALSE()),200)-IFERROR(VLOOKUP(E20,'📊 Team Lookup'!$A$3:$H$367,5,FALSE()),200))*'Enhanced Matchup Model'!$F$8),1),0)</f>
        <v>68.5</v>
      </c>
      <c r="E20" s="93" t="str">
        <f>'📋 Bracket Input'!G20</f>
        <v>South Florida Bulls</v>
      </c>
      <c r="F20" s="82">
        <f>IFERROR(ROUND(('Enhanced Matchup Model'!$F$3*IFERROR(VLOOKUP(E20,'📊 Team Lookup'!$A$3:$H$367,7,FALSE()),1)+'Enhanced Matchup Model'!$F$4*IFERROR(VLOOKUP(C20,'📊 Team Lookup'!$A$3:$H$367,8,FALSE()),1.05))*(0.65*MIN(IFERROR(VLOOKUP(C20,'📊 Team Lookup'!$A$3:$H$367,3,FALSE()),70),IFERROR(VLOOKUP(E20,'📊 Team Lookup'!$A$3:$H$367,3,FALSE()),70))+0.35*MAX(IFERROR(VLOOKUP(C20,'📊 Team Lookup'!$A$3:$H$367,3,FALSE()),70),IFERROR(VLOOKUP(E20,'📊 Team Lookup'!$A$3:$H$367,3,FALSE()),70)))+(-(IFERROR(VLOOKUP(E20,'📊 Team Lookup'!$A$3:$H$367,5,FALSE()),200)-IFERROR(VLOOKUP(C20,'📊 Team Lookup'!$A$3:$H$367,5,FALSE()),200))*'Enhanced Matchup Model'!$F$8),1),0)</f>
        <v>66.400000000000006</v>
      </c>
      <c r="G20" s="91">
        <f t="shared" si="0"/>
        <v>2.0999999999999943</v>
      </c>
      <c r="H20" s="92">
        <f t="shared" si="1"/>
        <v>0.57444251681165881</v>
      </c>
      <c r="I20" s="85" t="str">
        <f t="shared" si="2"/>
        <v>Tennessee Volunteers</v>
      </c>
    </row>
    <row r="21" spans="1:9" ht="18" customHeight="1" x14ac:dyDescent="0.25">
      <c r="A21" s="89" t="s">
        <v>115</v>
      </c>
      <c r="B21" s="93" t="str">
        <f>'📋 Bracket Input'!A21</f>
        <v>SOUTH</v>
      </c>
      <c r="C21" s="93" t="str">
        <f>'📋 Bracket Input'!D21</f>
        <v>Kansas Jayhawks</v>
      </c>
      <c r="D21" s="82">
        <f>IFERROR(ROUND(('Enhanced Matchup Model'!$F$3*IFERROR(VLOOKUP(C21,'📊 Team Lookup'!$A$3:$H$367,7,FALSE()),1)+'Enhanced Matchup Model'!$F$4*IFERROR(VLOOKUP(E21,'📊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Lookup'!$A$3:$H$367,3,FALSE()),70)))+(-(IFERROR(VLOOKUP(C21,'📊 Team Lookup'!$A$3:$H$367,5,FALSE()),200)-IFERROR(VLOOKUP(E21,'📊 Team Lookup'!$A$3:$H$367,5,FALSE()),200))*'Enhanced Matchup Model'!$F$8),1),0)</f>
        <v>67.7</v>
      </c>
      <c r="E21" s="93" t="str">
        <f>'📋 Bracket Input'!G21</f>
        <v>Utah Valley Wolverines</v>
      </c>
      <c r="F21" s="82">
        <f>IFERROR(ROUND(('Enhanced Matchup Model'!$F$3*IFERROR(VLOOKUP(E21,'📊 Team Lookup'!$A$3:$H$367,7,FALSE()),1)+'Enhanced Matchup Model'!$F$4*IFERROR(VLOOKUP(C21,'📊 Team Lookup'!$A$3:$H$367,8,FALSE()),1.05))*(0.65*MIN(IFERROR(VLOOKUP(C21,'📊 Team Lookup'!$A$3:$H$367,3,FALSE()),70),IFERROR(VLOOKUP(E21,'📊 Team Lookup'!$A$3:$H$367,3,FALSE()),70))+0.35*MAX(IFERROR(VLOOKUP(C21,'📊 Team Lookup'!$A$3:$H$367,3,FALSE()),70),IFERROR(VLOOKUP(E21,'📊 Team Lookup'!$A$3:$H$367,3,FALSE()),70)))+(-(IFERROR(VLOOKUP(E21,'📊 Team Lookup'!$A$3:$H$367,5,FALSE()),200)-IFERROR(VLOOKUP(C21,'📊 Team Lookup'!$A$3:$H$367,5,FALSE()),200))*'Enhanced Matchup Model'!$F$8),1),0)</f>
        <v>58.6</v>
      </c>
      <c r="G21" s="91">
        <f t="shared" si="0"/>
        <v>9.1000000000000014</v>
      </c>
      <c r="H21" s="92">
        <f t="shared" si="1"/>
        <v>0.78583498304255861</v>
      </c>
      <c r="I21" s="85" t="str">
        <f t="shared" si="2"/>
        <v>Kansas Jayhawks</v>
      </c>
    </row>
    <row r="22" spans="1:9" ht="18" customHeight="1" x14ac:dyDescent="0.25">
      <c r="A22" s="89" t="s">
        <v>115</v>
      </c>
      <c r="B22" s="93" t="str">
        <f>'📋 Bracket Input'!A22</f>
        <v>SOUTH</v>
      </c>
      <c r="C22" s="93" t="str">
        <f>'📋 Bracket Input'!D22</f>
        <v>St. John's Red Storm</v>
      </c>
      <c r="D22" s="82">
        <f>IFERROR(ROUND(('Enhanced Matchup Model'!$F$3*IFERROR(VLOOKUP(C22,'📊 Team Lookup'!$A$3:$H$367,7,FALSE()),1)+'Enhanced Matchup Model'!$F$4*IFERROR(VLOOKUP(E22,'📊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Lookup'!$A$3:$H$367,3,FALSE()),70)))+(-(IFERROR(VLOOKUP(C22,'📊 Team Lookup'!$A$3:$H$367,5,FALSE()),200)-IFERROR(VLOOKUP(E22,'📊 Team Lookup'!$A$3:$H$367,5,FALSE()),200))*'Enhanced Matchup Model'!$F$8),1),0)</f>
        <v>68.3</v>
      </c>
      <c r="E22" s="93" t="str">
        <f>I6</f>
        <v>Santa Clara Broncos</v>
      </c>
      <c r="F22" s="82">
        <f>IFERROR(ROUND(('Enhanced Matchup Model'!$F$3*IFERROR(VLOOKUP(E22,'📊 Team Lookup'!$A$3:$H$367,7,FALSE()),1)+'Enhanced Matchup Model'!$F$4*IFERROR(VLOOKUP(C22,'📊 Team Lookup'!$A$3:$H$367,8,FALSE()),1.05))*(0.65*MIN(IFERROR(VLOOKUP(C22,'📊 Team Lookup'!$A$3:$H$367,3,FALSE()),70),IFERROR(VLOOKUP(E22,'📊 Team Lookup'!$A$3:$H$367,3,FALSE()),70))+0.35*MAX(IFERROR(VLOOKUP(C22,'📊 Team Lookup'!$A$3:$H$367,3,FALSE()),70),IFERROR(VLOOKUP(E22,'📊 Team Lookup'!$A$3:$H$367,3,FALSE()),70)))+(-(IFERROR(VLOOKUP(E22,'📊 Team Lookup'!$A$3:$H$367,5,FALSE()),200)-IFERROR(VLOOKUP(C22,'📊 Team Lookup'!$A$3:$H$367,5,FALSE()),200))*'Enhanced Matchup Model'!$F$8),1),0)</f>
        <v>66.099999999999994</v>
      </c>
      <c r="G22" s="91">
        <f t="shared" si="0"/>
        <v>2.2000000000000028</v>
      </c>
      <c r="H22" s="92">
        <f t="shared" si="1"/>
        <v>0.57793100919144658</v>
      </c>
      <c r="I22" s="85" t="str">
        <f t="shared" si="2"/>
        <v>St. John's Red Storm</v>
      </c>
    </row>
    <row r="23" spans="1:9" ht="18" customHeight="1" x14ac:dyDescent="0.25">
      <c r="A23" s="89" t="s">
        <v>115</v>
      </c>
      <c r="B23" s="93" t="str">
        <f>'📋 Bracket Input'!A23</f>
        <v>SOUTH</v>
      </c>
      <c r="C23" s="93" t="str">
        <f>'📋 Bracket Input'!D23</f>
        <v>Purdue Boilermakers</v>
      </c>
      <c r="D23" s="82">
        <f>IFERROR(ROUND(('Enhanced Matchup Model'!$F$3*IFERROR(VLOOKUP(C23,'📊 Team Lookup'!$A$3:$H$367,7,FALSE()),1)+'Enhanced Matchup Model'!$F$4*IFERROR(VLOOKUP(E23,'📊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Lookup'!$A$3:$H$367,3,FALSE()),70)))+(-(IFERROR(VLOOKUP(C23,'📊 Team Lookup'!$A$3:$H$367,5,FALSE()),200)-IFERROR(VLOOKUP(E23,'📊 Team Lookup'!$A$3:$H$367,5,FALSE()),200))*'Enhanced Matchup Model'!$F$8),1),0)</f>
        <v>74.400000000000006</v>
      </c>
      <c r="E23" s="93" t="str">
        <f>'📋 Bracket Input'!G23</f>
        <v>Hawai'i Rainbow Warriors</v>
      </c>
      <c r="F23" s="82">
        <f>IFERROR(ROUND(('Enhanced Matchup Model'!$F$3*IFERROR(VLOOKUP(E23,'📊 Team Lookup'!$A$3:$H$367,7,FALSE()),1)+'Enhanced Matchup Model'!$F$4*IFERROR(VLOOKUP(C23,'📊 Team Lookup'!$A$3:$H$367,8,FALSE()),1.05))*(0.65*MIN(IFERROR(VLOOKUP(C23,'📊 Team Lookup'!$A$3:$H$367,3,FALSE()),70),IFERROR(VLOOKUP(E23,'📊 Team Lookup'!$A$3:$H$367,3,FALSE()),70))+0.35*MAX(IFERROR(VLOOKUP(C23,'📊 Team Lookup'!$A$3:$H$367,3,FALSE()),70),IFERROR(VLOOKUP(E23,'📊 Team Lookup'!$A$3:$H$367,3,FALSE()),70)))+(-(IFERROR(VLOOKUP(E23,'📊 Team Lookup'!$A$3:$H$367,5,FALSE()),200)-IFERROR(VLOOKUP(C23,'📊 Team Lookup'!$A$3:$H$367,5,FALSE()),200))*'Enhanced Matchup Model'!$F$8),1),0)</f>
        <v>54.9</v>
      </c>
      <c r="G23" s="91">
        <f t="shared" si="0"/>
        <v>19.500000000000007</v>
      </c>
      <c r="H23" s="92">
        <f t="shared" si="1"/>
        <v>0.94189895134831569</v>
      </c>
      <c r="I23" s="85" t="str">
        <f t="shared" si="2"/>
        <v>Purdue Boilermakers</v>
      </c>
    </row>
    <row r="24" spans="1:9" ht="18" customHeight="1" x14ac:dyDescent="0.25">
      <c r="A24" s="89" t="s">
        <v>115</v>
      </c>
      <c r="B24" s="93" t="str">
        <f>'📋 Bracket Input'!A24</f>
        <v>SOUTH</v>
      </c>
      <c r="C24" s="93" t="str">
        <f>'📋 Bracket Input'!D24</f>
        <v>Villanova Wildcats</v>
      </c>
      <c r="D24" s="82">
        <f>IFERROR(ROUND(('Enhanced Matchup Model'!$F$3*IFERROR(VLOOKUP(C24,'📊 Team Lookup'!$A$3:$H$367,7,FALSE()),1)+'Enhanced Matchup Model'!$F$4*IFERROR(VLOOKUP(E24,'📊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Lookup'!$A$3:$H$367,3,FALSE()),70)))+(-(IFERROR(VLOOKUP(C24,'📊 Team Lookup'!$A$3:$H$367,5,FALSE()),200)-IFERROR(VLOOKUP(E24,'📊 Team Lookup'!$A$3:$H$367,5,FALSE()),200))*'Enhanced Matchup Model'!$F$8),1),0)</f>
        <v>67.7</v>
      </c>
      <c r="E24" s="93" t="str">
        <f>'📋 Bracket Input'!G24</f>
        <v>Texas Longhorns</v>
      </c>
      <c r="F24" s="82">
        <f>IFERROR(ROUND(('Enhanced Matchup Model'!$F$3*IFERROR(VLOOKUP(E24,'📊 Team Lookup'!$A$3:$H$367,7,FALSE()),1)+'Enhanced Matchup Model'!$F$4*IFERROR(VLOOKUP(C24,'📊 Team Lookup'!$A$3:$H$367,8,FALSE()),1.05))*(0.65*MIN(IFERROR(VLOOKUP(C24,'📊 Team Lookup'!$A$3:$H$367,3,FALSE()),70),IFERROR(VLOOKUP(E24,'📊 Team Lookup'!$A$3:$H$367,3,FALSE()),70))+0.35*MAX(IFERROR(VLOOKUP(C24,'📊 Team Lookup'!$A$3:$H$367,3,FALSE()),70),IFERROR(VLOOKUP(E24,'📊 Team Lookup'!$A$3:$H$367,3,FALSE()),70)))+(-(IFERROR(VLOOKUP(E24,'📊 Team Lookup'!$A$3:$H$367,5,FALSE()),200)-IFERROR(VLOOKUP(C24,'📊 Team Lookup'!$A$3:$H$367,5,FALSE()),200))*'Enhanced Matchup Model'!$F$8),1),0)</f>
        <v>65.8</v>
      </c>
      <c r="G24" s="91">
        <f t="shared" si="0"/>
        <v>1.9000000000000057</v>
      </c>
      <c r="H24" s="92">
        <f t="shared" si="1"/>
        <v>0.56744358349733237</v>
      </c>
      <c r="I24" s="85" t="str">
        <f t="shared" si="2"/>
        <v>Villanova Wildcats</v>
      </c>
    </row>
    <row r="25" spans="1:9" ht="18" customHeight="1" x14ac:dyDescent="0.25">
      <c r="A25" s="89" t="s">
        <v>115</v>
      </c>
      <c r="B25" s="93" t="str">
        <f>'📋 Bracket Input'!A25</f>
        <v>SOUTH</v>
      </c>
      <c r="C25" s="93" t="str">
        <f>'📋 Bracket Input'!D25</f>
        <v>Florida Gators</v>
      </c>
      <c r="D25" s="82">
        <f>IFERROR(ROUND(('Enhanced Matchup Model'!$F$3*IFERROR(VLOOKUP(C25,'📊 Team Lookup'!$A$3:$H$367,7,FALSE()),1)+'Enhanced Matchup Model'!$F$4*IFERROR(VLOOKUP(E25,'📊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Lookup'!$A$3:$H$367,3,FALSE()),70)))+(-(IFERROR(VLOOKUP(C25,'📊 Team Lookup'!$A$3:$H$367,5,FALSE()),200)-IFERROR(VLOOKUP(E25,'📊 Team Lookup'!$A$3:$H$367,5,FALSE()),200))*'Enhanced Matchup Model'!$F$8),1),0)</f>
        <v>77.099999999999994</v>
      </c>
      <c r="E25" s="93" t="str">
        <f>'📋 Bracket Input'!G25</f>
        <v>Wright State Raiders</v>
      </c>
      <c r="F25" s="82">
        <f>IFERROR(ROUND(('Enhanced Matchup Model'!$F$3*IFERROR(VLOOKUP(E25,'📊 Team Lookup'!$A$3:$H$367,7,FALSE()),1)+'Enhanced Matchup Model'!$F$4*IFERROR(VLOOKUP(C25,'📊 Team Lookup'!$A$3:$H$367,8,FALSE()),1.05))*(0.65*MIN(IFERROR(VLOOKUP(C25,'📊 Team Lookup'!$A$3:$H$367,3,FALSE()),70),IFERROR(VLOOKUP(E25,'📊 Team Lookup'!$A$3:$H$367,3,FALSE()),70))+0.35*MAX(IFERROR(VLOOKUP(C25,'📊 Team Lookup'!$A$3:$H$367,3,FALSE()),70),IFERROR(VLOOKUP(E25,'📊 Team Lookup'!$A$3:$H$367,3,FALSE()),70)))+(-(IFERROR(VLOOKUP(E25,'📊 Team Lookup'!$A$3:$H$367,5,FALSE()),200)-IFERROR(VLOOKUP(C25,'📊 Team Lookup'!$A$3:$H$367,5,FALSE()),200))*'Enhanced Matchup Model'!$F$8),1),0)</f>
        <v>58</v>
      </c>
      <c r="G25" s="91">
        <f t="shared" si="0"/>
        <v>19.099999999999994</v>
      </c>
      <c r="H25" s="92">
        <f t="shared" si="1"/>
        <v>0.93869167495057515</v>
      </c>
      <c r="I25" s="85" t="str">
        <f t="shared" si="2"/>
        <v>Florida Gators</v>
      </c>
    </row>
    <row r="26" spans="1:9" ht="18" customHeight="1" x14ac:dyDescent="0.25">
      <c r="A26" s="89" t="s">
        <v>115</v>
      </c>
      <c r="B26" s="94" t="str">
        <f>'📋 Bracket Input'!A29</f>
        <v>MIDWEST</v>
      </c>
      <c r="C26" s="94" t="str">
        <f>'📋 Bracket Input'!D29</f>
        <v>Michigan Wolverines</v>
      </c>
      <c r="D26" s="82">
        <f>IFERROR(ROUND(('Enhanced Matchup Model'!$F$3*IFERROR(VLOOKUP(C26,'📊 Team Lookup'!$A$3:$H$367,7,FALSE()),1)+'Enhanced Matchup Model'!$F$4*IFERROR(VLOOKUP(E26,'📊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Lookup'!$A$3:$H$367,3,FALSE()),70)))+(-(IFERROR(VLOOKUP(C26,'📊 Team Lookup'!$A$3:$H$367,5,FALSE()),200)-IFERROR(VLOOKUP(E26,'📊 Team Lookup'!$A$3:$H$367,5,FALSE()),200))*'Enhanced Matchup Model'!$F$8),1),0)</f>
        <v>79.5</v>
      </c>
      <c r="E26" s="94" t="str">
        <f>I7</f>
        <v>Bethune-Cookman Wildcats</v>
      </c>
      <c r="F26" s="82">
        <f>IFERROR(ROUND(('Enhanced Matchup Model'!$F$3*IFERROR(VLOOKUP(E26,'📊 Team Lookup'!$A$3:$H$367,7,FALSE()),1)+'Enhanced Matchup Model'!$F$4*IFERROR(VLOOKUP(C26,'📊 Team Lookup'!$A$3:$H$367,8,FALSE()),1.05))*(0.65*MIN(IFERROR(VLOOKUP(C26,'📊 Team Lookup'!$A$3:$H$367,3,FALSE()),70),IFERROR(VLOOKUP(E26,'📊 Team Lookup'!$A$3:$H$367,3,FALSE()),70))+0.35*MAX(IFERROR(VLOOKUP(C26,'📊 Team Lookup'!$A$3:$H$367,3,FALSE()),70),IFERROR(VLOOKUP(E26,'📊 Team Lookup'!$A$3:$H$367,3,FALSE()),70)))+(-(IFERROR(VLOOKUP(E26,'📊 Team Lookup'!$A$3:$H$367,5,FALSE()),200)-IFERROR(VLOOKUP(C26,'📊 Team Lookup'!$A$3:$H$367,5,FALSE()),200))*'Enhanced Matchup Model'!$F$8),1),0)</f>
        <v>55.2</v>
      </c>
      <c r="G26" s="91">
        <f t="shared" si="0"/>
        <v>24.299999999999997</v>
      </c>
      <c r="H26" s="92">
        <f t="shared" si="1"/>
        <v>0.96986380085081481</v>
      </c>
      <c r="I26" s="85" t="str">
        <f t="shared" si="2"/>
        <v>Michigan Wolverines</v>
      </c>
    </row>
    <row r="27" spans="1:9" ht="18" customHeight="1" x14ac:dyDescent="0.25">
      <c r="A27" s="89" t="s">
        <v>115</v>
      </c>
      <c r="B27" s="94" t="str">
        <f>'📋 Bracket Input'!A30</f>
        <v>MIDWEST</v>
      </c>
      <c r="C27" s="94" t="str">
        <f>'📋 Bracket Input'!D30</f>
        <v>Clemson Tigers</v>
      </c>
      <c r="D27" s="82">
        <f>IFERROR(ROUND(('Enhanced Matchup Model'!$F$3*IFERROR(VLOOKUP(C27,'📊 Team Lookup'!$A$3:$H$367,7,FALSE()),1)+'Enhanced Matchup Model'!$F$4*IFERROR(VLOOKUP(E27,'📊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Lookup'!$A$3:$H$367,3,FALSE()),70)))+(-(IFERROR(VLOOKUP(C27,'📊 Team Lookup'!$A$3:$H$367,5,FALSE()),200)-IFERROR(VLOOKUP(E27,'📊 Team Lookup'!$A$3:$H$367,5,FALSE()),200))*'Enhanced Matchup Model'!$F$8),1),0)</f>
        <v>60.7</v>
      </c>
      <c r="E27" s="94" t="str">
        <f>'📋 Bracket Input'!G30</f>
        <v>Iowa Hawkeyes</v>
      </c>
      <c r="F27" s="82">
        <f>IFERROR(ROUND(('Enhanced Matchup Model'!$F$3*IFERROR(VLOOKUP(E27,'📊 Team Lookup'!$A$3:$H$367,7,FALSE()),1)+'Enhanced Matchup Model'!$F$4*IFERROR(VLOOKUP(C27,'📊 Team Lookup'!$A$3:$H$367,8,FALSE()),1.05))*(0.65*MIN(IFERROR(VLOOKUP(C27,'📊 Team Lookup'!$A$3:$H$367,3,FALSE()),70),IFERROR(VLOOKUP(E27,'📊 Team Lookup'!$A$3:$H$367,3,FALSE()),70))+0.35*MAX(IFERROR(VLOOKUP(C27,'📊 Team Lookup'!$A$3:$H$367,3,FALSE()),70),IFERROR(VLOOKUP(E27,'📊 Team Lookup'!$A$3:$H$367,3,FALSE()),70)))+(-(IFERROR(VLOOKUP(E27,'📊 Team Lookup'!$A$3:$H$367,5,FALSE()),200)-IFERROR(VLOOKUP(C27,'📊 Team Lookup'!$A$3:$H$367,5,FALSE()),200))*'Enhanced Matchup Model'!$F$8),1),0)</f>
        <v>60.7</v>
      </c>
      <c r="G27" s="91">
        <f t="shared" si="0"/>
        <v>0</v>
      </c>
      <c r="H27" s="92">
        <f t="shared" si="1"/>
        <v>0.5</v>
      </c>
      <c r="I27" s="85" t="str">
        <f t="shared" si="2"/>
        <v>Iowa Hawkeyes</v>
      </c>
    </row>
    <row r="28" spans="1:9" ht="18" customHeight="1" x14ac:dyDescent="0.25">
      <c r="A28" s="89" t="s">
        <v>115</v>
      </c>
      <c r="B28" s="94" t="str">
        <f>'📋 Bracket Input'!A31</f>
        <v>MIDWEST</v>
      </c>
      <c r="C28" s="94" t="str">
        <f>'📋 Bracket Input'!D31</f>
        <v>Arkansas Razorbacks</v>
      </c>
      <c r="D28" s="82">
        <f>IFERROR(ROUND(('Enhanced Matchup Model'!$F$3*IFERROR(VLOOKUP(C28,'📊 Team Lookup'!$A$3:$H$367,7,FALSE()),1)+'Enhanced Matchup Model'!$F$4*IFERROR(VLOOKUP(E28,'📊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Lookup'!$A$3:$H$367,3,FALSE()),70)))+(-(IFERROR(VLOOKUP(C28,'📊 Team Lookup'!$A$3:$H$367,5,FALSE()),200)-IFERROR(VLOOKUP(E28,'📊 Team Lookup'!$A$3:$H$367,5,FALSE()),200))*'Enhanced Matchup Model'!$F$8),1),0)</f>
        <v>71.2</v>
      </c>
      <c r="E28" s="94" t="str">
        <f>'📋 Bracket Input'!G31</f>
        <v>Yale Bulldogs</v>
      </c>
      <c r="F28" s="82">
        <f>IFERROR(ROUND(('Enhanced Matchup Model'!$F$3*IFERROR(VLOOKUP(E28,'📊 Team Lookup'!$A$3:$H$367,7,FALSE()),1)+'Enhanced Matchup Model'!$F$4*IFERROR(VLOOKUP(C28,'📊 Team Lookup'!$A$3:$H$367,8,FALSE()),1.05))*(0.65*MIN(IFERROR(VLOOKUP(C28,'📊 Team Lookup'!$A$3:$H$367,3,FALSE()),70),IFERROR(VLOOKUP(E28,'📊 Team Lookup'!$A$3:$H$367,3,FALSE()),70))+0.35*MAX(IFERROR(VLOOKUP(C28,'📊 Team Lookup'!$A$3:$H$367,3,FALSE()),70),IFERROR(VLOOKUP(E28,'📊 Team Lookup'!$A$3:$H$367,3,FALSE()),70)))+(-(IFERROR(VLOOKUP(E28,'📊 Team Lookup'!$A$3:$H$367,5,FALSE()),200)-IFERROR(VLOOKUP(C28,'📊 Team Lookup'!$A$3:$H$367,5,FALSE()),200))*'Enhanced Matchup Model'!$F$8),1),0)</f>
        <v>67</v>
      </c>
      <c r="G28" s="91">
        <f t="shared" si="0"/>
        <v>4.2000000000000028</v>
      </c>
      <c r="H28" s="92">
        <f t="shared" si="1"/>
        <v>0.64565630622579562</v>
      </c>
      <c r="I28" s="85" t="str">
        <f t="shared" si="2"/>
        <v>Arkansas Razorbacks</v>
      </c>
    </row>
    <row r="29" spans="1:9" ht="18" customHeight="1" x14ac:dyDescent="0.25">
      <c r="A29" s="89" t="s">
        <v>115</v>
      </c>
      <c r="B29" s="94" t="str">
        <f>'📋 Bracket Input'!A32</f>
        <v>MIDWEST</v>
      </c>
      <c r="C29" s="94" t="str">
        <f>'📋 Bracket Input'!D32</f>
        <v>Virginia Cavaliers</v>
      </c>
      <c r="D29" s="82">
        <f>IFERROR(ROUND(('Enhanced Matchup Model'!$F$3*IFERROR(VLOOKUP(C29,'📊 Team Lookup'!$A$3:$H$367,7,FALSE()),1)+'Enhanced Matchup Model'!$F$4*IFERROR(VLOOKUP(E29,'📊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Lookup'!$A$3:$H$367,3,FALSE()),70)))+(-(IFERROR(VLOOKUP(C29,'📊 Team Lookup'!$A$3:$H$367,5,FALSE()),200)-IFERROR(VLOOKUP(E29,'📊 Team Lookup'!$A$3:$H$367,5,FALSE()),200))*'Enhanced Matchup Model'!$F$8),1),0)</f>
        <v>76.400000000000006</v>
      </c>
      <c r="E29" s="94" t="str">
        <f>'📋 Bracket Input'!G32</f>
        <v>High Point Panthers</v>
      </c>
      <c r="F29" s="82">
        <f>IFERROR(ROUND(('Enhanced Matchup Model'!$F$3*IFERROR(VLOOKUP(E29,'📊 Team Lookup'!$A$3:$H$367,7,FALSE()),1)+'Enhanced Matchup Model'!$F$4*IFERROR(VLOOKUP(C29,'📊 Team Lookup'!$A$3:$H$367,8,FALSE()),1.05))*(0.65*MIN(IFERROR(VLOOKUP(C29,'📊 Team Lookup'!$A$3:$H$367,3,FALSE()),70),IFERROR(VLOOKUP(E29,'📊 Team Lookup'!$A$3:$H$367,3,FALSE()),70))+0.35*MAX(IFERROR(VLOOKUP(C29,'📊 Team Lookup'!$A$3:$H$367,3,FALSE()),70),IFERROR(VLOOKUP(E29,'📊 Team Lookup'!$A$3:$H$367,3,FALSE()),70)))+(-(IFERROR(VLOOKUP(E29,'📊 Team Lookup'!$A$3:$H$367,5,FALSE()),200)-IFERROR(VLOOKUP(C29,'📊 Team Lookup'!$A$3:$H$367,5,FALSE()),200))*'Enhanced Matchup Model'!$F$8),1),0)</f>
        <v>56.1</v>
      </c>
      <c r="G29" s="91">
        <f t="shared" si="0"/>
        <v>20.300000000000004</v>
      </c>
      <c r="H29" s="92">
        <f t="shared" si="1"/>
        <v>0.94784643692158232</v>
      </c>
      <c r="I29" s="85" t="str">
        <f t="shared" si="2"/>
        <v>Virginia Cavaliers</v>
      </c>
    </row>
    <row r="30" spans="1:9" ht="18" customHeight="1" x14ac:dyDescent="0.25">
      <c r="A30" s="89" t="s">
        <v>115</v>
      </c>
      <c r="B30" s="94" t="str">
        <f>'📋 Bracket Input'!A33</f>
        <v>MIDWEST</v>
      </c>
      <c r="C30" s="94" t="str">
        <f>'📋 Bracket Input'!D33</f>
        <v>BYU Cougars</v>
      </c>
      <c r="D30" s="82">
        <f>IFERROR(ROUND(('Enhanced Matchup Model'!$F$3*IFERROR(VLOOKUP(C30,'📊 Team Lookup'!$A$3:$H$367,7,FALSE()),1)+'Enhanced Matchup Model'!$F$4*IFERROR(VLOOKUP(E30,'📊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Lookup'!$A$3:$H$367,3,FALSE()),70)))+(-(IFERROR(VLOOKUP(C30,'📊 Team Lookup'!$A$3:$H$367,5,FALSE()),200)-IFERROR(VLOOKUP(E30,'📊 Team Lookup'!$A$3:$H$367,5,FALSE()),200))*'Enhanced Matchup Model'!$F$8),1),0)</f>
        <v>68</v>
      </c>
      <c r="E30" s="94" t="str">
        <f>'📋 Bracket Input'!G33</f>
        <v>Ohio State Buckeyes</v>
      </c>
      <c r="F30" s="82">
        <f>IFERROR(ROUND(('Enhanced Matchup Model'!$F$3*IFERROR(VLOOKUP(E30,'📊 Team Lookup'!$A$3:$H$367,7,FALSE()),1)+'Enhanced Matchup Model'!$F$4*IFERROR(VLOOKUP(C30,'📊 Team Lookup'!$A$3:$H$367,8,FALSE()),1.05))*(0.65*MIN(IFERROR(VLOOKUP(C30,'📊 Team Lookup'!$A$3:$H$367,3,FALSE()),70),IFERROR(VLOOKUP(E30,'📊 Team Lookup'!$A$3:$H$367,3,FALSE()),70))+0.35*MAX(IFERROR(VLOOKUP(C30,'📊 Team Lookup'!$A$3:$H$367,3,FALSE()),70),IFERROR(VLOOKUP(E30,'📊 Team Lookup'!$A$3:$H$367,3,FALSE()),70)))+(-(IFERROR(VLOOKUP(E30,'📊 Team Lookup'!$A$3:$H$367,5,FALSE()),200)-IFERROR(VLOOKUP(C30,'📊 Team Lookup'!$A$3:$H$367,5,FALSE()),200))*'Enhanced Matchup Model'!$F$8),1),0)</f>
        <v>67.099999999999994</v>
      </c>
      <c r="G30" s="91">
        <f t="shared" si="0"/>
        <v>0.90000000000000568</v>
      </c>
      <c r="H30" s="92">
        <f t="shared" si="1"/>
        <v>0.53209865178991844</v>
      </c>
      <c r="I30" s="85" t="str">
        <f t="shared" si="2"/>
        <v>BYU Cougars</v>
      </c>
    </row>
    <row r="31" spans="1:9" ht="18" customHeight="1" x14ac:dyDescent="0.25">
      <c r="A31" s="89" t="s">
        <v>115</v>
      </c>
      <c r="B31" s="94" t="str">
        <f>'📋 Bracket Input'!A34</f>
        <v>MIDWEST</v>
      </c>
      <c r="C31" s="94" t="str">
        <f>'📋 Bracket Input'!D34</f>
        <v>Nebraska Cornhuskers</v>
      </c>
      <c r="D31" s="82">
        <f>IFERROR(ROUND(('Enhanced Matchup Model'!$F$3*IFERROR(VLOOKUP(C31,'📊 Team Lookup'!$A$3:$H$367,7,FALSE()),1)+'Enhanced Matchup Model'!$F$4*IFERROR(VLOOKUP(E31,'📊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Lookup'!$A$3:$H$367,3,FALSE()),70)))+(-(IFERROR(VLOOKUP(C31,'📊 Team Lookup'!$A$3:$H$367,5,FALSE()),200)-IFERROR(VLOOKUP(E31,'📊 Team Lookup'!$A$3:$H$367,5,FALSE()),200))*'Enhanced Matchup Model'!$F$8),1),0)</f>
        <v>69</v>
      </c>
      <c r="E31" s="94" t="str">
        <f>'📋 Bracket Input'!G34</f>
        <v>Troy Trojans</v>
      </c>
      <c r="F31" s="82">
        <f>IFERROR(ROUND(('Enhanced Matchup Model'!$F$3*IFERROR(VLOOKUP(E31,'📊 Team Lookup'!$A$3:$H$367,7,FALSE()),1)+'Enhanced Matchup Model'!$F$4*IFERROR(VLOOKUP(C31,'📊 Team Lookup'!$A$3:$H$367,8,FALSE()),1.05))*(0.65*MIN(IFERROR(VLOOKUP(C31,'📊 Team Lookup'!$A$3:$H$367,3,FALSE()),70),IFERROR(VLOOKUP(E31,'📊 Team Lookup'!$A$3:$H$367,3,FALSE()),70))+0.35*MAX(IFERROR(VLOOKUP(C31,'📊 Team Lookup'!$A$3:$H$367,3,FALSE()),70),IFERROR(VLOOKUP(E31,'📊 Team Lookup'!$A$3:$H$367,3,FALSE()),70)))+(-(IFERROR(VLOOKUP(E31,'📊 Team Lookup'!$A$3:$H$367,5,FALSE()),200)-IFERROR(VLOOKUP(C31,'📊 Team Lookup'!$A$3:$H$367,5,FALSE()),200))*'Enhanced Matchup Model'!$F$8),1),0)</f>
        <v>59.4</v>
      </c>
      <c r="G31" s="91">
        <f t="shared" si="0"/>
        <v>9.6000000000000014</v>
      </c>
      <c r="H31" s="92">
        <f t="shared" si="1"/>
        <v>0.79761086272383264</v>
      </c>
      <c r="I31" s="85" t="str">
        <f t="shared" si="2"/>
        <v>Nebraska Cornhuskers</v>
      </c>
    </row>
    <row r="32" spans="1:9" ht="18" customHeight="1" x14ac:dyDescent="0.25">
      <c r="A32" s="89" t="s">
        <v>115</v>
      </c>
      <c r="B32" s="94" t="str">
        <f>'📋 Bracket Input'!A35</f>
        <v>MIDWEST</v>
      </c>
      <c r="C32" s="94" t="str">
        <f>'📋 Bracket Input'!D35</f>
        <v>Wisconsin Badgers</v>
      </c>
      <c r="D32" s="82">
        <f>IFERROR(ROUND(('Enhanced Matchup Model'!$F$3*IFERROR(VLOOKUP(C32,'📊 Team Lookup'!$A$3:$H$367,7,FALSE()),1)+'Enhanced Matchup Model'!$F$4*IFERROR(VLOOKUP(E32,'📊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Lookup'!$A$3:$H$367,3,FALSE()),70)))+(-(IFERROR(VLOOKUP(C32,'📊 Team Lookup'!$A$3:$H$367,5,FALSE()),200)-IFERROR(VLOOKUP(E32,'📊 Team Lookup'!$A$3:$H$367,5,FALSE()),200))*'Enhanced Matchup Model'!$F$8),1),0)</f>
        <v>70.7</v>
      </c>
      <c r="E32" s="94" t="str">
        <f>'📋 Bracket Input'!G35</f>
        <v>Texas A&amp;M Aggies</v>
      </c>
      <c r="F32" s="82">
        <f>IFERROR(ROUND(('Enhanced Matchup Model'!$F$3*IFERROR(VLOOKUP(E32,'📊 Team Lookup'!$A$3:$H$367,7,FALSE()),1)+'Enhanced Matchup Model'!$F$4*IFERROR(VLOOKUP(C32,'📊 Team Lookup'!$A$3:$H$367,8,FALSE()),1.05))*(0.65*MIN(IFERROR(VLOOKUP(C32,'📊 Team Lookup'!$A$3:$H$367,3,FALSE()),70),IFERROR(VLOOKUP(E32,'📊 Team Lookup'!$A$3:$H$367,3,FALSE()),70))+0.35*MAX(IFERROR(VLOOKUP(C32,'📊 Team Lookup'!$A$3:$H$367,3,FALSE()),70),IFERROR(VLOOKUP(E32,'📊 Team Lookup'!$A$3:$H$367,3,FALSE()),70)))+(-(IFERROR(VLOOKUP(E32,'📊 Team Lookup'!$A$3:$H$367,5,FALSE()),200)-IFERROR(VLOOKUP(C32,'📊 Team Lookup'!$A$3:$H$367,5,FALSE()),200))*'Enhanced Matchup Model'!$F$8),1),0)</f>
        <v>69.599999999999994</v>
      </c>
      <c r="G32" s="91">
        <f t="shared" si="0"/>
        <v>1.1000000000000085</v>
      </c>
      <c r="H32" s="92">
        <f t="shared" si="1"/>
        <v>0.53920507036945498</v>
      </c>
      <c r="I32" s="85" t="str">
        <f t="shared" si="2"/>
        <v>Wisconsin Badgers</v>
      </c>
    </row>
    <row r="33" spans="1:9" ht="18" customHeight="1" x14ac:dyDescent="0.25">
      <c r="A33" s="89" t="s">
        <v>115</v>
      </c>
      <c r="B33" s="94" t="str">
        <f>'📋 Bracket Input'!A36</f>
        <v>MIDWEST</v>
      </c>
      <c r="C33" s="94" t="str">
        <f>'📋 Bracket Input'!D36</f>
        <v>Houston Cougars</v>
      </c>
      <c r="D33" s="82">
        <f>IFERROR(ROUND(('Enhanced Matchup Model'!$F$3*IFERROR(VLOOKUP(C33,'📊 Team Lookup'!$A$3:$H$367,7,FALSE()),1)+'Enhanced Matchup Model'!$F$4*IFERROR(VLOOKUP(E33,'📊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Lookup'!$A$3:$H$367,3,FALSE()),70)))+(-(IFERROR(VLOOKUP(C33,'📊 Team Lookup'!$A$3:$H$367,5,FALSE()),200)-IFERROR(VLOOKUP(E33,'📊 Team Lookup'!$A$3:$H$367,5,FALSE()),200))*'Enhanced Matchup Model'!$F$8),1),0)</f>
        <v>72.599999999999994</v>
      </c>
      <c r="E33" s="94" t="str">
        <f>'📋 Bracket Input'!G36</f>
        <v>Austin Peay Governors</v>
      </c>
      <c r="F33" s="82">
        <f>IFERROR(ROUND(('Enhanced Matchup Model'!$F$3*IFERROR(VLOOKUP(E33,'📊 Team Lookup'!$A$3:$H$367,7,FALSE()),1)+'Enhanced Matchup Model'!$F$4*IFERROR(VLOOKUP(C33,'📊 Team Lookup'!$A$3:$H$367,8,FALSE()),1.05))*(0.65*MIN(IFERROR(VLOOKUP(C33,'📊 Team Lookup'!$A$3:$H$367,3,FALSE()),70),IFERROR(VLOOKUP(E33,'📊 Team Lookup'!$A$3:$H$367,3,FALSE()),70))+0.35*MAX(IFERROR(VLOOKUP(C33,'📊 Team Lookup'!$A$3:$H$367,3,FALSE()),70),IFERROR(VLOOKUP(E33,'📊 Team Lookup'!$A$3:$H$367,3,FALSE()),70)))+(-(IFERROR(VLOOKUP(E33,'📊 Team Lookup'!$A$3:$H$367,5,FALSE()),200)-IFERROR(VLOOKUP(C33,'📊 Team Lookup'!$A$3:$H$367,5,FALSE()),200))*'Enhanced Matchup Model'!$F$8),1),0)</f>
        <v>53.7</v>
      </c>
      <c r="G33" s="91">
        <f t="shared" si="0"/>
        <v>18.899999999999991</v>
      </c>
      <c r="H33" s="92">
        <f t="shared" si="1"/>
        <v>0.9370266439430035</v>
      </c>
      <c r="I33" s="85" t="str">
        <f t="shared" si="2"/>
        <v>Houston Cougars</v>
      </c>
    </row>
    <row r="34" spans="1:9" ht="18" customHeight="1" x14ac:dyDescent="0.25">
      <c r="A34" s="89" t="s">
        <v>115</v>
      </c>
      <c r="B34" s="95" t="str">
        <f>'📋 Bracket Input'!A39</f>
        <v>WEST</v>
      </c>
      <c r="C34" s="95" t="str">
        <f>'📋 Bracket Input'!D39</f>
        <v>Arizona Wildcats</v>
      </c>
      <c r="D34" s="82">
        <f>IFERROR(ROUND(('Enhanced Matchup Model'!$F$3*IFERROR(VLOOKUP(C34,'📊 Team Lookup'!$A$3:$H$367,7,FALSE()),1)+'Enhanced Matchup Model'!$F$4*IFERROR(VLOOKUP(E34,'📊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Lookup'!$A$3:$H$367,3,FALSE()),70)))+(-(IFERROR(VLOOKUP(C34,'📊 Team Lookup'!$A$3:$H$367,5,FALSE()),200)-IFERROR(VLOOKUP(E34,'📊 Team Lookup'!$A$3:$H$367,5,FALSE()),200))*'Enhanced Matchup Model'!$F$8),1),0)</f>
        <v>80.8</v>
      </c>
      <c r="E34" s="95" t="str">
        <f>'📋 Bracket Input'!G39</f>
        <v>Tennessee State Tigers</v>
      </c>
      <c r="F34" s="82">
        <f>IFERROR(ROUND(('Enhanced Matchup Model'!$F$3*IFERROR(VLOOKUP(E34,'📊 Team Lookup'!$A$3:$H$367,7,FALSE()),1)+'Enhanced Matchup Model'!$F$4*IFERROR(VLOOKUP(C34,'📊 Team Lookup'!$A$3:$H$367,8,FALSE()),1.05))*(0.65*MIN(IFERROR(VLOOKUP(C34,'📊 Team Lookup'!$A$3:$H$367,3,FALSE()),70),IFERROR(VLOOKUP(E34,'📊 Team Lookup'!$A$3:$H$367,3,FALSE()),70))+0.35*MAX(IFERROR(VLOOKUP(C34,'📊 Team Lookup'!$A$3:$H$367,3,FALSE()),70),IFERROR(VLOOKUP(E34,'📊 Team Lookup'!$A$3:$H$367,3,FALSE()),70)))+(-(IFERROR(VLOOKUP(E34,'📊 Team Lookup'!$A$3:$H$367,5,FALSE()),200)-IFERROR(VLOOKUP(C34,'📊 Team Lookup'!$A$3:$H$367,5,FALSE()),200))*'Enhanced Matchup Model'!$F$8),1),0)</f>
        <v>53.1</v>
      </c>
      <c r="G34" s="91">
        <f t="shared" si="0"/>
        <v>27.699999999999996</v>
      </c>
      <c r="H34" s="92">
        <f t="shared" si="1"/>
        <v>0.98124097049921444</v>
      </c>
      <c r="I34" s="85" t="str">
        <f t="shared" si="2"/>
        <v>Arizona Wildcats</v>
      </c>
    </row>
    <row r="35" spans="1:9" ht="18" customHeight="1" x14ac:dyDescent="0.25">
      <c r="A35" s="89" t="s">
        <v>115</v>
      </c>
      <c r="B35" s="95" t="str">
        <f>'📋 Bracket Input'!A40</f>
        <v>WEST</v>
      </c>
      <c r="C35" s="95" t="str">
        <f>'📋 Bracket Input'!D40</f>
        <v>Miami Hurricanes</v>
      </c>
      <c r="D35" s="82">
        <f>IFERROR(ROUND(('Enhanced Matchup Model'!$F$3*IFERROR(VLOOKUP(C35,'📊 Team Lookup'!$A$3:$H$367,7,FALSE()),1)+'Enhanced Matchup Model'!$F$4*IFERROR(VLOOKUP(E35,'📊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Lookup'!$A$3:$H$367,3,FALSE()),70)))+(-(IFERROR(VLOOKUP(C35,'📊 Team Lookup'!$A$3:$H$367,5,FALSE()),200)-IFERROR(VLOOKUP(E35,'📊 Team Lookup'!$A$3:$H$367,5,FALSE()),200))*'Enhanced Matchup Model'!$F$8),1),0)</f>
        <v>69.5</v>
      </c>
      <c r="E35" s="95" t="str">
        <f>'📋 Bracket Input'!G40</f>
        <v>Georgia Bulldogs</v>
      </c>
      <c r="F35" s="82">
        <f>IFERROR(ROUND(('Enhanced Matchup Model'!$F$3*IFERROR(VLOOKUP(E35,'📊 Team Lookup'!$A$3:$H$367,7,FALSE()),1)+'Enhanced Matchup Model'!$F$4*IFERROR(VLOOKUP(C35,'📊 Team Lookup'!$A$3:$H$367,8,FALSE()),1.05))*(0.65*MIN(IFERROR(VLOOKUP(C35,'📊 Team Lookup'!$A$3:$H$367,3,FALSE()),70),IFERROR(VLOOKUP(E35,'📊 Team Lookup'!$A$3:$H$367,3,FALSE()),70))+0.35*MAX(IFERROR(VLOOKUP(C35,'📊 Team Lookup'!$A$3:$H$367,3,FALSE()),70),IFERROR(VLOOKUP(E35,'📊 Team Lookup'!$A$3:$H$367,3,FALSE()),70)))+(-(IFERROR(VLOOKUP(E35,'📊 Team Lookup'!$A$3:$H$367,5,FALSE()),200)-IFERROR(VLOOKUP(C35,'📊 Team Lookup'!$A$3:$H$367,5,FALSE()),200))*'Enhanced Matchup Model'!$F$8),1),0)</f>
        <v>68.7</v>
      </c>
      <c r="G35" s="91">
        <f t="shared" si="0"/>
        <v>0.79999999999999716</v>
      </c>
      <c r="H35" s="92">
        <f t="shared" si="1"/>
        <v>0.52854037098226514</v>
      </c>
      <c r="I35" s="85" t="str">
        <f t="shared" si="2"/>
        <v>Miami Hurricanes</v>
      </c>
    </row>
    <row r="36" spans="1:9" ht="18" customHeight="1" x14ac:dyDescent="0.25">
      <c r="A36" s="89" t="s">
        <v>115</v>
      </c>
      <c r="B36" s="95" t="str">
        <f>'📋 Bracket Input'!A41</f>
        <v>WEST</v>
      </c>
      <c r="C36" s="95" t="str">
        <f>'📋 Bracket Input'!D41</f>
        <v>North Carolina Tar Heels</v>
      </c>
      <c r="D36" s="82">
        <f>IFERROR(ROUND(('Enhanced Matchup Model'!$F$3*IFERROR(VLOOKUP(C36,'📊 Team Lookup'!$A$3:$H$367,7,FALSE()),1)+'Enhanced Matchup Model'!$F$4*IFERROR(VLOOKUP(E36,'📊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Lookup'!$A$3:$H$367,3,FALSE()),70)))+(-(IFERROR(VLOOKUP(C36,'📊 Team Lookup'!$A$3:$H$367,5,FALSE()),200)-IFERROR(VLOOKUP(E36,'📊 Team Lookup'!$A$3:$H$367,5,FALSE()),200))*'Enhanced Matchup Model'!$F$8),1),0)</f>
        <v>68.099999999999994</v>
      </c>
      <c r="E36" s="95" t="str">
        <f>'📋 Bracket Input'!G41</f>
        <v>Belmont Bruins</v>
      </c>
      <c r="F36" s="82">
        <f>IFERROR(ROUND(('Enhanced Matchup Model'!$F$3*IFERROR(VLOOKUP(E36,'📊 Team Lookup'!$A$3:$H$367,7,FALSE()),1)+'Enhanced Matchup Model'!$F$4*IFERROR(VLOOKUP(C36,'📊 Team Lookup'!$A$3:$H$367,8,FALSE()),1.05))*(0.65*MIN(IFERROR(VLOOKUP(C36,'📊 Team Lookup'!$A$3:$H$367,3,FALSE()),70),IFERROR(VLOOKUP(E36,'📊 Team Lookup'!$A$3:$H$367,3,FALSE()),70))+0.35*MAX(IFERROR(VLOOKUP(C36,'📊 Team Lookup'!$A$3:$H$367,3,FALSE()),70),IFERROR(VLOOKUP(E36,'📊 Team Lookup'!$A$3:$H$367,3,FALSE()),70)))+(-(IFERROR(VLOOKUP(E36,'📊 Team Lookup'!$A$3:$H$367,5,FALSE()),200)-IFERROR(VLOOKUP(C36,'📊 Team Lookup'!$A$3:$H$367,5,FALSE()),200))*'Enhanced Matchup Model'!$F$8),1),0)</f>
        <v>65.099999999999994</v>
      </c>
      <c r="G36" s="91">
        <f t="shared" si="0"/>
        <v>3</v>
      </c>
      <c r="H36" s="92">
        <f t="shared" si="1"/>
        <v>0.60553248722058572</v>
      </c>
      <c r="I36" s="85" t="str">
        <f t="shared" si="2"/>
        <v>North Carolina Tar Heels</v>
      </c>
    </row>
    <row r="37" spans="1:9" ht="18" customHeight="1" x14ac:dyDescent="0.25">
      <c r="A37" s="89" t="s">
        <v>115</v>
      </c>
      <c r="B37" s="95" t="str">
        <f>'📋 Bracket Input'!A42</f>
        <v>WEST</v>
      </c>
      <c r="C37" s="95" t="str">
        <f>'📋 Bracket Input'!D42</f>
        <v>Alabama Crimson Tide</v>
      </c>
      <c r="D37" s="82">
        <f>IFERROR(ROUND(('Enhanced Matchup Model'!$F$3*IFERROR(VLOOKUP(C37,'📊 Team Lookup'!$A$3:$H$367,7,FALSE()),1)+'Enhanced Matchup Model'!$F$4*IFERROR(VLOOKUP(E37,'📊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Lookup'!$A$3:$H$367,3,FALSE()),70)))+(-(IFERROR(VLOOKUP(C37,'📊 Team Lookup'!$A$3:$H$367,5,FALSE()),200)-IFERROR(VLOOKUP(E37,'📊 Team Lookup'!$A$3:$H$367,5,FALSE()),200))*'Enhanced Matchup Model'!$F$8),1),0)</f>
        <v>75</v>
      </c>
      <c r="E37" s="95" t="str">
        <f>'📋 Bracket Input'!G42</f>
        <v>UNC Wilmington Seahawks</v>
      </c>
      <c r="F37" s="82">
        <f>IFERROR(ROUND(('Enhanced Matchup Model'!$F$3*IFERROR(VLOOKUP(E37,'📊 Team Lookup'!$A$3:$H$367,7,FALSE()),1)+'Enhanced Matchup Model'!$F$4*IFERROR(VLOOKUP(C37,'📊 Team Lookup'!$A$3:$H$367,8,FALSE()),1.05))*(0.65*MIN(IFERROR(VLOOKUP(C37,'📊 Team Lookup'!$A$3:$H$367,3,FALSE()),70),IFERROR(VLOOKUP(E37,'📊 Team Lookup'!$A$3:$H$367,3,FALSE()),70))+0.35*MAX(IFERROR(VLOOKUP(C37,'📊 Team Lookup'!$A$3:$H$367,3,FALSE()),70),IFERROR(VLOOKUP(E37,'📊 Team Lookup'!$A$3:$H$367,3,FALSE()),70)))+(-(IFERROR(VLOOKUP(E37,'📊 Team Lookup'!$A$3:$H$367,5,FALSE()),200)-IFERROR(VLOOKUP(C37,'📊 Team Lookup'!$A$3:$H$367,5,FALSE()),200))*'Enhanced Matchup Model'!$F$8),1),0)</f>
        <v>61.1</v>
      </c>
      <c r="G37" s="91">
        <f t="shared" si="0"/>
        <v>13.899999999999999</v>
      </c>
      <c r="H37" s="92">
        <f t="shared" si="1"/>
        <v>0.87928899133423088</v>
      </c>
      <c r="I37" s="85" t="str">
        <f t="shared" si="2"/>
        <v>Alabama Crimson Tide</v>
      </c>
    </row>
    <row r="38" spans="1:9" ht="18" customHeight="1" x14ac:dyDescent="0.25">
      <c r="A38" s="89" t="s">
        <v>115</v>
      </c>
      <c r="B38" s="95" t="str">
        <f>'📋 Bracket Input'!A44</f>
        <v>WEST</v>
      </c>
      <c r="C38" s="95" t="str">
        <f>'📋 Bracket Input'!D44</f>
        <v>Kentucky Wildcats</v>
      </c>
      <c r="D38" s="82">
        <f>IFERROR(ROUND(('Enhanced Matchup Model'!$F$3*IFERROR(VLOOKUP(C38,'📊 Team Lookup'!$A$3:$H$367,7,FALSE()),1)+'Enhanced Matchup Model'!$F$4*IFERROR(VLOOKUP(E38,'📊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Lookup'!$A$3:$H$367,3,FALSE()),70)))+(-(IFERROR(VLOOKUP(C38,'📊 Team Lookup'!$A$3:$H$367,5,FALSE()),200)-IFERROR(VLOOKUP(E38,'📊 Team Lookup'!$A$3:$H$367,5,FALSE()),200))*'Enhanced Matchup Model'!$F$8),1),0)</f>
        <v>67.099999999999994</v>
      </c>
      <c r="E38" s="95" t="str">
        <f>I8</f>
        <v>Indiana Hoosiers</v>
      </c>
      <c r="F38" s="82">
        <f>IFERROR(ROUND(('Enhanced Matchup Model'!$F$3*IFERROR(VLOOKUP(E38,'📊 Team Lookup'!$A$3:$H$367,7,FALSE()),1)+'Enhanced Matchup Model'!$F$4*IFERROR(VLOOKUP(C38,'📊 Team Lookup'!$A$3:$H$367,8,FALSE()),1.05))*(0.65*MIN(IFERROR(VLOOKUP(C38,'📊 Team Lookup'!$A$3:$H$367,3,FALSE()),70),IFERROR(VLOOKUP(E38,'📊 Team Lookup'!$A$3:$H$367,3,FALSE()),70))+0.35*MAX(IFERROR(VLOOKUP(C38,'📊 Team Lookup'!$A$3:$H$367,3,FALSE()),70),IFERROR(VLOOKUP(E38,'📊 Team Lookup'!$A$3:$H$367,3,FALSE()),70)))+(-(IFERROR(VLOOKUP(E38,'📊 Team Lookup'!$A$3:$H$367,5,FALSE()),200)-IFERROR(VLOOKUP(C38,'📊 Team Lookup'!$A$3:$H$367,5,FALSE()),200))*'Enhanced Matchup Model'!$F$8),1),0)</f>
        <v>65</v>
      </c>
      <c r="G38" s="91">
        <f t="shared" si="0"/>
        <v>2.0999999999999943</v>
      </c>
      <c r="H38" s="92">
        <f t="shared" si="1"/>
        <v>0.57444251681165881</v>
      </c>
      <c r="I38" s="85" t="str">
        <f t="shared" si="2"/>
        <v>Kentucky Wildcats</v>
      </c>
    </row>
    <row r="39" spans="1:9" ht="18" customHeight="1" x14ac:dyDescent="0.25">
      <c r="A39" s="89" t="s">
        <v>115</v>
      </c>
      <c r="B39" s="95" t="str">
        <f>'📋 Bracket Input'!A45</f>
        <v>WEST</v>
      </c>
      <c r="C39" s="95" t="str">
        <f>'📋 Bracket Input'!D45</f>
        <v>Texas Tech Red Raiders</v>
      </c>
      <c r="D39" s="82">
        <f>IFERROR(ROUND(('Enhanced Matchup Model'!$F$3*IFERROR(VLOOKUP(C39,'📊 Team Lookup'!$A$3:$H$367,7,FALSE()),1)+'Enhanced Matchup Model'!$F$4*IFERROR(VLOOKUP(E39,'📊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Lookup'!$A$3:$H$367,3,FALSE()),70)))+(-(IFERROR(VLOOKUP(C39,'📊 Team Lookup'!$A$3:$H$367,5,FALSE()),200)-IFERROR(VLOOKUP(E39,'📊 Team Lookup'!$A$3:$H$367,5,FALSE()),200))*'Enhanced Matchup Model'!$F$8),1),0)</f>
        <v>75.8</v>
      </c>
      <c r="E39" s="95" t="str">
        <f>'📋 Bracket Input'!G45</f>
        <v>North Dakota State Bison</v>
      </c>
      <c r="F39" s="82">
        <f>IFERROR(ROUND(('Enhanced Matchup Model'!$F$3*IFERROR(VLOOKUP(E39,'📊 Team Lookup'!$A$3:$H$367,7,FALSE()),1)+'Enhanced Matchup Model'!$F$4*IFERROR(VLOOKUP(C39,'📊 Team Lookup'!$A$3:$H$367,8,FALSE()),1.05))*(0.65*MIN(IFERROR(VLOOKUP(C39,'📊 Team Lookup'!$A$3:$H$367,3,FALSE()),70),IFERROR(VLOOKUP(E39,'📊 Team Lookup'!$A$3:$H$367,3,FALSE()),70))+0.35*MAX(IFERROR(VLOOKUP(C39,'📊 Team Lookup'!$A$3:$H$367,3,FALSE()),70),IFERROR(VLOOKUP(E39,'📊 Team Lookup'!$A$3:$H$367,3,FALSE()),70)))+(-(IFERROR(VLOOKUP(E39,'📊 Team Lookup'!$A$3:$H$367,5,FALSE()),200)-IFERROR(VLOOKUP(C39,'📊 Team Lookup'!$A$3:$H$367,5,FALSE()),200))*'Enhanced Matchup Model'!$F$8),1),0)</f>
        <v>56.2</v>
      </c>
      <c r="G39" s="91">
        <f t="shared" si="0"/>
        <v>19.599999999999994</v>
      </c>
      <c r="H39" s="92">
        <f t="shared" si="1"/>
        <v>0.94267582410113127</v>
      </c>
      <c r="I39" s="85" t="str">
        <f t="shared" si="2"/>
        <v>Texas Tech Red Raiders</v>
      </c>
    </row>
    <row r="40" spans="1:9" ht="18" customHeight="1" x14ac:dyDescent="0.25">
      <c r="A40" s="89" t="s">
        <v>115</v>
      </c>
      <c r="B40" s="95" t="str">
        <f>'📋 Bracket Input'!A46</f>
        <v>WEST</v>
      </c>
      <c r="C40" s="95" t="str">
        <f>'📋 Bracket Input'!D46</f>
        <v>Saint Mary's Gaels</v>
      </c>
      <c r="D40" s="82">
        <f>IFERROR(ROUND(('Enhanced Matchup Model'!$F$3*IFERROR(VLOOKUP(C40,'📊 Team Lookup'!$A$3:$H$367,7,FALSE()),1)+'Enhanced Matchup Model'!$F$4*IFERROR(VLOOKUP(E40,'📊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Lookup'!$A$3:$H$367,3,FALSE()),70)))+(-(IFERROR(VLOOKUP(C40,'📊 Team Lookup'!$A$3:$H$367,5,FALSE()),200)-IFERROR(VLOOKUP(E40,'📊 Team Lookup'!$A$3:$H$367,5,FALSE()),200))*'Enhanced Matchup Model'!$F$8),1),0)</f>
        <v>67.599999999999994</v>
      </c>
      <c r="E40" s="95" t="str">
        <f>'📋 Bracket Input'!G46</f>
        <v>SMU Mustangs</v>
      </c>
      <c r="F40" s="82">
        <f>IFERROR(ROUND(('Enhanced Matchup Model'!$F$3*IFERROR(VLOOKUP(E40,'📊 Team Lookup'!$A$3:$H$367,7,FALSE()),1)+'Enhanced Matchup Model'!$F$4*IFERROR(VLOOKUP(C40,'📊 Team Lookup'!$A$3:$H$367,8,FALSE()),1.05))*(0.65*MIN(IFERROR(VLOOKUP(C40,'📊 Team Lookup'!$A$3:$H$367,3,FALSE()),70),IFERROR(VLOOKUP(E40,'📊 Team Lookup'!$A$3:$H$367,3,FALSE()),70))+0.35*MAX(IFERROR(VLOOKUP(C40,'📊 Team Lookup'!$A$3:$H$367,3,FALSE()),70),IFERROR(VLOOKUP(E40,'📊 Team Lookup'!$A$3:$H$367,3,FALSE()),70)))+(-(IFERROR(VLOOKUP(E40,'📊 Team Lookup'!$A$3:$H$367,5,FALSE()),200)-IFERROR(VLOOKUP(C40,'📊 Team Lookup'!$A$3:$H$367,5,FALSE()),200))*'Enhanced Matchup Model'!$F$8),1),0)</f>
        <v>63.6</v>
      </c>
      <c r="G40" s="91">
        <f t="shared" si="0"/>
        <v>3.9999999999999929</v>
      </c>
      <c r="H40" s="92">
        <f t="shared" si="1"/>
        <v>0.63909274516285097</v>
      </c>
      <c r="I40" s="85" t="str">
        <f t="shared" si="2"/>
        <v>Saint Mary's Gaels</v>
      </c>
    </row>
    <row r="41" spans="1:9" ht="18" customHeight="1" x14ac:dyDescent="0.25">
      <c r="A41" s="89" t="s">
        <v>115</v>
      </c>
      <c r="B41" s="95" t="str">
        <f>'📋 Bracket Input'!A47</f>
        <v>WEST</v>
      </c>
      <c r="C41" s="95" t="str">
        <f>'📋 Bracket Input'!D47</f>
        <v>Michigan State Spartans</v>
      </c>
      <c r="D41" s="82">
        <f>IFERROR(ROUND(('Enhanced Matchup Model'!$F$3*IFERROR(VLOOKUP(C41,'📊 Team Lookup'!$A$3:$H$367,7,FALSE()),1)+'Enhanced Matchup Model'!$F$4*IFERROR(VLOOKUP(E41,'📊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Lookup'!$A$3:$H$367,3,FALSE()),70)))+(-(IFERROR(VLOOKUP(C41,'📊 Team Lookup'!$A$3:$H$367,5,FALSE()),200)-IFERROR(VLOOKUP(E41,'📊 Team Lookup'!$A$3:$H$367,5,FALSE()),200))*'Enhanced Matchup Model'!$F$8),1),0)</f>
        <v>72.3</v>
      </c>
      <c r="E41" s="95" t="str">
        <f>'📋 Bracket Input'!G47</f>
        <v>Portland State Vikings</v>
      </c>
      <c r="F41" s="82">
        <f>IFERROR(ROUND(('Enhanced Matchup Model'!$F$3*IFERROR(VLOOKUP(E41,'📊 Team Lookup'!$A$3:$H$367,7,FALSE()),1)+'Enhanced Matchup Model'!$F$4*IFERROR(VLOOKUP(C41,'📊 Team Lookup'!$A$3:$H$367,8,FALSE()),1.05))*(0.65*MIN(IFERROR(VLOOKUP(C41,'📊 Team Lookup'!$A$3:$H$367,3,FALSE()),70),IFERROR(VLOOKUP(E41,'📊 Team Lookup'!$A$3:$H$367,3,FALSE()),70))+0.35*MAX(IFERROR(VLOOKUP(C41,'📊 Team Lookup'!$A$3:$H$367,3,FALSE()),70),IFERROR(VLOOKUP(E41,'📊 Team Lookup'!$A$3:$H$367,3,FALSE()),70)))+(-(IFERROR(VLOOKUP(E41,'📊 Team Lookup'!$A$3:$H$367,5,FALSE()),200)-IFERROR(VLOOKUP(C41,'📊 Team Lookup'!$A$3:$H$367,5,FALSE()),200))*'Enhanced Matchup Model'!$F$8),1),0)</f>
        <v>53.9</v>
      </c>
      <c r="G41" s="91">
        <f t="shared" si="0"/>
        <v>18.399999999999999</v>
      </c>
      <c r="H41" s="92">
        <f t="shared" si="1"/>
        <v>0.93267790507977577</v>
      </c>
      <c r="I41" s="85" t="str">
        <f t="shared" si="2"/>
        <v>Michigan State Spartans</v>
      </c>
    </row>
    <row r="42" spans="1:9" ht="18" customHeight="1" x14ac:dyDescent="0.25">
      <c r="A42" s="96" t="s">
        <v>116</v>
      </c>
    </row>
    <row r="43" spans="1:9" ht="18" customHeight="1" x14ac:dyDescent="0.25">
      <c r="A43" s="97" t="s">
        <v>117</v>
      </c>
      <c r="B43" s="98" t="s">
        <v>10</v>
      </c>
      <c r="C43" s="99" t="str">
        <f>I10</f>
        <v>Duke Blue Devils</v>
      </c>
      <c r="D43" s="82">
        <f>IFERROR(ROUND(('Enhanced Matchup Model'!$F$3*IFERROR(VLOOKUP(C43,'📊 Team Lookup'!$A$3:$H$367,7,FALSE()),1)+'Enhanced Matchup Model'!$F$4*IFERROR(VLOOKUP(E43,'📊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Lookup'!$A$3:$H$367,3,FALSE()),70)))+(-(IFERROR(VLOOKUP(C43,'📊 Team Lookup'!$A$3:$H$367,5,FALSE()),200)-IFERROR(VLOOKUP(E43,'📊 Team Lookup'!$A$3:$H$367,5,FALSE()),200))*'Enhanced Matchup Model'!$F$8),1),0)</f>
        <v>71</v>
      </c>
      <c r="E43" s="99" t="str">
        <f>I11</f>
        <v>UCF Knights</v>
      </c>
      <c r="F43" s="82">
        <f>IFERROR(ROUND(('Enhanced Matchup Model'!$F$3*IFERROR(VLOOKUP(E43,'📊 Team Lookup'!$A$3:$H$367,7,FALSE()),1)+'Enhanced Matchup Model'!$F$4*IFERROR(VLOOKUP(C43,'📊 Team Lookup'!$A$3:$H$367,8,FALSE()),1.05))*(0.65*MIN(IFERROR(VLOOKUP(C43,'📊 Team Lookup'!$A$3:$H$367,3,FALSE()),70),IFERROR(VLOOKUP(E43,'📊 Team Lookup'!$A$3:$H$367,3,FALSE()),70))+0.35*MAX(IFERROR(VLOOKUP(C43,'📊 Team Lookup'!$A$3:$H$367,3,FALSE()),70),IFERROR(VLOOKUP(E43,'📊 Team Lookup'!$A$3:$H$367,3,FALSE()),70)))+(-(IFERROR(VLOOKUP(E43,'📊 Team Lookup'!$A$3:$H$367,5,FALSE()),200)-IFERROR(VLOOKUP(C43,'📊 Team Lookup'!$A$3:$H$367,5,FALSE()),200))*'Enhanced Matchup Model'!$F$8),1),0)</f>
        <v>61.5</v>
      </c>
      <c r="G43" s="100">
        <f t="shared" ref="G43:G58" si="3">D43-F43</f>
        <v>9.5</v>
      </c>
      <c r="H43" s="101">
        <f t="shared" ref="H43:H58" si="4">IFERROR(1/(1+EXP(-G43/7)),0.5)</f>
        <v>0.79529494472803752</v>
      </c>
      <c r="I43" s="85" t="str">
        <f t="shared" ref="I43:I58" si="5">IF(H43&gt;0.5,C43,E43)</f>
        <v>Duke Blue Devils</v>
      </c>
    </row>
    <row r="44" spans="1:9" ht="18" customHeight="1" x14ac:dyDescent="0.25">
      <c r="A44" s="97" t="s">
        <v>117</v>
      </c>
      <c r="B44" s="98" t="s">
        <v>10</v>
      </c>
      <c r="C44" s="99" t="str">
        <f>I13</f>
        <v>Gonzaga Bulldogs</v>
      </c>
      <c r="D44" s="82">
        <f>IFERROR(ROUND(('Enhanced Matchup Model'!$F$3*IFERROR(VLOOKUP(C44,'📊 Team Lookup'!$A$3:$H$367,7,FALSE()),1)+'Enhanced Matchup Model'!$F$4*IFERROR(VLOOKUP(E44,'📊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Lookup'!$A$3:$H$367,3,FALSE()),70)))+(-(IFERROR(VLOOKUP(C44,'📊 Team Lookup'!$A$3:$H$367,5,FALSE()),200)-IFERROR(VLOOKUP(E44,'📊 Team Lookup'!$A$3:$H$367,5,FALSE()),200))*'Enhanced Matchup Model'!$F$8),1),0)</f>
        <v>69.5</v>
      </c>
      <c r="E44" s="99" t="str">
        <f>I12</f>
        <v>Vanderbilt Commodores</v>
      </c>
      <c r="F44" s="82">
        <f>IFERROR(ROUND(('Enhanced Matchup Model'!$F$3*IFERROR(VLOOKUP(E44,'📊 Team Lookup'!$A$3:$H$367,7,FALSE()),1)+'Enhanced Matchup Model'!$F$4*IFERROR(VLOOKUP(C44,'📊 Team Lookup'!$A$3:$H$367,8,FALSE()),1.05))*(0.65*MIN(IFERROR(VLOOKUP(C44,'📊 Team Lookup'!$A$3:$H$367,3,FALSE()),70),IFERROR(VLOOKUP(E44,'📊 Team Lookup'!$A$3:$H$367,3,FALSE()),70))+0.35*MAX(IFERROR(VLOOKUP(C44,'📊 Team Lookup'!$A$3:$H$367,3,FALSE()),70),IFERROR(VLOOKUP(E44,'📊 Team Lookup'!$A$3:$H$367,3,FALSE()),70)))+(-(IFERROR(VLOOKUP(E44,'📊 Team Lookup'!$A$3:$H$367,5,FALSE()),200)-IFERROR(VLOOKUP(C44,'📊 Team Lookup'!$A$3:$H$367,5,FALSE()),200))*'Enhanced Matchup Model'!$F$8),1),0)</f>
        <v>67.099999999999994</v>
      </c>
      <c r="G44" s="100">
        <f t="shared" si="3"/>
        <v>2.4000000000000057</v>
      </c>
      <c r="H44" s="101">
        <f t="shared" si="4"/>
        <v>0.58488438971721979</v>
      </c>
      <c r="I44" s="85" t="str">
        <f t="shared" si="5"/>
        <v>Gonzaga Bulldogs</v>
      </c>
    </row>
    <row r="45" spans="1:9" ht="18" customHeight="1" x14ac:dyDescent="0.25">
      <c r="A45" s="97" t="s">
        <v>117</v>
      </c>
      <c r="B45" s="98" t="s">
        <v>10</v>
      </c>
      <c r="C45" s="99" t="str">
        <f>I15</f>
        <v>Iowa State Cyclones</v>
      </c>
      <c r="D45" s="82">
        <f>IFERROR(ROUND(('Enhanced Matchup Model'!$F$3*IFERROR(VLOOKUP(C45,'📊 Team Lookup'!$A$3:$H$367,7,FALSE()),1)+'Enhanced Matchup Model'!$F$4*IFERROR(VLOOKUP(E45,'📊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Lookup'!$A$3:$H$367,3,FALSE()),70)))+(-(IFERROR(VLOOKUP(C45,'📊 Team Lookup'!$A$3:$H$367,5,FALSE()),200)-IFERROR(VLOOKUP(E45,'📊 Team Lookup'!$A$3:$H$367,5,FALSE()),200))*'Enhanced Matchup Model'!$F$8),1),0)</f>
        <v>66.599999999999994</v>
      </c>
      <c r="E45" s="99" t="str">
        <f>I14</f>
        <v>Louisville Cardinals</v>
      </c>
      <c r="F45" s="82">
        <f>IFERROR(ROUND(('Enhanced Matchup Model'!$F$3*IFERROR(VLOOKUP(E45,'📊 Team Lookup'!$A$3:$H$367,7,FALSE()),1)+'Enhanced Matchup Model'!$F$4*IFERROR(VLOOKUP(C45,'📊 Team Lookup'!$A$3:$H$367,8,FALSE()),1.05))*(0.65*MIN(IFERROR(VLOOKUP(C45,'📊 Team Lookup'!$A$3:$H$367,3,FALSE()),70),IFERROR(VLOOKUP(E45,'📊 Team Lookup'!$A$3:$H$367,3,FALSE()),70))+0.35*MAX(IFERROR(VLOOKUP(C45,'📊 Team Lookup'!$A$3:$H$367,3,FALSE()),70),IFERROR(VLOOKUP(E45,'📊 Team Lookup'!$A$3:$H$367,3,FALSE()),70)))+(-(IFERROR(VLOOKUP(E45,'📊 Team Lookup'!$A$3:$H$367,5,FALSE()),200)-IFERROR(VLOOKUP(C45,'📊 Team Lookup'!$A$3:$H$367,5,FALSE()),200))*'Enhanced Matchup Model'!$F$8),1),0)</f>
        <v>65.099999999999994</v>
      </c>
      <c r="G45" s="100">
        <f t="shared" si="3"/>
        <v>1.5</v>
      </c>
      <c r="H45" s="101">
        <f t="shared" si="4"/>
        <v>0.55336737279965287</v>
      </c>
      <c r="I45" s="85" t="str">
        <f t="shared" si="5"/>
        <v>Iowa State Cyclones</v>
      </c>
    </row>
    <row r="46" spans="1:9" ht="18" customHeight="1" x14ac:dyDescent="0.25">
      <c r="A46" s="97" t="s">
        <v>117</v>
      </c>
      <c r="B46" s="98" t="s">
        <v>10</v>
      </c>
      <c r="C46" s="99" t="str">
        <f>I17</f>
        <v>Illinois Fighting Illini</v>
      </c>
      <c r="D46" s="82">
        <f>IFERROR(ROUND(('Enhanced Matchup Model'!$F$3*IFERROR(VLOOKUP(C46,'📊 Team Lookup'!$A$3:$H$367,7,FALSE()),1)+'Enhanced Matchup Model'!$F$4*IFERROR(VLOOKUP(E46,'📊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Lookup'!$A$3:$H$367,3,FALSE()),70)))+(-(IFERROR(VLOOKUP(C46,'📊 Team Lookup'!$A$3:$H$367,5,FALSE()),200)-IFERROR(VLOOKUP(E46,'📊 Team Lookup'!$A$3:$H$367,5,FALSE()),200))*'Enhanced Matchup Model'!$F$8),1),0)</f>
        <v>68.3</v>
      </c>
      <c r="E46" s="99" t="str">
        <f>I16</f>
        <v>Utah State Aggies</v>
      </c>
      <c r="F46" s="82">
        <f>IFERROR(ROUND(('Enhanced Matchup Model'!$F$3*IFERROR(VLOOKUP(E46,'📊 Team Lookup'!$A$3:$H$367,7,FALSE()),1)+'Enhanced Matchup Model'!$F$4*IFERROR(VLOOKUP(C46,'📊 Team Lookup'!$A$3:$H$367,8,FALSE()),1.05))*(0.65*MIN(IFERROR(VLOOKUP(C46,'📊 Team Lookup'!$A$3:$H$367,3,FALSE()),70),IFERROR(VLOOKUP(E46,'📊 Team Lookup'!$A$3:$H$367,3,FALSE()),70))+0.35*MAX(IFERROR(VLOOKUP(C46,'📊 Team Lookup'!$A$3:$H$367,3,FALSE()),70),IFERROR(VLOOKUP(E46,'📊 Team Lookup'!$A$3:$H$367,3,FALSE()),70)))+(-(IFERROR(VLOOKUP(E46,'📊 Team Lookup'!$A$3:$H$367,5,FALSE()),200)-IFERROR(VLOOKUP(C46,'📊 Team Lookup'!$A$3:$H$367,5,FALSE()),200))*'Enhanced Matchup Model'!$F$8),1),0)</f>
        <v>64.900000000000006</v>
      </c>
      <c r="G46" s="100">
        <f t="shared" si="3"/>
        <v>3.3999999999999915</v>
      </c>
      <c r="H46" s="101">
        <f t="shared" si="4"/>
        <v>0.61909630917262459</v>
      </c>
      <c r="I46" s="85" t="str">
        <f t="shared" si="5"/>
        <v>Illinois Fighting Illini</v>
      </c>
    </row>
    <row r="47" spans="1:9" ht="18" customHeight="1" x14ac:dyDescent="0.25">
      <c r="A47" s="97" t="s">
        <v>117</v>
      </c>
      <c r="B47" s="102" t="s">
        <v>42</v>
      </c>
      <c r="C47" s="103" t="str">
        <f>I18</f>
        <v>UConn Huskies</v>
      </c>
      <c r="D47" s="82">
        <f>IFERROR(ROUND(('Enhanced Matchup Model'!$F$3*IFERROR(VLOOKUP(C47,'📊 Team Lookup'!$A$3:$H$367,7,FALSE()),1)+'Enhanced Matchup Model'!$F$4*IFERROR(VLOOKUP(E47,'📊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Lookup'!$A$3:$H$367,3,FALSE()),70)))+(-(IFERROR(VLOOKUP(C47,'📊 Team Lookup'!$A$3:$H$367,5,FALSE()),200)-IFERROR(VLOOKUP(E47,'📊 Team Lookup'!$A$3:$H$367,5,FALSE()),200))*'Enhanced Matchup Model'!$F$8),1),0)</f>
        <v>65.099999999999994</v>
      </c>
      <c r="E47" s="103" t="str">
        <f>I19</f>
        <v>Saint Louis Billikens</v>
      </c>
      <c r="F47" s="82">
        <f>IFERROR(ROUND(('Enhanced Matchup Model'!$F$3*IFERROR(VLOOKUP(E47,'📊 Team Lookup'!$A$3:$H$367,7,FALSE()),1)+'Enhanced Matchup Model'!$F$4*IFERROR(VLOOKUP(C47,'📊 Team Lookup'!$A$3:$H$367,8,FALSE()),1.05))*(0.65*MIN(IFERROR(VLOOKUP(C47,'📊 Team Lookup'!$A$3:$H$367,3,FALSE()),70),IFERROR(VLOOKUP(E47,'📊 Team Lookup'!$A$3:$H$367,3,FALSE()),70))+0.35*MAX(IFERROR(VLOOKUP(C47,'📊 Team Lookup'!$A$3:$H$367,3,FALSE()),70),IFERROR(VLOOKUP(E47,'📊 Team Lookup'!$A$3:$H$367,3,FALSE()),70)))+(-(IFERROR(VLOOKUP(E47,'📊 Team Lookup'!$A$3:$H$367,5,FALSE()),200)-IFERROR(VLOOKUP(C47,'📊 Team Lookup'!$A$3:$H$367,5,FALSE()),200))*'Enhanced Matchup Model'!$F$8),1),0)</f>
        <v>64.5</v>
      </c>
      <c r="G47" s="100">
        <f t="shared" si="3"/>
        <v>0.59999999999999432</v>
      </c>
      <c r="H47" s="101">
        <f t="shared" si="4"/>
        <v>0.52141546152672391</v>
      </c>
      <c r="I47" s="85" t="str">
        <f t="shared" si="5"/>
        <v>UConn Huskies</v>
      </c>
    </row>
    <row r="48" spans="1:9" ht="18" customHeight="1" x14ac:dyDescent="0.25">
      <c r="A48" s="97" t="s">
        <v>117</v>
      </c>
      <c r="B48" s="102" t="s">
        <v>42</v>
      </c>
      <c r="C48" s="103" t="str">
        <f>I21</f>
        <v>Kansas Jayhawks</v>
      </c>
      <c r="D48" s="82">
        <f>IFERROR(ROUND(('Enhanced Matchup Model'!$F$3*IFERROR(VLOOKUP(C48,'📊 Team Lookup'!$A$3:$H$367,7,FALSE()),1)+'Enhanced Matchup Model'!$F$4*IFERROR(VLOOKUP(E48,'📊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Lookup'!$A$3:$H$367,3,FALSE()),70)))+(-(IFERROR(VLOOKUP(C48,'📊 Team Lookup'!$A$3:$H$367,5,FALSE()),200)-IFERROR(VLOOKUP(E48,'📊 Team Lookup'!$A$3:$H$367,5,FALSE()),200))*'Enhanced Matchup Model'!$F$8),1),0)</f>
        <v>63</v>
      </c>
      <c r="E48" s="103" t="str">
        <f>I20</f>
        <v>Tennessee Volunteers</v>
      </c>
      <c r="F48" s="82">
        <f>IFERROR(ROUND(('Enhanced Matchup Model'!$F$3*IFERROR(VLOOKUP(E48,'📊 Team Lookup'!$A$3:$H$367,7,FALSE()),1)+'Enhanced Matchup Model'!$F$4*IFERROR(VLOOKUP(C48,'📊 Team Lookup'!$A$3:$H$367,8,FALSE()),1.05))*(0.65*MIN(IFERROR(VLOOKUP(C48,'📊 Team Lookup'!$A$3:$H$367,3,FALSE()),70),IFERROR(VLOOKUP(E48,'📊 Team Lookup'!$A$3:$H$367,3,FALSE()),70))+0.35*MAX(IFERROR(VLOOKUP(C48,'📊 Team Lookup'!$A$3:$H$367,3,FALSE()),70),IFERROR(VLOOKUP(E48,'📊 Team Lookup'!$A$3:$H$367,3,FALSE()),70)))+(-(IFERROR(VLOOKUP(E48,'📊 Team Lookup'!$A$3:$H$367,5,FALSE()),200)-IFERROR(VLOOKUP(C48,'📊 Team Lookup'!$A$3:$H$367,5,FALSE()),200))*'Enhanced Matchup Model'!$F$8),1),0)</f>
        <v>64.599999999999994</v>
      </c>
      <c r="G48" s="100">
        <f t="shared" si="3"/>
        <v>-1.5999999999999943</v>
      </c>
      <c r="H48" s="101">
        <f t="shared" si="4"/>
        <v>0.44310463514496229</v>
      </c>
      <c r="I48" s="85" t="str">
        <f t="shared" si="5"/>
        <v>Tennessee Volunteers</v>
      </c>
    </row>
    <row r="49" spans="1:9" ht="18" customHeight="1" x14ac:dyDescent="0.25">
      <c r="A49" s="97" t="s">
        <v>117</v>
      </c>
      <c r="B49" s="102" t="s">
        <v>42</v>
      </c>
      <c r="C49" s="103" t="str">
        <f>I23</f>
        <v>Purdue Boilermakers</v>
      </c>
      <c r="D49" s="82">
        <f>IFERROR(ROUND(('Enhanced Matchup Model'!$F$3*IFERROR(VLOOKUP(C49,'📊 Team Lookup'!$A$3:$H$367,7,FALSE()),1)+'Enhanced Matchup Model'!$F$4*IFERROR(VLOOKUP(E49,'📊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Lookup'!$A$3:$H$367,3,FALSE()),70)))+(-(IFERROR(VLOOKUP(C49,'📊 Team Lookup'!$A$3:$H$367,5,FALSE()),200)-IFERROR(VLOOKUP(E49,'📊 Team Lookup'!$A$3:$H$367,5,FALSE()),200))*'Enhanced Matchup Model'!$F$8),1),0)</f>
        <v>66.099999999999994</v>
      </c>
      <c r="E49" s="103" t="str">
        <f>I22</f>
        <v>St. John's Red Storm</v>
      </c>
      <c r="F49" s="82">
        <f>IFERROR(ROUND(('Enhanced Matchup Model'!$F$3*IFERROR(VLOOKUP(E49,'📊 Team Lookup'!$A$3:$H$367,7,FALSE()),1)+'Enhanced Matchup Model'!$F$4*IFERROR(VLOOKUP(C49,'📊 Team Lookup'!$A$3:$H$367,8,FALSE()),1.05))*(0.65*MIN(IFERROR(VLOOKUP(C49,'📊 Team Lookup'!$A$3:$H$367,3,FALSE()),70),IFERROR(VLOOKUP(E49,'📊 Team Lookup'!$A$3:$H$367,3,FALSE()),70))+0.35*MAX(IFERROR(VLOOKUP(C49,'📊 Team Lookup'!$A$3:$H$367,3,FALSE()),70),IFERROR(VLOOKUP(E49,'📊 Team Lookup'!$A$3:$H$367,3,FALSE()),70)))+(-(IFERROR(VLOOKUP(E49,'📊 Team Lookup'!$A$3:$H$367,5,FALSE()),200)-IFERROR(VLOOKUP(C49,'📊 Team Lookup'!$A$3:$H$367,5,FALSE()),200))*'Enhanced Matchup Model'!$F$8),1),0)</f>
        <v>65.2</v>
      </c>
      <c r="G49" s="100">
        <f t="shared" si="3"/>
        <v>0.89999999999999147</v>
      </c>
      <c r="H49" s="101">
        <f t="shared" si="4"/>
        <v>0.532098651789918</v>
      </c>
      <c r="I49" s="85" t="str">
        <f t="shared" si="5"/>
        <v>Purdue Boilermakers</v>
      </c>
    </row>
    <row r="50" spans="1:9" ht="18" customHeight="1" x14ac:dyDescent="0.25">
      <c r="A50" s="97" t="s">
        <v>117</v>
      </c>
      <c r="B50" s="102" t="s">
        <v>42</v>
      </c>
      <c r="C50" s="103" t="str">
        <f>I25</f>
        <v>Florida Gators</v>
      </c>
      <c r="D50" s="82">
        <f>IFERROR(ROUND(('Enhanced Matchup Model'!$F$3*IFERROR(VLOOKUP(C50,'📊 Team Lookup'!$A$3:$H$367,7,FALSE()),1)+'Enhanced Matchup Model'!$F$4*IFERROR(VLOOKUP(E50,'📊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Lookup'!$A$3:$H$367,3,FALSE()),70)))+(-(IFERROR(VLOOKUP(C50,'📊 Team Lookup'!$A$3:$H$367,5,FALSE()),200)-IFERROR(VLOOKUP(E50,'📊 Team Lookup'!$A$3:$H$367,5,FALSE()),200))*'Enhanced Matchup Model'!$F$8),1),0)</f>
        <v>68.5</v>
      </c>
      <c r="E50" s="103" t="str">
        <f>I24</f>
        <v>Villanova Wildcats</v>
      </c>
      <c r="F50" s="82">
        <f>IFERROR(ROUND(('Enhanced Matchup Model'!$F$3*IFERROR(VLOOKUP(E50,'📊 Team Lookup'!$A$3:$H$367,7,FALSE()),1)+'Enhanced Matchup Model'!$F$4*IFERROR(VLOOKUP(C50,'📊 Team Lookup'!$A$3:$H$367,8,FALSE()),1.05))*(0.65*MIN(IFERROR(VLOOKUP(C50,'📊 Team Lookup'!$A$3:$H$367,3,FALSE()),70),IFERROR(VLOOKUP(E50,'📊 Team Lookup'!$A$3:$H$367,3,FALSE()),70))+0.35*MAX(IFERROR(VLOOKUP(C50,'📊 Team Lookup'!$A$3:$H$367,3,FALSE()),70),IFERROR(VLOOKUP(E50,'📊 Team Lookup'!$A$3:$H$367,3,FALSE()),70)))+(-(IFERROR(VLOOKUP(E50,'📊 Team Lookup'!$A$3:$H$367,5,FALSE()),200)-IFERROR(VLOOKUP(C50,'📊 Team Lookup'!$A$3:$H$367,5,FALSE()),200))*'Enhanced Matchup Model'!$F$8),1),0)</f>
        <v>63.6</v>
      </c>
      <c r="G50" s="100">
        <f t="shared" si="3"/>
        <v>4.8999999999999986</v>
      </c>
      <c r="H50" s="101">
        <f t="shared" si="4"/>
        <v>0.66818777216816605</v>
      </c>
      <c r="I50" s="85" t="str">
        <f t="shared" si="5"/>
        <v>Florida Gators</v>
      </c>
    </row>
    <row r="51" spans="1:9" ht="18" customHeight="1" x14ac:dyDescent="0.25">
      <c r="A51" s="97" t="s">
        <v>117</v>
      </c>
      <c r="B51" s="104" t="s">
        <v>64</v>
      </c>
      <c r="C51" s="105" t="str">
        <f>I26</f>
        <v>Michigan Wolverines</v>
      </c>
      <c r="D51" s="82">
        <f>IFERROR(ROUND(('Enhanced Matchup Model'!$F$3*IFERROR(VLOOKUP(C51,'📊 Team Lookup'!$A$3:$H$367,7,FALSE()),1)+'Enhanced Matchup Model'!$F$4*IFERROR(VLOOKUP(E51,'📊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Lookup'!$A$3:$H$367,3,FALSE()),70)))+(-(IFERROR(VLOOKUP(C51,'📊 Team Lookup'!$A$3:$H$367,5,FALSE()),200)-IFERROR(VLOOKUP(E51,'📊 Team Lookup'!$A$3:$H$367,5,FALSE()),200))*'Enhanced Matchup Model'!$F$8),1),0)</f>
        <v>66.7</v>
      </c>
      <c r="E51" s="105" t="str">
        <f>I27</f>
        <v>Iowa Hawkeyes</v>
      </c>
      <c r="F51" s="82">
        <f>IFERROR(ROUND(('Enhanced Matchup Model'!$F$3*IFERROR(VLOOKUP(E51,'📊 Team Lookup'!$A$3:$H$367,7,FALSE()),1)+'Enhanced Matchup Model'!$F$4*IFERROR(VLOOKUP(C51,'📊 Team Lookup'!$A$3:$H$367,8,FALSE()),1.05))*(0.65*MIN(IFERROR(VLOOKUP(C51,'📊 Team Lookup'!$A$3:$H$367,3,FALSE()),70),IFERROR(VLOOKUP(E51,'📊 Team Lookup'!$A$3:$H$367,3,FALSE()),70))+0.35*MAX(IFERROR(VLOOKUP(C51,'📊 Team Lookup'!$A$3:$H$367,3,FALSE()),70),IFERROR(VLOOKUP(E51,'📊 Team Lookup'!$A$3:$H$367,3,FALSE()),70)))+(-(IFERROR(VLOOKUP(E51,'📊 Team Lookup'!$A$3:$H$367,5,FALSE()),200)-IFERROR(VLOOKUP(C51,'📊 Team Lookup'!$A$3:$H$367,5,FALSE()),200))*'Enhanced Matchup Model'!$F$8),1),0)</f>
        <v>60.4</v>
      </c>
      <c r="G51" s="100">
        <f t="shared" si="3"/>
        <v>6.3000000000000043</v>
      </c>
      <c r="H51" s="101">
        <f t="shared" si="4"/>
        <v>0.71094950262500411</v>
      </c>
      <c r="I51" s="85" t="str">
        <f t="shared" si="5"/>
        <v>Michigan Wolverines</v>
      </c>
    </row>
    <row r="52" spans="1:9" ht="18" customHeight="1" x14ac:dyDescent="0.25">
      <c r="A52" s="97" t="s">
        <v>117</v>
      </c>
      <c r="B52" s="104" t="s">
        <v>64</v>
      </c>
      <c r="C52" s="105" t="str">
        <f>I29</f>
        <v>Virginia Cavaliers</v>
      </c>
      <c r="D52" s="82">
        <f>IFERROR(ROUND(('Enhanced Matchup Model'!$F$3*IFERROR(VLOOKUP(C52,'📊 Team Lookup'!$A$3:$H$367,7,FALSE()),1)+'Enhanced Matchup Model'!$F$4*IFERROR(VLOOKUP(E52,'📊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Lookup'!$A$3:$H$367,3,FALSE()),70)))+(-(IFERROR(VLOOKUP(C52,'📊 Team Lookup'!$A$3:$H$367,5,FALSE()),200)-IFERROR(VLOOKUP(E52,'📊 Team Lookup'!$A$3:$H$367,5,FALSE()),200))*'Enhanced Matchup Model'!$F$8),1),0)</f>
        <v>68.8</v>
      </c>
      <c r="E52" s="105" t="str">
        <f>I28</f>
        <v>Arkansas Razorbacks</v>
      </c>
      <c r="F52" s="82">
        <f>IFERROR(ROUND(('Enhanced Matchup Model'!$F$3*IFERROR(VLOOKUP(E52,'📊 Team Lookup'!$A$3:$H$367,7,FALSE()),1)+'Enhanced Matchup Model'!$F$4*IFERROR(VLOOKUP(C52,'📊 Team Lookup'!$A$3:$H$367,8,FALSE()),1.05))*(0.65*MIN(IFERROR(VLOOKUP(C52,'📊 Team Lookup'!$A$3:$H$367,3,FALSE()),70),IFERROR(VLOOKUP(E52,'📊 Team Lookup'!$A$3:$H$367,3,FALSE()),70))+0.35*MAX(IFERROR(VLOOKUP(C52,'📊 Team Lookup'!$A$3:$H$367,3,FALSE()),70),IFERROR(VLOOKUP(E52,'📊 Team Lookup'!$A$3:$H$367,3,FALSE()),70)))+(-(IFERROR(VLOOKUP(E52,'📊 Team Lookup'!$A$3:$H$367,5,FALSE()),200)-IFERROR(VLOOKUP(C52,'📊 Team Lookup'!$A$3:$H$367,5,FALSE()),200))*'Enhanced Matchup Model'!$F$8),1),0)</f>
        <v>68.3</v>
      </c>
      <c r="G52" s="100">
        <f t="shared" si="3"/>
        <v>0.5</v>
      </c>
      <c r="H52" s="101">
        <f t="shared" si="4"/>
        <v>0.51784955440613467</v>
      </c>
      <c r="I52" s="85" t="str">
        <f t="shared" si="5"/>
        <v>Virginia Cavaliers</v>
      </c>
    </row>
    <row r="53" spans="1:9" ht="18" customHeight="1" x14ac:dyDescent="0.25">
      <c r="A53" s="97" t="s">
        <v>117</v>
      </c>
      <c r="B53" s="104" t="s">
        <v>64</v>
      </c>
      <c r="C53" s="105" t="str">
        <f>I31</f>
        <v>Nebraska Cornhuskers</v>
      </c>
      <c r="D53" s="82">
        <f>IFERROR(ROUND(('Enhanced Matchup Model'!$F$3*IFERROR(VLOOKUP(C53,'📊 Team Lookup'!$A$3:$H$367,7,FALSE()),1)+'Enhanced Matchup Model'!$F$4*IFERROR(VLOOKUP(E53,'📊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Lookup'!$A$3:$H$367,3,FALSE()),70)))+(-(IFERROR(VLOOKUP(C53,'📊 Team Lookup'!$A$3:$H$367,5,FALSE()),200)-IFERROR(VLOOKUP(E53,'📊 Team Lookup'!$A$3:$H$367,5,FALSE()),200))*'Enhanced Matchup Model'!$F$8),1),0)</f>
        <v>66.3</v>
      </c>
      <c r="E53" s="105" t="str">
        <f>I30</f>
        <v>BYU Cougars</v>
      </c>
      <c r="F53" s="82">
        <f>IFERROR(ROUND(('Enhanced Matchup Model'!$F$3*IFERROR(VLOOKUP(E53,'📊 Team Lookup'!$A$3:$H$367,7,FALSE()),1)+'Enhanced Matchup Model'!$F$4*IFERROR(VLOOKUP(C53,'📊 Team Lookup'!$A$3:$H$367,8,FALSE()),1.05))*(0.65*MIN(IFERROR(VLOOKUP(C53,'📊 Team Lookup'!$A$3:$H$367,3,FALSE()),70),IFERROR(VLOOKUP(E53,'📊 Team Lookup'!$A$3:$H$367,3,FALSE()),70))+0.35*MAX(IFERROR(VLOOKUP(C53,'📊 Team Lookup'!$A$3:$H$367,3,FALSE()),70),IFERROR(VLOOKUP(E53,'📊 Team Lookup'!$A$3:$H$367,3,FALSE()),70)))+(-(IFERROR(VLOOKUP(E53,'📊 Team Lookup'!$A$3:$H$367,5,FALSE()),200)-IFERROR(VLOOKUP(C53,'📊 Team Lookup'!$A$3:$H$367,5,FALSE()),200))*'Enhanced Matchup Model'!$F$8),1),0)</f>
        <v>64.7</v>
      </c>
      <c r="G53" s="100">
        <f t="shared" si="3"/>
        <v>1.5999999999999943</v>
      </c>
      <c r="H53" s="101">
        <f t="shared" si="4"/>
        <v>0.55689536485503766</v>
      </c>
      <c r="I53" s="85" t="str">
        <f t="shared" si="5"/>
        <v>Nebraska Cornhuskers</v>
      </c>
    </row>
    <row r="54" spans="1:9" ht="18" customHeight="1" x14ac:dyDescent="0.25">
      <c r="A54" s="97" t="s">
        <v>117</v>
      </c>
      <c r="B54" s="104" t="s">
        <v>64</v>
      </c>
      <c r="C54" s="105" t="str">
        <f>I33</f>
        <v>Houston Cougars</v>
      </c>
      <c r="D54" s="82">
        <f>IFERROR(ROUND(('Enhanced Matchup Model'!$F$3*IFERROR(VLOOKUP(C54,'📊 Team Lookup'!$A$3:$H$367,7,FALSE()),1)+'Enhanced Matchup Model'!$F$4*IFERROR(VLOOKUP(E54,'📊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Lookup'!$A$3:$H$367,3,FALSE()),70)))+(-(IFERROR(VLOOKUP(C54,'📊 Team Lookup'!$A$3:$H$367,5,FALSE()),200)-IFERROR(VLOOKUP(E54,'📊 Team Lookup'!$A$3:$H$367,5,FALSE()),200))*'Enhanced Matchup Model'!$F$8),1),0)</f>
        <v>66.3</v>
      </c>
      <c r="E54" s="105" t="str">
        <f>I32</f>
        <v>Wisconsin Badgers</v>
      </c>
      <c r="F54" s="82">
        <f>IFERROR(ROUND(('Enhanced Matchup Model'!$F$3*IFERROR(VLOOKUP(E54,'📊 Team Lookup'!$A$3:$H$367,7,FALSE()),1)+'Enhanced Matchup Model'!$F$4*IFERROR(VLOOKUP(C54,'📊 Team Lookup'!$A$3:$H$367,8,FALSE()),1.05))*(0.65*MIN(IFERROR(VLOOKUP(C54,'📊 Team Lookup'!$A$3:$H$367,3,FALSE()),70),IFERROR(VLOOKUP(E54,'📊 Team Lookup'!$A$3:$H$367,3,FALSE()),70))+0.35*MAX(IFERROR(VLOOKUP(C54,'📊 Team Lookup'!$A$3:$H$367,3,FALSE()),70),IFERROR(VLOOKUP(E54,'📊 Team Lookup'!$A$3:$H$367,3,FALSE()),70)))+(-(IFERROR(VLOOKUP(E54,'📊 Team Lookup'!$A$3:$H$367,5,FALSE()),200)-IFERROR(VLOOKUP(C54,'📊 Team Lookup'!$A$3:$H$367,5,FALSE()),200))*'Enhanced Matchup Model'!$F$8),1),0)</f>
        <v>61.8</v>
      </c>
      <c r="G54" s="100">
        <f t="shared" si="3"/>
        <v>4.5</v>
      </c>
      <c r="H54" s="101">
        <f t="shared" si="4"/>
        <v>0.65539903577126535</v>
      </c>
      <c r="I54" s="85" t="str">
        <f t="shared" si="5"/>
        <v>Houston Cougars</v>
      </c>
    </row>
    <row r="55" spans="1:9" ht="18" customHeight="1" x14ac:dyDescent="0.25">
      <c r="A55" s="97" t="s">
        <v>117</v>
      </c>
      <c r="B55" s="106" t="s">
        <v>83</v>
      </c>
      <c r="C55" s="107" t="str">
        <f>I34</f>
        <v>Arizona Wildcats</v>
      </c>
      <c r="D55" s="82">
        <f>IFERROR(ROUND(('Enhanced Matchup Model'!$F$3*IFERROR(VLOOKUP(C55,'📊 Team Lookup'!$A$3:$H$367,7,FALSE()),1)+'Enhanced Matchup Model'!$F$4*IFERROR(VLOOKUP(E55,'📊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Lookup'!$A$3:$H$367,3,FALSE()),70)))+(-(IFERROR(VLOOKUP(C55,'📊 Team Lookup'!$A$3:$H$367,5,FALSE()),200)-IFERROR(VLOOKUP(E55,'📊 Team Lookup'!$A$3:$H$367,5,FALSE()),200))*'Enhanced Matchup Model'!$F$8),1),0)</f>
        <v>69</v>
      </c>
      <c r="E55" s="107" t="str">
        <f>I35</f>
        <v>Miami Hurricanes</v>
      </c>
      <c r="F55" s="82">
        <f>IFERROR(ROUND(('Enhanced Matchup Model'!$F$3*IFERROR(VLOOKUP(E55,'📊 Team Lookup'!$A$3:$H$367,7,FALSE()),1)+'Enhanced Matchup Model'!$F$4*IFERROR(VLOOKUP(C55,'📊 Team Lookup'!$A$3:$H$367,8,FALSE()),1.05))*(0.65*MIN(IFERROR(VLOOKUP(C55,'📊 Team Lookup'!$A$3:$H$367,3,FALSE()),70),IFERROR(VLOOKUP(E55,'📊 Team Lookup'!$A$3:$H$367,3,FALSE()),70))+0.35*MAX(IFERROR(VLOOKUP(C55,'📊 Team Lookup'!$A$3:$H$367,3,FALSE()),70),IFERROR(VLOOKUP(E55,'📊 Team Lookup'!$A$3:$H$367,3,FALSE()),70)))+(-(IFERROR(VLOOKUP(E55,'📊 Team Lookup'!$A$3:$H$367,5,FALSE()),200)-IFERROR(VLOOKUP(C55,'📊 Team Lookup'!$A$3:$H$367,5,FALSE()),200))*'Enhanced Matchup Model'!$F$8),1),0)</f>
        <v>64.2</v>
      </c>
      <c r="G55" s="100">
        <f t="shared" si="3"/>
        <v>4.7999999999999972</v>
      </c>
      <c r="H55" s="101">
        <f t="shared" si="4"/>
        <v>0.66501287112251484</v>
      </c>
      <c r="I55" s="85" t="str">
        <f t="shared" si="5"/>
        <v>Arizona Wildcats</v>
      </c>
    </row>
    <row r="56" spans="1:9" ht="18" customHeight="1" x14ac:dyDescent="0.25">
      <c r="A56" s="97" t="s">
        <v>117</v>
      </c>
      <c r="B56" s="106" t="s">
        <v>83</v>
      </c>
      <c r="C56" s="107" t="str">
        <f>I37</f>
        <v>Alabama Crimson Tide</v>
      </c>
      <c r="D56" s="82">
        <f>IFERROR(ROUND(('Enhanced Matchup Model'!$F$3*IFERROR(VLOOKUP(C56,'📊 Team Lookup'!$A$3:$H$367,7,FALSE()),1)+'Enhanced Matchup Model'!$F$4*IFERROR(VLOOKUP(E56,'📊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Lookup'!$A$3:$H$367,3,FALSE()),70)))+(-(IFERROR(VLOOKUP(C56,'📊 Team Lookup'!$A$3:$H$367,5,FALSE()),200)-IFERROR(VLOOKUP(E56,'📊 Team Lookup'!$A$3:$H$367,5,FALSE()),200))*'Enhanced Matchup Model'!$F$8),1),0)</f>
        <v>70.099999999999994</v>
      </c>
      <c r="E56" s="107" t="str">
        <f>I36</f>
        <v>North Carolina Tar Heels</v>
      </c>
      <c r="F56" s="82">
        <f>IFERROR(ROUND(('Enhanced Matchup Model'!$F$3*IFERROR(VLOOKUP(E56,'📊 Team Lookup'!$A$3:$H$367,7,FALSE()),1)+'Enhanced Matchup Model'!$F$4*IFERROR(VLOOKUP(C56,'📊 Team Lookup'!$A$3:$H$367,8,FALSE()),1.05))*(0.65*MIN(IFERROR(VLOOKUP(C56,'📊 Team Lookup'!$A$3:$H$367,3,FALSE()),70),IFERROR(VLOOKUP(E56,'📊 Team Lookup'!$A$3:$H$367,3,FALSE()),70))+0.35*MAX(IFERROR(VLOOKUP(C56,'📊 Team Lookup'!$A$3:$H$367,3,FALSE()),70),IFERROR(VLOOKUP(E56,'📊 Team Lookup'!$A$3:$H$367,3,FALSE()),70)))+(-(IFERROR(VLOOKUP(E56,'📊 Team Lookup'!$A$3:$H$367,5,FALSE()),200)-IFERROR(VLOOKUP(C56,'📊 Team Lookup'!$A$3:$H$367,5,FALSE()),200))*'Enhanced Matchup Model'!$F$8),1),0)</f>
        <v>70.099999999999994</v>
      </c>
      <c r="G56" s="100">
        <f t="shared" si="3"/>
        <v>0</v>
      </c>
      <c r="H56" s="101">
        <f t="shared" si="4"/>
        <v>0.5</v>
      </c>
      <c r="I56" s="85" t="str">
        <f t="shared" si="5"/>
        <v>North Carolina Tar Heels</v>
      </c>
    </row>
    <row r="57" spans="1:9" ht="18" customHeight="1" x14ac:dyDescent="0.25">
      <c r="A57" s="97" t="s">
        <v>117</v>
      </c>
      <c r="B57" s="106" t="s">
        <v>83</v>
      </c>
      <c r="C57" s="107" t="str">
        <f>I39</f>
        <v>Texas Tech Red Raiders</v>
      </c>
      <c r="D57" s="82">
        <f>IFERROR(ROUND(('Enhanced Matchup Model'!$F$3*IFERROR(VLOOKUP(C57,'📊 Team Lookup'!$A$3:$H$367,7,FALSE()),1)+'Enhanced Matchup Model'!$F$4*IFERROR(VLOOKUP(E57,'📊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Lookup'!$A$3:$H$367,3,FALSE()),70)))+(-(IFERROR(VLOOKUP(C57,'📊 Team Lookup'!$A$3:$H$367,5,FALSE()),200)-IFERROR(VLOOKUP(E57,'📊 Team Lookup'!$A$3:$H$367,5,FALSE()),200))*'Enhanced Matchup Model'!$F$8),1),0)</f>
        <v>67.7</v>
      </c>
      <c r="E57" s="107" t="str">
        <f>I38</f>
        <v>Kentucky Wildcats</v>
      </c>
      <c r="F57" s="82">
        <f>IFERROR(ROUND(('Enhanced Matchup Model'!$F$3*IFERROR(VLOOKUP(E57,'📊 Team Lookup'!$A$3:$H$367,7,FALSE()),1)+'Enhanced Matchup Model'!$F$4*IFERROR(VLOOKUP(C57,'📊 Team Lookup'!$A$3:$H$367,8,FALSE()),1.05))*(0.65*MIN(IFERROR(VLOOKUP(C57,'📊 Team Lookup'!$A$3:$H$367,3,FALSE()),70),IFERROR(VLOOKUP(E57,'📊 Team Lookup'!$A$3:$H$367,3,FALSE()),70))+0.35*MAX(IFERROR(VLOOKUP(C57,'📊 Team Lookup'!$A$3:$H$367,3,FALSE()),70),IFERROR(VLOOKUP(E57,'📊 Team Lookup'!$A$3:$H$367,3,FALSE()),70)))+(-(IFERROR(VLOOKUP(E57,'📊 Team Lookup'!$A$3:$H$367,5,FALSE()),200)-IFERROR(VLOOKUP(C57,'📊 Team Lookup'!$A$3:$H$367,5,FALSE()),200))*'Enhanced Matchup Model'!$F$8),1),0)</f>
        <v>66.3</v>
      </c>
      <c r="G57" s="100">
        <f t="shared" si="3"/>
        <v>1.4000000000000057</v>
      </c>
      <c r="H57" s="101">
        <f t="shared" si="4"/>
        <v>0.54983399731247806</v>
      </c>
      <c r="I57" s="85" t="str">
        <f t="shared" si="5"/>
        <v>Texas Tech Red Raiders</v>
      </c>
    </row>
    <row r="58" spans="1:9" ht="18" customHeight="1" x14ac:dyDescent="0.25">
      <c r="A58" s="97" t="s">
        <v>117</v>
      </c>
      <c r="B58" s="106" t="s">
        <v>83</v>
      </c>
      <c r="C58" s="107" t="str">
        <f>I41</f>
        <v>Michigan State Spartans</v>
      </c>
      <c r="D58" s="82">
        <f>IFERROR(ROUND(('Enhanced Matchup Model'!$F$3*IFERROR(VLOOKUP(C58,'📊 Team Lookup'!$A$3:$H$367,7,FALSE()),1)+'Enhanced Matchup Model'!$F$4*IFERROR(VLOOKUP(E58,'📊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Lookup'!$A$3:$H$367,3,FALSE()),70)))+(-(IFERROR(VLOOKUP(C58,'📊 Team Lookup'!$A$3:$H$367,5,FALSE()),200)-IFERROR(VLOOKUP(E58,'📊 Team Lookup'!$A$3:$H$367,5,FALSE()),200))*'Enhanced Matchup Model'!$F$8),1),0)</f>
        <v>62.9</v>
      </c>
      <c r="E58" s="107" t="str">
        <f>I40</f>
        <v>Saint Mary's Gaels</v>
      </c>
      <c r="F58" s="82">
        <f>IFERROR(ROUND(('Enhanced Matchup Model'!$F$3*IFERROR(VLOOKUP(E58,'📊 Team Lookup'!$A$3:$H$367,7,FALSE()),1)+'Enhanced Matchup Model'!$F$4*IFERROR(VLOOKUP(C58,'📊 Team Lookup'!$A$3:$H$367,8,FALSE()),1.05))*(0.65*MIN(IFERROR(VLOOKUP(C58,'📊 Team Lookup'!$A$3:$H$367,3,FALSE()),70),IFERROR(VLOOKUP(E58,'📊 Team Lookup'!$A$3:$H$367,3,FALSE()),70))+0.35*MAX(IFERROR(VLOOKUP(C58,'📊 Team Lookup'!$A$3:$H$367,3,FALSE()),70),IFERROR(VLOOKUP(E58,'📊 Team Lookup'!$A$3:$H$367,3,FALSE()),70)))+(-(IFERROR(VLOOKUP(E58,'📊 Team Lookup'!$A$3:$H$367,5,FALSE()),200)-IFERROR(VLOOKUP(C58,'📊 Team Lookup'!$A$3:$H$367,5,FALSE()),200))*'Enhanced Matchup Model'!$F$8),1),0)</f>
        <v>62.2</v>
      </c>
      <c r="G58" s="100">
        <f t="shared" si="3"/>
        <v>0.69999999999999574</v>
      </c>
      <c r="H58" s="101">
        <f t="shared" si="4"/>
        <v>0.52497918747893979</v>
      </c>
      <c r="I58" s="85" t="str">
        <f t="shared" si="5"/>
        <v>Michigan State Spartans</v>
      </c>
    </row>
    <row r="59" spans="1:9" ht="18" customHeight="1" x14ac:dyDescent="0.25">
      <c r="A59" s="108" t="s">
        <v>118</v>
      </c>
    </row>
    <row r="60" spans="1:9" ht="18" customHeight="1" x14ac:dyDescent="0.25">
      <c r="A60" s="109" t="s">
        <v>119</v>
      </c>
      <c r="B60" s="110" t="s">
        <v>10</v>
      </c>
      <c r="C60" s="111" t="str">
        <f>I43</f>
        <v>Duke Blue Devils</v>
      </c>
      <c r="D60" s="82">
        <f>IFERROR(ROUND(('Enhanced Matchup Model'!$F$3*IFERROR(VLOOKUP(C60,'📊 Team Lookup'!$A$3:$H$367,7,FALSE()),1)+'Enhanced Matchup Model'!$F$4*IFERROR(VLOOKUP(E60,'📊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Lookup'!$A$3:$H$367,3,FALSE()),70)))+(-(IFERROR(VLOOKUP(C60,'📊 Team Lookup'!$A$3:$H$367,5,FALSE()),200)-IFERROR(VLOOKUP(E60,'📊 Team Lookup'!$A$3:$H$367,5,FALSE()),200))*'Enhanced Matchup Model'!$F$8),1),0)</f>
        <v>65.400000000000006</v>
      </c>
      <c r="E60" s="111" t="str">
        <f>I44</f>
        <v>Gonzaga Bulldogs</v>
      </c>
      <c r="F60" s="82">
        <f>IFERROR(ROUND(('Enhanced Matchup Model'!$F$3*IFERROR(VLOOKUP(E60,'📊 Team Lookup'!$A$3:$H$367,7,FALSE()),1)+'Enhanced Matchup Model'!$F$4*IFERROR(VLOOKUP(C60,'📊 Team Lookup'!$A$3:$H$367,8,FALSE()),1.05))*(0.65*MIN(IFERROR(VLOOKUP(C60,'📊 Team Lookup'!$A$3:$H$367,3,FALSE()),70),IFERROR(VLOOKUP(E60,'📊 Team Lookup'!$A$3:$H$367,3,FALSE()),70))+0.35*MAX(IFERROR(VLOOKUP(C60,'📊 Team Lookup'!$A$3:$H$367,3,FALSE()),70),IFERROR(VLOOKUP(E60,'📊 Team Lookup'!$A$3:$H$367,3,FALSE()),70)))+(-(IFERROR(VLOOKUP(E60,'📊 Team Lookup'!$A$3:$H$367,5,FALSE()),200)-IFERROR(VLOOKUP(C60,'📊 Team Lookup'!$A$3:$H$367,5,FALSE()),200))*'Enhanced Matchup Model'!$F$8),1),0)</f>
        <v>63.1</v>
      </c>
      <c r="G60" s="112">
        <f t="shared" ref="G60:G67" si="6">D60-F60</f>
        <v>2.3000000000000043</v>
      </c>
      <c r="H60" s="113">
        <f t="shared" ref="H60:H67" si="7">IFERROR(1/(1+EXP(-G60/7)),0.5)</f>
        <v>0.58141174286290653</v>
      </c>
      <c r="I60" s="85" t="str">
        <f t="shared" ref="I60:I67" si="8">IF(H60&gt;0.5,C60,E60)</f>
        <v>Duke Blue Devils</v>
      </c>
    </row>
    <row r="61" spans="1:9" ht="18" customHeight="1" x14ac:dyDescent="0.25">
      <c r="A61" s="109" t="s">
        <v>119</v>
      </c>
      <c r="B61" s="110" t="s">
        <v>10</v>
      </c>
      <c r="C61" s="111" t="str">
        <f>I46</f>
        <v>Illinois Fighting Illini</v>
      </c>
      <c r="D61" s="82">
        <f>IFERROR(ROUND(('Enhanced Matchup Model'!$F$3*IFERROR(VLOOKUP(C61,'📊 Team Lookup'!$A$3:$H$367,7,FALSE()),1)+'Enhanced Matchup Model'!$F$4*IFERROR(VLOOKUP(E61,'📊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Lookup'!$A$3:$H$367,3,FALSE()),70)))+(-(IFERROR(VLOOKUP(C61,'📊 Team Lookup'!$A$3:$H$367,5,FALSE()),200)-IFERROR(VLOOKUP(E61,'📊 Team Lookup'!$A$3:$H$367,5,FALSE()),200))*'Enhanced Matchup Model'!$F$8),1),0)</f>
        <v>65.8</v>
      </c>
      <c r="E61" s="111" t="str">
        <f>I45</f>
        <v>Iowa State Cyclones</v>
      </c>
      <c r="F61" s="82">
        <f>IFERROR(ROUND(('Enhanced Matchup Model'!$F$3*IFERROR(VLOOKUP(E61,'📊 Team Lookup'!$A$3:$H$367,7,FALSE()),1)+'Enhanced Matchup Model'!$F$4*IFERROR(VLOOKUP(C61,'📊 Team Lookup'!$A$3:$H$367,8,FALSE()),1.05))*(0.65*MIN(IFERROR(VLOOKUP(C61,'📊 Team Lookup'!$A$3:$H$367,3,FALSE()),70),IFERROR(VLOOKUP(E61,'📊 Team Lookup'!$A$3:$H$367,3,FALSE()),70))+0.35*MAX(IFERROR(VLOOKUP(C61,'📊 Team Lookup'!$A$3:$H$367,3,FALSE()),70),IFERROR(VLOOKUP(E61,'📊 Team Lookup'!$A$3:$H$367,3,FALSE()),70)))+(-(IFERROR(VLOOKUP(E61,'📊 Team Lookup'!$A$3:$H$367,5,FALSE()),200)-IFERROR(VLOOKUP(C61,'📊 Team Lookup'!$A$3:$H$367,5,FALSE()),200))*'Enhanced Matchup Model'!$F$8),1),0)</f>
        <v>64.900000000000006</v>
      </c>
      <c r="G61" s="112">
        <f t="shared" si="6"/>
        <v>0.89999999999999147</v>
      </c>
      <c r="H61" s="113">
        <f t="shared" si="7"/>
        <v>0.532098651789918</v>
      </c>
      <c r="I61" s="85" t="str">
        <f t="shared" si="8"/>
        <v>Illinois Fighting Illini</v>
      </c>
    </row>
    <row r="62" spans="1:9" ht="18" customHeight="1" x14ac:dyDescent="0.25">
      <c r="A62" s="109" t="s">
        <v>119</v>
      </c>
      <c r="B62" s="114" t="s">
        <v>42</v>
      </c>
      <c r="C62" s="115" t="str">
        <f>I47</f>
        <v>UConn Huskies</v>
      </c>
      <c r="D62" s="82">
        <f>IFERROR(ROUND(('Enhanced Matchup Model'!$F$3*IFERROR(VLOOKUP(C62,'📊 Team Lookup'!$A$3:$H$367,7,FALSE()),1)+'Enhanced Matchup Model'!$F$4*IFERROR(VLOOKUP(E62,'📊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Lookup'!$A$3:$H$367,3,FALSE()),70)))+(-(IFERROR(VLOOKUP(C62,'📊 Team Lookup'!$A$3:$H$367,5,FALSE()),200)-IFERROR(VLOOKUP(E62,'📊 Team Lookup'!$A$3:$H$367,5,FALSE()),200))*'Enhanced Matchup Model'!$F$8),1),0)</f>
        <v>64.599999999999994</v>
      </c>
      <c r="E62" s="115" t="str">
        <f>I48</f>
        <v>Tennessee Volunteers</v>
      </c>
      <c r="F62" s="82">
        <f>IFERROR(ROUND(('Enhanced Matchup Model'!$F$3*IFERROR(VLOOKUP(E62,'📊 Team Lookup'!$A$3:$H$367,7,FALSE()),1)+'Enhanced Matchup Model'!$F$4*IFERROR(VLOOKUP(C62,'📊 Team Lookup'!$A$3:$H$367,8,FALSE()),1.05))*(0.65*MIN(IFERROR(VLOOKUP(C62,'📊 Team Lookup'!$A$3:$H$367,3,FALSE()),70),IFERROR(VLOOKUP(E62,'📊 Team Lookup'!$A$3:$H$367,3,FALSE()),70))+0.35*MAX(IFERROR(VLOOKUP(C62,'📊 Team Lookup'!$A$3:$H$367,3,FALSE()),70),IFERROR(VLOOKUP(E62,'📊 Team Lookup'!$A$3:$H$367,3,FALSE()),70)))+(-(IFERROR(VLOOKUP(E62,'📊 Team Lookup'!$A$3:$H$367,5,FALSE()),200)-IFERROR(VLOOKUP(C62,'📊 Team Lookup'!$A$3:$H$367,5,FALSE()),200))*'Enhanced Matchup Model'!$F$8),1),0)</f>
        <v>62.5</v>
      </c>
      <c r="G62" s="112">
        <f t="shared" si="6"/>
        <v>2.0999999999999943</v>
      </c>
      <c r="H62" s="113">
        <f t="shared" si="7"/>
        <v>0.57444251681165881</v>
      </c>
      <c r="I62" s="85" t="str">
        <f t="shared" si="8"/>
        <v>UConn Huskies</v>
      </c>
    </row>
    <row r="63" spans="1:9" ht="18" customHeight="1" x14ac:dyDescent="0.25">
      <c r="A63" s="109" t="s">
        <v>119</v>
      </c>
      <c r="B63" s="114" t="s">
        <v>42</v>
      </c>
      <c r="C63" s="115" t="str">
        <f>I50</f>
        <v>Florida Gators</v>
      </c>
      <c r="D63" s="82">
        <f>IFERROR(ROUND(('Enhanced Matchup Model'!$F$3*IFERROR(VLOOKUP(C63,'📊 Team Lookup'!$A$3:$H$367,7,FALSE()),1)+'Enhanced Matchup Model'!$F$4*IFERROR(VLOOKUP(E63,'📊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Lookup'!$A$3:$H$367,3,FALSE()),70)))+(-(IFERROR(VLOOKUP(C63,'📊 Team Lookup'!$A$3:$H$367,5,FALSE()),200)-IFERROR(VLOOKUP(E63,'📊 Team Lookup'!$A$3:$H$367,5,FALSE()),200))*'Enhanced Matchup Model'!$F$8),1),0)</f>
        <v>67.5</v>
      </c>
      <c r="E63" s="115" t="str">
        <f>I49</f>
        <v>Purdue Boilermakers</v>
      </c>
      <c r="F63" s="82">
        <f>IFERROR(ROUND(('Enhanced Matchup Model'!$F$3*IFERROR(VLOOKUP(E63,'📊 Team Lookup'!$A$3:$H$367,7,FALSE()),1)+'Enhanced Matchup Model'!$F$4*IFERROR(VLOOKUP(C63,'📊 Team Lookup'!$A$3:$H$367,8,FALSE()),1.05))*(0.65*MIN(IFERROR(VLOOKUP(C63,'📊 Team Lookup'!$A$3:$H$367,3,FALSE()),70),IFERROR(VLOOKUP(E63,'📊 Team Lookup'!$A$3:$H$367,3,FALSE()),70))+0.35*MAX(IFERROR(VLOOKUP(C63,'📊 Team Lookup'!$A$3:$H$367,3,FALSE()),70),IFERROR(VLOOKUP(E63,'📊 Team Lookup'!$A$3:$H$367,3,FALSE()),70)))+(-(IFERROR(VLOOKUP(E63,'📊 Team Lookup'!$A$3:$H$367,5,FALSE()),200)-IFERROR(VLOOKUP(C63,'📊 Team Lookup'!$A$3:$H$367,5,FALSE()),200))*'Enhanced Matchup Model'!$F$8),1),0)</f>
        <v>66.2</v>
      </c>
      <c r="G63" s="112">
        <f t="shared" si="6"/>
        <v>1.2999999999999972</v>
      </c>
      <c r="H63" s="113">
        <f t="shared" si="7"/>
        <v>0.54629558740614637</v>
      </c>
      <c r="I63" s="85" t="str">
        <f t="shared" si="8"/>
        <v>Florida Gators</v>
      </c>
    </row>
    <row r="64" spans="1:9" ht="18" customHeight="1" x14ac:dyDescent="0.25">
      <c r="A64" s="109" t="s">
        <v>119</v>
      </c>
      <c r="B64" s="116" t="s">
        <v>64</v>
      </c>
      <c r="C64" s="117" t="str">
        <f>I51</f>
        <v>Michigan Wolverines</v>
      </c>
      <c r="D64" s="82">
        <f>IFERROR(ROUND(('Enhanced Matchup Model'!$F$3*IFERROR(VLOOKUP(C64,'📊 Team Lookup'!$A$3:$H$367,7,FALSE()),1)+'Enhanced Matchup Model'!$F$4*IFERROR(VLOOKUP(E64,'📊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Lookup'!$A$3:$H$367,3,FALSE()),70)))+(-(IFERROR(VLOOKUP(C64,'📊 Team Lookup'!$A$3:$H$367,5,FALSE()),200)-IFERROR(VLOOKUP(E64,'📊 Team Lookup'!$A$3:$H$367,5,FALSE()),200))*'Enhanced Matchup Model'!$F$8),1),0)</f>
        <v>68.099999999999994</v>
      </c>
      <c r="E64" s="117" t="str">
        <f>I52</f>
        <v>Virginia Cavaliers</v>
      </c>
      <c r="F64" s="82">
        <f>IFERROR(ROUND(('Enhanced Matchup Model'!$F$3*IFERROR(VLOOKUP(E64,'📊 Team Lookup'!$A$3:$H$367,7,FALSE()),1)+'Enhanced Matchup Model'!$F$4*IFERROR(VLOOKUP(C64,'📊 Team Lookup'!$A$3:$H$367,8,FALSE()),1.05))*(0.65*MIN(IFERROR(VLOOKUP(C64,'📊 Team Lookup'!$A$3:$H$367,3,FALSE()),70),IFERROR(VLOOKUP(E64,'📊 Team Lookup'!$A$3:$H$367,3,FALSE()),70))+0.35*MAX(IFERROR(VLOOKUP(C64,'📊 Team Lookup'!$A$3:$H$367,3,FALSE()),70),IFERROR(VLOOKUP(E64,'📊 Team Lookup'!$A$3:$H$367,3,FALSE()),70)))+(-(IFERROR(VLOOKUP(E64,'📊 Team Lookup'!$A$3:$H$367,5,FALSE()),200)-IFERROR(VLOOKUP(C64,'📊 Team Lookup'!$A$3:$H$367,5,FALSE()),200))*'Enhanced Matchup Model'!$F$8),1),0)</f>
        <v>63.9</v>
      </c>
      <c r="G64" s="112">
        <f t="shared" si="6"/>
        <v>4.1999999999999957</v>
      </c>
      <c r="H64" s="113">
        <f t="shared" si="7"/>
        <v>0.64565630622579528</v>
      </c>
      <c r="I64" s="85" t="str">
        <f t="shared" si="8"/>
        <v>Michigan Wolverines</v>
      </c>
    </row>
    <row r="65" spans="1:9" ht="18" customHeight="1" x14ac:dyDescent="0.25">
      <c r="A65" s="109" t="s">
        <v>119</v>
      </c>
      <c r="B65" s="116" t="s">
        <v>64</v>
      </c>
      <c r="C65" s="117" t="str">
        <f>I54</f>
        <v>Houston Cougars</v>
      </c>
      <c r="D65" s="82">
        <f>IFERROR(ROUND(('Enhanced Matchup Model'!$F$3*IFERROR(VLOOKUP(C65,'📊 Team Lookup'!$A$3:$H$367,7,FALSE()),1)+'Enhanced Matchup Model'!$F$4*IFERROR(VLOOKUP(E65,'📊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Lookup'!$A$3:$H$367,3,FALSE()),70)))+(-(IFERROR(VLOOKUP(C65,'📊 Team Lookup'!$A$3:$H$367,5,FALSE()),200)-IFERROR(VLOOKUP(E65,'📊 Team Lookup'!$A$3:$H$367,5,FALSE()),200))*'Enhanced Matchup Model'!$F$8),1),0)</f>
        <v>62.7</v>
      </c>
      <c r="E65" s="117" t="str">
        <f>I55</f>
        <v>Arizona Wildcats</v>
      </c>
      <c r="F65" s="82">
        <f>IFERROR(ROUND(('Enhanced Matchup Model'!$F$3*IFERROR(VLOOKUP(E65,'📊 Team Lookup'!$A$3:$H$367,7,FALSE()),1)+'Enhanced Matchup Model'!$F$4*IFERROR(VLOOKUP(C65,'📊 Team Lookup'!$A$3:$H$367,8,FALSE()),1.05))*(0.65*MIN(IFERROR(VLOOKUP(C65,'📊 Team Lookup'!$A$3:$H$367,3,FALSE()),70),IFERROR(VLOOKUP(E65,'📊 Team Lookup'!$A$3:$H$367,3,FALSE()),70))+0.35*MAX(IFERROR(VLOOKUP(C65,'📊 Team Lookup'!$A$3:$H$367,3,FALSE()),70),IFERROR(VLOOKUP(E65,'📊 Team Lookup'!$A$3:$H$367,3,FALSE()),70)))+(-(IFERROR(VLOOKUP(E65,'📊 Team Lookup'!$A$3:$H$367,5,FALSE()),200)-IFERROR(VLOOKUP(C65,'📊 Team Lookup'!$A$3:$H$367,5,FALSE()),200))*'Enhanced Matchup Model'!$F$8),1),0)</f>
        <v>63.8</v>
      </c>
      <c r="G65" s="112">
        <f t="shared" si="6"/>
        <v>-1.0999999999999943</v>
      </c>
      <c r="H65" s="113">
        <f t="shared" si="7"/>
        <v>0.46079492963054552</v>
      </c>
      <c r="I65" s="85" t="str">
        <f t="shared" si="8"/>
        <v>Arizona Wildcats</v>
      </c>
    </row>
    <row r="66" spans="1:9" ht="18" customHeight="1" x14ac:dyDescent="0.25">
      <c r="A66" s="109" t="s">
        <v>119</v>
      </c>
      <c r="B66" s="118" t="s">
        <v>83</v>
      </c>
      <c r="C66" s="119" t="str">
        <f>I55</f>
        <v>Arizona Wildcats</v>
      </c>
      <c r="D66" s="82">
        <f>IFERROR(ROUND(('Enhanced Matchup Model'!$F$3*IFERROR(VLOOKUP(C66,'📊 Team Lookup'!$A$3:$H$367,7,FALSE()),1)+'Enhanced Matchup Model'!$F$4*IFERROR(VLOOKUP(E66,'📊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Lookup'!$A$3:$H$367,3,FALSE()),70)))+(-(IFERROR(VLOOKUP(C66,'📊 Team Lookup'!$A$3:$H$367,5,FALSE()),200)-IFERROR(VLOOKUP(E66,'📊 Team Lookup'!$A$3:$H$367,5,FALSE()),200))*'Enhanced Matchup Model'!$F$8),1),0)</f>
        <v>68.5</v>
      </c>
      <c r="E66" s="119" t="str">
        <f>I56</f>
        <v>North Carolina Tar Heels</v>
      </c>
      <c r="F66" s="82">
        <f>IFERROR(ROUND(('Enhanced Matchup Model'!$F$3*IFERROR(VLOOKUP(E66,'📊 Team Lookup'!$A$3:$H$367,7,FALSE()),1)+'Enhanced Matchup Model'!$F$4*IFERROR(VLOOKUP(C66,'📊 Team Lookup'!$A$3:$H$367,8,FALSE()),1.05))*(0.65*MIN(IFERROR(VLOOKUP(C66,'📊 Team Lookup'!$A$3:$H$367,3,FALSE()),70),IFERROR(VLOOKUP(E66,'📊 Team Lookup'!$A$3:$H$367,3,FALSE()),70))+0.35*MAX(IFERROR(VLOOKUP(C66,'📊 Team Lookup'!$A$3:$H$367,3,FALSE()),70),IFERROR(VLOOKUP(E66,'📊 Team Lookup'!$A$3:$H$367,3,FALSE()),70)))+(-(IFERROR(VLOOKUP(E66,'📊 Team Lookup'!$A$3:$H$367,5,FALSE()),200)-IFERROR(VLOOKUP(C66,'📊 Team Lookup'!$A$3:$H$367,5,FALSE()),200))*'Enhanced Matchup Model'!$F$8),1),0)</f>
        <v>64</v>
      </c>
      <c r="G66" s="112">
        <f t="shared" si="6"/>
        <v>4.5</v>
      </c>
      <c r="H66" s="113">
        <f t="shared" si="7"/>
        <v>0.65539903577126535</v>
      </c>
      <c r="I66" s="85" t="str">
        <f t="shared" si="8"/>
        <v>Arizona Wildcats</v>
      </c>
    </row>
    <row r="67" spans="1:9" ht="18" customHeight="1" x14ac:dyDescent="0.25">
      <c r="A67" s="109" t="s">
        <v>119</v>
      </c>
      <c r="B67" s="118" t="s">
        <v>83</v>
      </c>
      <c r="C67" s="119" t="str">
        <f>I58</f>
        <v>Michigan State Spartans</v>
      </c>
      <c r="D67" s="82">
        <f>IFERROR(ROUND(('Enhanced Matchup Model'!$F$3*IFERROR(VLOOKUP(C67,'📊 Team Lookup'!$A$3:$H$367,7,FALSE()),1)+'Enhanced Matchup Model'!$F$4*IFERROR(VLOOKUP(E67,'📊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Lookup'!$A$3:$H$367,3,FALSE()),70)))+(-(IFERROR(VLOOKUP(C67,'📊 Team Lookup'!$A$3:$H$367,5,FALSE()),200)-IFERROR(VLOOKUP(E67,'📊 Team Lookup'!$A$3:$H$367,5,FALSE()),200))*'Enhanced Matchup Model'!$F$8),1),0)</f>
        <v>65.7</v>
      </c>
      <c r="E67" s="119" t="str">
        <f>I57</f>
        <v>Texas Tech Red Raiders</v>
      </c>
      <c r="F67" s="82">
        <f>IFERROR(ROUND(('Enhanced Matchup Model'!$F$3*IFERROR(VLOOKUP(E67,'📊 Team Lookup'!$A$3:$H$367,7,FALSE()),1)+'Enhanced Matchup Model'!$F$4*IFERROR(VLOOKUP(C67,'📊 Team Lookup'!$A$3:$H$367,8,FALSE()),1.05))*(0.65*MIN(IFERROR(VLOOKUP(C67,'📊 Team Lookup'!$A$3:$H$367,3,FALSE()),70),IFERROR(VLOOKUP(E67,'📊 Team Lookup'!$A$3:$H$367,3,FALSE()),70))+0.35*MAX(IFERROR(VLOOKUP(C67,'📊 Team Lookup'!$A$3:$H$367,3,FALSE()),70),IFERROR(VLOOKUP(E67,'📊 Team Lookup'!$A$3:$H$367,3,FALSE()),70)))+(-(IFERROR(VLOOKUP(E67,'📊 Team Lookup'!$A$3:$H$367,5,FALSE()),200)-IFERROR(VLOOKUP(C67,'📊 Team Lookup'!$A$3:$H$367,5,FALSE()),200))*'Enhanced Matchup Model'!$F$8),1),0)</f>
        <v>64.099999999999994</v>
      </c>
      <c r="G67" s="112">
        <f t="shared" si="6"/>
        <v>1.6000000000000085</v>
      </c>
      <c r="H67" s="113">
        <f t="shared" si="7"/>
        <v>0.55689536485503821</v>
      </c>
      <c r="I67" s="85" t="str">
        <f t="shared" si="8"/>
        <v>Michigan State Spartans</v>
      </c>
    </row>
    <row r="68" spans="1:9" ht="18" customHeight="1" x14ac:dyDescent="0.25">
      <c r="A68" s="120" t="s">
        <v>120</v>
      </c>
    </row>
    <row r="69" spans="1:9" ht="18" customHeight="1" x14ac:dyDescent="0.25">
      <c r="A69" s="121" t="s">
        <v>121</v>
      </c>
      <c r="B69" s="122" t="s">
        <v>10</v>
      </c>
      <c r="C69" s="123" t="str">
        <f>I60</f>
        <v>Duke Blue Devils</v>
      </c>
      <c r="D69" s="82">
        <f>IFERROR(ROUND(('Enhanced Matchup Model'!$F$3*IFERROR(VLOOKUP(C69,'📊 Team Lookup'!$A$3:$H$367,7,FALSE()),1)+'Enhanced Matchup Model'!$F$4*IFERROR(VLOOKUP(E69,'📊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Lookup'!$A$3:$H$367,3,FALSE()),70)))+(-(IFERROR(VLOOKUP(C69,'📊 Team Lookup'!$A$3:$H$367,5,FALSE()),200)-IFERROR(VLOOKUP(E69,'📊 Team Lookup'!$A$3:$H$367,5,FALSE()),200))*'Enhanced Matchup Model'!$F$8),1),0)</f>
        <v>66.400000000000006</v>
      </c>
      <c r="E69" s="123" t="str">
        <f>I61</f>
        <v>Illinois Fighting Illini</v>
      </c>
      <c r="F69" s="82">
        <f>IFERROR(ROUND(('Enhanced Matchup Model'!$F$3*IFERROR(VLOOKUP(E69,'📊 Team Lookup'!$A$3:$H$367,7,FALSE()),1)+'Enhanced Matchup Model'!$F$4*IFERROR(VLOOKUP(C69,'📊 Team Lookup'!$A$3:$H$367,8,FALSE()),1.05))*(0.65*MIN(IFERROR(VLOOKUP(C69,'📊 Team Lookup'!$A$3:$H$367,3,FALSE()),70),IFERROR(VLOOKUP(E69,'📊 Team Lookup'!$A$3:$H$367,3,FALSE()),70))+0.35*MAX(IFERROR(VLOOKUP(C69,'📊 Team Lookup'!$A$3:$H$367,3,FALSE()),70),IFERROR(VLOOKUP(E69,'📊 Team Lookup'!$A$3:$H$367,3,FALSE()),70)))+(-(IFERROR(VLOOKUP(E69,'📊 Team Lookup'!$A$3:$H$367,5,FALSE()),200)-IFERROR(VLOOKUP(C69,'📊 Team Lookup'!$A$3:$H$367,5,FALSE()),200))*'Enhanced Matchup Model'!$F$8),1),0)</f>
        <v>63.8</v>
      </c>
      <c r="G69" s="124">
        <f>D69-F69</f>
        <v>2.6000000000000085</v>
      </c>
      <c r="H69" s="125">
        <f>IFERROR(1/(1+EXP(-G69/7)),0.5)</f>
        <v>0.59180412650033076</v>
      </c>
      <c r="I69" s="85" t="str">
        <f>IF(H69&gt;0.5,C69,E69)</f>
        <v>Duke Blue Devils</v>
      </c>
    </row>
    <row r="70" spans="1:9" ht="18" customHeight="1" x14ac:dyDescent="0.25">
      <c r="A70" s="121" t="s">
        <v>121</v>
      </c>
      <c r="B70" s="126" t="s">
        <v>42</v>
      </c>
      <c r="C70" s="127" t="str">
        <f>I62</f>
        <v>UConn Huskies</v>
      </c>
      <c r="D70" s="82">
        <f>IFERROR(ROUND(('Enhanced Matchup Model'!$F$3*IFERROR(VLOOKUP(C70,'📊 Team Lookup'!$A$3:$H$367,7,FALSE()),1)+'Enhanced Matchup Model'!$F$4*IFERROR(VLOOKUP(E70,'📊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Lookup'!$A$3:$H$367,3,FALSE()),70)))+(-(IFERROR(VLOOKUP(C70,'📊 Team Lookup'!$A$3:$H$367,5,FALSE()),200)-IFERROR(VLOOKUP(E70,'📊 Team Lookup'!$A$3:$H$367,5,FALSE()),200))*'Enhanced Matchup Model'!$F$8),1),0)</f>
        <v>64.8</v>
      </c>
      <c r="E70" s="127" t="str">
        <f>I63</f>
        <v>Florida Gators</v>
      </c>
      <c r="F70" s="82">
        <f>IFERROR(ROUND(('Enhanced Matchup Model'!$F$3*IFERROR(VLOOKUP(E70,'📊 Team Lookup'!$A$3:$H$367,7,FALSE()),1)+'Enhanced Matchup Model'!$F$4*IFERROR(VLOOKUP(C70,'📊 Team Lookup'!$A$3:$H$367,8,FALSE()),1.05))*(0.65*MIN(IFERROR(VLOOKUP(C70,'📊 Team Lookup'!$A$3:$H$367,3,FALSE()),70),IFERROR(VLOOKUP(E70,'📊 Team Lookup'!$A$3:$H$367,3,FALSE()),70))+0.35*MAX(IFERROR(VLOOKUP(C70,'📊 Team Lookup'!$A$3:$H$367,3,FALSE()),70),IFERROR(VLOOKUP(E70,'📊 Team Lookup'!$A$3:$H$367,3,FALSE()),70)))+(-(IFERROR(VLOOKUP(E70,'📊 Team Lookup'!$A$3:$H$367,5,FALSE()),200)-IFERROR(VLOOKUP(C70,'📊 Team Lookup'!$A$3:$H$367,5,FALSE()),200))*'Enhanced Matchup Model'!$F$8),1),0)</f>
        <v>65.599999999999994</v>
      </c>
      <c r="G70" s="124">
        <f>D70-F70</f>
        <v>-0.79999999999999716</v>
      </c>
      <c r="H70" s="125">
        <f>IFERROR(1/(1+EXP(-G70/7)),0.5)</f>
        <v>0.47145962901773492</v>
      </c>
      <c r="I70" s="85" t="str">
        <f>IF(H70&gt;0.5,C70,E70)</f>
        <v>Florida Gators</v>
      </c>
    </row>
    <row r="71" spans="1:9" ht="18" customHeight="1" x14ac:dyDescent="0.25">
      <c r="A71" s="121" t="s">
        <v>121</v>
      </c>
      <c r="B71" s="128" t="s">
        <v>64</v>
      </c>
      <c r="C71" s="129" t="str">
        <f>I64</f>
        <v>Michigan Wolverines</v>
      </c>
      <c r="D71" s="82">
        <f>IFERROR(ROUND(('Enhanced Matchup Model'!$F$3*IFERROR(VLOOKUP(C71,'📊 Team Lookup'!$A$3:$H$367,7,FALSE()),1)+'Enhanced Matchup Model'!$F$4*IFERROR(VLOOKUP(E71,'📊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Lookup'!$A$3:$H$367,3,FALSE()),70)))+(-(IFERROR(VLOOKUP(C71,'📊 Team Lookup'!$A$3:$H$367,5,FALSE()),200)-IFERROR(VLOOKUP(E71,'📊 Team Lookup'!$A$3:$H$367,5,FALSE()),200))*'Enhanced Matchup Model'!$F$8),1),0)</f>
        <v>68.2</v>
      </c>
      <c r="E71" s="129" t="str">
        <f>I65</f>
        <v>Arizona Wildcats</v>
      </c>
      <c r="F71" s="82">
        <f>IFERROR(ROUND(('Enhanced Matchup Model'!$F$3*IFERROR(VLOOKUP(E71,'📊 Team Lookup'!$A$3:$H$367,7,FALSE()),1)+'Enhanced Matchup Model'!$F$4*IFERROR(VLOOKUP(C71,'📊 Team Lookup'!$A$3:$H$367,8,FALSE()),1.05))*(0.65*MIN(IFERROR(VLOOKUP(C71,'📊 Team Lookup'!$A$3:$H$367,3,FALSE()),70),IFERROR(VLOOKUP(E71,'📊 Team Lookup'!$A$3:$H$367,3,FALSE()),70))+0.35*MAX(IFERROR(VLOOKUP(C71,'📊 Team Lookup'!$A$3:$H$367,3,FALSE()),70),IFERROR(VLOOKUP(E71,'📊 Team Lookup'!$A$3:$H$367,3,FALSE()),70)))+(-(IFERROR(VLOOKUP(E71,'📊 Team Lookup'!$A$3:$H$367,5,FALSE()),200)-IFERROR(VLOOKUP(C71,'📊 Team Lookup'!$A$3:$H$367,5,FALSE()),200))*'Enhanced Matchup Model'!$F$8),1),0)</f>
        <v>67.400000000000006</v>
      </c>
      <c r="G71" s="124">
        <f>D71-F71</f>
        <v>0.79999999999999716</v>
      </c>
      <c r="H71" s="125">
        <f>IFERROR(1/(1+EXP(-G71/7)),0.5)</f>
        <v>0.52854037098226514</v>
      </c>
      <c r="I71" s="85" t="str">
        <f>IF(H71&gt;0.5,C71,E71)</f>
        <v>Michigan Wolverines</v>
      </c>
    </row>
    <row r="72" spans="1:9" ht="18" customHeight="1" x14ac:dyDescent="0.25">
      <c r="A72" s="121" t="s">
        <v>121</v>
      </c>
      <c r="B72" s="130" t="s">
        <v>83</v>
      </c>
      <c r="C72" s="131" t="str">
        <f>I66</f>
        <v>Arizona Wildcats</v>
      </c>
      <c r="D72" s="82">
        <f>IFERROR(ROUND(('Enhanced Matchup Model'!$F$3*IFERROR(VLOOKUP(C72,'📊 Team Lookup'!$A$3:$H$367,7,FALSE()),1)+'Enhanced Matchup Model'!$F$4*IFERROR(VLOOKUP(E72,'📊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Lookup'!$A$3:$H$367,3,FALSE()),70)))+(-(IFERROR(VLOOKUP(C72,'📊 Team Lookup'!$A$3:$H$367,5,FALSE()),200)-IFERROR(VLOOKUP(E72,'📊 Team Lookup'!$A$3:$H$367,5,FALSE()),200))*'Enhanced Matchup Model'!$F$8),1),0)</f>
        <v>66.099999999999994</v>
      </c>
      <c r="E72" s="131" t="str">
        <f>I67</f>
        <v>Michigan State Spartans</v>
      </c>
      <c r="F72" s="82">
        <f>IFERROR(ROUND(('Enhanced Matchup Model'!$F$3*IFERROR(VLOOKUP(E72,'📊 Team Lookup'!$A$3:$H$367,7,FALSE()),1)+'Enhanced Matchup Model'!$F$4*IFERROR(VLOOKUP(C72,'📊 Team Lookup'!$A$3:$H$367,8,FALSE()),1.05))*(0.65*MIN(IFERROR(VLOOKUP(C72,'📊 Team Lookup'!$A$3:$H$367,3,FALSE()),70),IFERROR(VLOOKUP(E72,'📊 Team Lookup'!$A$3:$H$367,3,FALSE()),70))+0.35*MAX(IFERROR(VLOOKUP(C72,'📊 Team Lookup'!$A$3:$H$367,3,FALSE()),70),IFERROR(VLOOKUP(E72,'📊 Team Lookup'!$A$3:$H$367,3,FALSE()),70)))+(-(IFERROR(VLOOKUP(E72,'📊 Team Lookup'!$A$3:$H$367,5,FALSE()),200)-IFERROR(VLOOKUP(C72,'📊 Team Lookup'!$A$3:$H$367,5,FALSE()),200))*'Enhanced Matchup Model'!$F$8),1),0)</f>
        <v>63.5</v>
      </c>
      <c r="G72" s="124">
        <f>D72-F72</f>
        <v>2.5999999999999943</v>
      </c>
      <c r="H72" s="125">
        <f>IFERROR(1/(1+EXP(-G72/7)),0.5)</f>
        <v>0.59180412650033032</v>
      </c>
      <c r="I72" s="85" t="str">
        <f>IF(H72&gt;0.5,C72,E72)</f>
        <v>Arizona Wildcats</v>
      </c>
    </row>
    <row r="73" spans="1:9" ht="18" customHeight="1" x14ac:dyDescent="0.25">
      <c r="A73" s="132" t="s">
        <v>122</v>
      </c>
    </row>
    <row r="74" spans="1:9" ht="18" customHeight="1" x14ac:dyDescent="0.25">
      <c r="A74" s="133" t="s">
        <v>123</v>
      </c>
      <c r="B74" s="134" t="s">
        <v>124</v>
      </c>
      <c r="C74" s="135" t="str">
        <f>I69</f>
        <v>Duke Blue Devils</v>
      </c>
      <c r="D74" s="82">
        <f>IFERROR(ROUND(('Enhanced Matchup Model'!$F$3*IFERROR(VLOOKUP(C74,'📊 Team Lookup'!$A$3:$H$367,7,FALSE()),1)+'Enhanced Matchup Model'!$F$4*IFERROR(VLOOKUP(E74,'📊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Lookup'!$A$3:$H$367,3,FALSE()),70)))+(-(IFERROR(VLOOKUP(C74,'📊 Team Lookup'!$A$3:$H$367,5,FALSE()),200)-IFERROR(VLOOKUP(E74,'📊 Team Lookup'!$A$3:$H$367,5,FALSE()),200))*'Enhanced Matchup Model'!$F$8),1),0)</f>
        <v>67</v>
      </c>
      <c r="E74" s="135" t="str">
        <f>I70</f>
        <v>Florida Gators</v>
      </c>
      <c r="F74" s="82">
        <f>IFERROR(ROUND(('Enhanced Matchup Model'!$F$3*IFERROR(VLOOKUP(E74,'📊 Team Lookup'!$A$3:$H$367,7,FALSE()),1)+'Enhanced Matchup Model'!$F$4*IFERROR(VLOOKUP(C74,'📊 Team Lookup'!$A$3:$H$367,8,FALSE()),1.05))*(0.65*MIN(IFERROR(VLOOKUP(C74,'📊 Team Lookup'!$A$3:$H$367,3,FALSE()),70),IFERROR(VLOOKUP(E74,'📊 Team Lookup'!$A$3:$H$367,3,FALSE()),70))+0.35*MAX(IFERROR(VLOOKUP(C74,'📊 Team Lookup'!$A$3:$H$367,3,FALSE()),70),IFERROR(VLOOKUP(E74,'📊 Team Lookup'!$A$3:$H$367,3,FALSE()),70)))+(-(IFERROR(VLOOKUP(E74,'📊 Team Lookup'!$A$3:$H$367,5,FALSE()),200)-IFERROR(VLOOKUP(C74,'📊 Team Lookup'!$A$3:$H$367,5,FALSE()),200))*'Enhanced Matchup Model'!$F$8),1),0)</f>
        <v>64.3</v>
      </c>
      <c r="G74" s="136">
        <f>D74-F74</f>
        <v>2.7000000000000028</v>
      </c>
      <c r="H74" s="137">
        <f>IFERROR(1/(1+EXP(-G74/7)),0.5)</f>
        <v>0.5952505765163526</v>
      </c>
      <c r="I74" s="85" t="str">
        <f>IF(H74&gt;0.5,C74,E74)</f>
        <v>Duke Blue Devils</v>
      </c>
    </row>
    <row r="75" spans="1:9" ht="18" customHeight="1" x14ac:dyDescent="0.25">
      <c r="A75" s="133" t="s">
        <v>123</v>
      </c>
      <c r="B75" s="134" t="s">
        <v>125</v>
      </c>
      <c r="C75" s="135" t="str">
        <f>I71</f>
        <v>Michigan Wolverines</v>
      </c>
      <c r="D75" s="82">
        <f>IFERROR(ROUND(('Enhanced Matchup Model'!$F$3*IFERROR(VLOOKUP(C75,'📊 Team Lookup'!$A$3:$H$367,7,FALSE()),1)+'Enhanced Matchup Model'!$F$4*IFERROR(VLOOKUP(E75,'📊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Lookup'!$A$3:$H$367,3,FALSE()),70)))+(-(IFERROR(VLOOKUP(C75,'📊 Team Lookup'!$A$3:$H$367,5,FALSE()),200)-IFERROR(VLOOKUP(E75,'📊 Team Lookup'!$A$3:$H$367,5,FALSE()),200))*'Enhanced Matchup Model'!$F$8),1),0)</f>
        <v>68.2</v>
      </c>
      <c r="E75" s="135" t="str">
        <f>I72</f>
        <v>Arizona Wildcats</v>
      </c>
      <c r="F75" s="82">
        <f>IFERROR(ROUND(('Enhanced Matchup Model'!$F$3*IFERROR(VLOOKUP(E75,'📊 Team Lookup'!$A$3:$H$367,7,FALSE()),1)+'Enhanced Matchup Model'!$F$4*IFERROR(VLOOKUP(C75,'📊 Team Lookup'!$A$3:$H$367,8,FALSE()),1.05))*(0.65*MIN(IFERROR(VLOOKUP(C75,'📊 Team Lookup'!$A$3:$H$367,3,FALSE()),70),IFERROR(VLOOKUP(E75,'📊 Team Lookup'!$A$3:$H$367,3,FALSE()),70))+0.35*MAX(IFERROR(VLOOKUP(C75,'📊 Team Lookup'!$A$3:$H$367,3,FALSE()),70),IFERROR(VLOOKUP(E75,'📊 Team Lookup'!$A$3:$H$367,3,FALSE()),70)))+(-(IFERROR(VLOOKUP(E75,'📊 Team Lookup'!$A$3:$H$367,5,FALSE()),200)-IFERROR(VLOOKUP(C75,'📊 Team Lookup'!$A$3:$H$367,5,FALSE()),200))*'Enhanced Matchup Model'!$F$8),1),0)</f>
        <v>67.400000000000006</v>
      </c>
      <c r="G75" s="136">
        <f>D75-F75</f>
        <v>0.79999999999999716</v>
      </c>
      <c r="H75" s="137">
        <f>IFERROR(1/(1+EXP(-G75/7)),0.5)</f>
        <v>0.52854037098226514</v>
      </c>
      <c r="I75" s="85" t="str">
        <f>IF(H75&gt;0.5,C75,E75)</f>
        <v>Michigan Wolverines</v>
      </c>
    </row>
    <row r="76" spans="1:9" ht="18" customHeight="1" x14ac:dyDescent="0.25">
      <c r="A76" s="138" t="s">
        <v>126</v>
      </c>
    </row>
    <row r="77" spans="1:9" ht="24" customHeight="1" x14ac:dyDescent="0.25">
      <c r="A77" s="139" t="s">
        <v>127</v>
      </c>
      <c r="B77" s="140" t="s">
        <v>128</v>
      </c>
      <c r="C77" s="141" t="str">
        <f>I74</f>
        <v>Duke Blue Devils</v>
      </c>
      <c r="D77" s="142">
        <f>IFERROR(ROUND(('Enhanced Matchup Model'!$F$3*IFERROR(VLOOKUP(C77,'📊 Team Lookup'!$A$3:$H$367,7,FALSE()),1)+'Enhanced Matchup Model'!$F$4*IFERROR(VLOOKUP(E77,'📊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Lookup'!$A$3:$H$367,3,FALSE()),70)))+(-(IFERROR(VLOOKUP(C77,'📊 Team Lookup'!$A$3:$H$367,5,FALSE()),200)-IFERROR(VLOOKUP(E77,'📊 Team Lookup'!$A$3:$H$367,5,FALSE()),200))*'Enhanced Matchup Model'!$F$8),1),0)</f>
        <v>65.599999999999994</v>
      </c>
      <c r="E77" s="141" t="str">
        <f>I75</f>
        <v>Michigan Wolverines</v>
      </c>
      <c r="F77" s="142">
        <f>IFERROR(ROUND(('Enhanced Matchup Model'!$F$3*IFERROR(VLOOKUP(E77,'📊 Team Lookup'!$A$3:$H$367,7,FALSE()),1)+'Enhanced Matchup Model'!$F$4*IFERROR(VLOOKUP(C77,'📊 Team Lookup'!$A$3:$H$367,8,FALSE()),1.05))*(0.65*MIN(IFERROR(VLOOKUP(C77,'📊 Team Lookup'!$A$3:$H$367,3,FALSE()),70),IFERROR(VLOOKUP(E77,'📊 Team Lookup'!$A$3:$H$367,3,FALSE()),70))+0.35*MAX(IFERROR(VLOOKUP(C77,'📊 Team Lookup'!$A$3:$H$367,3,FALSE()),70),IFERROR(VLOOKUP(E77,'📊 Team Lookup'!$A$3:$H$367,3,FALSE()),70)))+(-(IFERROR(VLOOKUP(E77,'📊 Team Lookup'!$A$3:$H$367,5,FALSE()),200)-IFERROR(VLOOKUP(C77,'📊 Team Lookup'!$A$3:$H$367,5,FALSE()),200))*'Enhanced Matchup Model'!$F$8),1),0)</f>
        <v>64.8</v>
      </c>
      <c r="G77" s="142">
        <f>D77-F77</f>
        <v>0.79999999999999716</v>
      </c>
      <c r="H77" s="143">
        <f>IFERROR(1/(1+EXP(-G77/7)),0.5)</f>
        <v>0.52854037098226514</v>
      </c>
      <c r="I77" s="144" t="str">
        <f>IF(H77&gt;0.5,C77,E77)</f>
        <v>Duke Blue Devils</v>
      </c>
    </row>
    <row r="79" spans="1:9" ht="37.5" customHeight="1" x14ac:dyDescent="0.25">
      <c r="A79" s="145" t="str">
        <f>IFERROR("🏆  PROJECTED 2026 NCAA CHAMPION:  "&amp;I77&amp;"  🏆","← Enter teams in Bracket Input tab first")</f>
        <v>🏆  PROJECTED 2026 NCAA CHAMPION:  Duke Blue Devils  🏆</v>
      </c>
      <c r="B79" s="145"/>
      <c r="C79" s="145"/>
      <c r="D79" s="145"/>
      <c r="E79" s="145"/>
      <c r="F79" s="145"/>
      <c r="G79" s="145"/>
      <c r="H79" s="145"/>
      <c r="I79" s="145"/>
    </row>
  </sheetData>
  <mergeCells count="2">
    <mergeCell ref="A1:I1"/>
    <mergeCell ref="A2:I2"/>
  </mergeCells>
  <conditionalFormatting sqref="H1:H78 H80:H1048576">
    <cfRule type="cellIs" dxfId="6" priority="2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7"/>
  <sheetViews>
    <sheetView zoomScaleNormal="100" workbookViewId="0">
      <selection activeCell="E29" sqref="E29"/>
    </sheetView>
  </sheetViews>
  <sheetFormatPr defaultColWidth="8.5703125" defaultRowHeight="15" outlineLevelRow="1" x14ac:dyDescent="0.25"/>
  <cols>
    <col min="1" max="1" width="35" customWidth="1"/>
    <col min="2" max="2" width="25" customWidth="1"/>
    <col min="3" max="3" width="21.28515625" style="146" customWidth="1"/>
    <col min="4" max="4" width="30" customWidth="1"/>
    <col min="5" max="5" width="18" customWidth="1"/>
    <col min="6" max="6" width="12" customWidth="1"/>
  </cols>
  <sheetData>
    <row r="1" spans="1:8" ht="21" customHeight="1" x14ac:dyDescent="0.35">
      <c r="A1" s="271" t="s">
        <v>129</v>
      </c>
      <c r="B1" s="261"/>
      <c r="C1" s="272"/>
      <c r="D1" s="261"/>
      <c r="E1" s="261"/>
      <c r="F1" s="261"/>
      <c r="G1" s="261"/>
      <c r="H1" s="261"/>
    </row>
    <row r="2" spans="1:8" ht="15" customHeight="1" x14ac:dyDescent="0.25">
      <c r="E2" s="147" t="s">
        <v>130</v>
      </c>
    </row>
    <row r="3" spans="1:8" ht="15" customHeight="1" x14ac:dyDescent="0.25">
      <c r="A3" t="s">
        <v>131</v>
      </c>
      <c r="B3" t="s">
        <v>132</v>
      </c>
      <c r="E3" s="148" t="s">
        <v>133</v>
      </c>
      <c r="F3" s="148">
        <v>0.44</v>
      </c>
    </row>
    <row r="4" spans="1:8" ht="15" customHeight="1" x14ac:dyDescent="0.25">
      <c r="A4" t="s">
        <v>134</v>
      </c>
      <c r="B4" t="s">
        <v>89</v>
      </c>
      <c r="E4" s="148" t="s">
        <v>135</v>
      </c>
      <c r="F4" s="148">
        <v>0.43</v>
      </c>
    </row>
    <row r="5" spans="1:8" ht="15" customHeight="1" x14ac:dyDescent="0.25">
      <c r="A5" t="s">
        <v>136</v>
      </c>
      <c r="B5" t="s">
        <v>243</v>
      </c>
      <c r="E5" t="s">
        <v>138</v>
      </c>
    </row>
    <row r="6" spans="1:8" ht="15" customHeight="1" outlineLevel="1" x14ac:dyDescent="0.25"/>
    <row r="7" spans="1:8" ht="15.75" customHeight="1" outlineLevel="1" x14ac:dyDescent="0.25">
      <c r="A7" s="149" t="s">
        <v>139</v>
      </c>
      <c r="E7" s="148" t="s">
        <v>140</v>
      </c>
      <c r="F7" s="148">
        <v>1</v>
      </c>
    </row>
    <row r="8" spans="1:8" ht="15" customHeight="1" outlineLevel="1" x14ac:dyDescent="0.25">
      <c r="A8" t="str">
        <f>B4 &amp; " Possessions/Game"</f>
        <v>Belmont Bruins Possessions/Game</v>
      </c>
      <c r="C8" s="146">
        <f>(INDEX('Team Stats'!F:F,MATCH(B4,'Team Stats'!B:B,0))-INDEX('Team Stats'!N:N,MATCH(B4,'Team Stats'!B:B,0)))+INDEX('Team Stats'!T:T,MATCH(B4,'Team Stats'!B:B,0))+0.44*INDEX('Team Stats'!L:L,MATCH(B4,'Team Stats'!B:B,0))</f>
        <v>70.128</v>
      </c>
      <c r="E8" s="148" t="s">
        <v>141</v>
      </c>
      <c r="F8" s="148">
        <v>0.03</v>
      </c>
    </row>
    <row r="9" spans="1:8" ht="15" customHeight="1" outlineLevel="1" x14ac:dyDescent="0.25">
      <c r="A9" t="str">
        <f>B4 &amp; " PPP (Offensive)"</f>
        <v>Belmont Bruins PPP (Offensive)</v>
      </c>
      <c r="C9" s="146">
        <f>INDEX('Team Stats'!D:D,MATCH(B4,'Team Stats'!B:B,0))/C8</f>
        <v>1.1978097193702943</v>
      </c>
    </row>
    <row r="10" spans="1:8" ht="15" customHeight="1" outlineLevel="1" x14ac:dyDescent="0.25">
      <c r="A10" t="str">
        <f>B5 &amp; " PPP Allowed (Defense)"</f>
        <v>Drake Bulldogs PPP Allowed (Defense)</v>
      </c>
      <c r="C10" s="146">
        <f>INDEX('Opponents stats vs'!D:D,MATCH(B5,'Opponents stats vs'!B:B,0))/((INDEX('Opponents stats vs'!F:F,MATCH(B5,'Opponents stats vs'!B:B,0))-INDEX('Opponents stats vs'!N:N,MATCH(B5,'Opponents stats vs'!B:B,0)))+INDEX('Opponents stats vs'!T:T,MATCH(B5,'Opponents stats vs'!B:B,0))+0.44*INDEX('Opponents stats vs'!L:L,MATCH(B5,'Opponents stats vs'!B:B,0)))</f>
        <v>1.1009714453929937</v>
      </c>
      <c r="E10" s="148" t="s">
        <v>142</v>
      </c>
      <c r="F10" s="148">
        <v>18</v>
      </c>
    </row>
    <row r="11" spans="1:8" ht="15" customHeight="1" outlineLevel="1" x14ac:dyDescent="0.25">
      <c r="A11" t="str">
        <f>B4 &amp; " Blended PPP"</f>
        <v>Belmont Bruins Blended PPP</v>
      </c>
      <c r="C11" s="146">
        <f>F3*(C9*((366-G24)/365)^$F$14)+F4*(C10*(2-((366-G25)/365)^$F$14))</f>
        <v>0.99758256156363823</v>
      </c>
      <c r="D11" t="s">
        <v>143</v>
      </c>
      <c r="E11" s="150" t="s">
        <v>144</v>
      </c>
      <c r="F11">
        <v>4</v>
      </c>
    </row>
    <row r="12" spans="1:8" ht="15" customHeight="1" outlineLevel="1" x14ac:dyDescent="0.25">
      <c r="E12" s="150" t="s">
        <v>145</v>
      </c>
      <c r="F12">
        <v>1</v>
      </c>
    </row>
    <row r="13" spans="1:8" ht="15.75" customHeight="1" outlineLevel="1" x14ac:dyDescent="0.25">
      <c r="A13" s="151" t="s">
        <v>146</v>
      </c>
      <c r="E13" s="150" t="s">
        <v>147</v>
      </c>
      <c r="F13">
        <v>7</v>
      </c>
    </row>
    <row r="14" spans="1:8" ht="15" customHeight="1" outlineLevel="1" x14ac:dyDescent="0.25">
      <c r="A14" t="str">
        <f>B5 &amp; " Possessions/Game"</f>
        <v>Drake Bulldogs Possessions/Game</v>
      </c>
      <c r="C14" s="146">
        <f>(INDEX('Team Stats'!F:F,MATCH(B5,'Team Stats'!B:B,0))-INDEX('Team Stats'!N:N,MATCH(B5,'Team Stats'!B:B,0)))+INDEX('Team Stats'!T:T,MATCH(B5,'Team Stats'!B:B,0))+0.44*INDEX('Team Stats'!L:L,MATCH(B5,'Team Stats'!B:B,0))</f>
        <v>67.88</v>
      </c>
      <c r="E14" s="152" t="s">
        <v>148</v>
      </c>
      <c r="F14" s="153">
        <v>0.05</v>
      </c>
    </row>
    <row r="15" spans="1:8" ht="15" customHeight="1" outlineLevel="1" x14ac:dyDescent="0.25">
      <c r="A15" t="str">
        <f>B5 &amp; " PPP (Offensive)"</f>
        <v>Drake Bulldogs PPP (Offensive)</v>
      </c>
      <c r="C15" s="146">
        <f>INDEX('Team Stats'!D:D,MATCH(B5,'Team Stats'!B:B,0))/C14</f>
        <v>1.10489098408957</v>
      </c>
    </row>
    <row r="16" spans="1:8" ht="15" customHeight="1" outlineLevel="1" x14ac:dyDescent="0.25">
      <c r="A16" t="str">
        <f>B4 &amp; " PPP Allowed (Defense)"</f>
        <v>Belmont Bruins PPP Allowed (Defense)</v>
      </c>
      <c r="C16" s="146">
        <f>INDEX('Opponents stats vs'!D:D,MATCH(B4,'Opponents stats vs'!B:B,0))/((INDEX('Opponents stats vs'!F:F,MATCH(B4,'Opponents stats vs'!B:B,0))-INDEX('Opponents stats vs'!N:N,MATCH(B4,'Opponents stats vs'!B:B,0)))+INDEX('Opponents stats vs'!T:T,MATCH(B4,'Opponents stats vs'!B:B,0))+0.44*INDEX('Opponents stats vs'!L:L,MATCH(B4,'Opponents stats vs'!B:B,0)))</f>
        <v>1.0360695095461301</v>
      </c>
    </row>
    <row r="17" spans="1:8" ht="15" customHeight="1" outlineLevel="1" x14ac:dyDescent="0.25">
      <c r="A17" t="str">
        <f>B5 &amp; " Blended PPP"</f>
        <v>Drake Bulldogs Blended PPP</v>
      </c>
      <c r="C17" s="146">
        <f>F3*(C15*((366-G25)/365)^$F$14)+F4*(C16*(2-((366-G24)/365)^$F$14))</f>
        <v>0.93232333206235052</v>
      </c>
      <c r="D17" t="s">
        <v>149</v>
      </c>
    </row>
    <row r="18" spans="1:8" ht="15" customHeight="1" outlineLevel="1" x14ac:dyDescent="0.25"/>
    <row r="19" spans="1:8" ht="15.75" customHeight="1" outlineLevel="1" x14ac:dyDescent="0.25">
      <c r="A19" s="154" t="s">
        <v>150</v>
      </c>
    </row>
    <row r="20" spans="1:8" ht="15" customHeight="1" outlineLevel="1" x14ac:dyDescent="0.25">
      <c r="A20" t="s">
        <v>151</v>
      </c>
      <c r="C20" s="146">
        <f>0.65*MIN(C8,C14)+0.35*MAX(C8,C14)</f>
        <v>68.666799999999995</v>
      </c>
      <c r="D20" s="155" t="s">
        <v>152</v>
      </c>
    </row>
    <row r="21" spans="1:8" ht="15" customHeight="1" outlineLevel="1" x14ac:dyDescent="0.25">
      <c r="A21" t="s">
        <v>153</v>
      </c>
      <c r="C21" s="146">
        <f>C20</f>
        <v>68.666799999999995</v>
      </c>
      <c r="D21" s="155" t="s">
        <v>154</v>
      </c>
    </row>
    <row r="22" spans="1:8" ht="15" customHeight="1" outlineLevel="1" x14ac:dyDescent="0.25">
      <c r="A22" s="150" t="s">
        <v>155</v>
      </c>
      <c r="C22" s="146">
        <f>IF(ABS(C34)&lt;$F$13,$F$11,$F$12)</f>
        <v>1</v>
      </c>
      <c r="D22" s="155" t="s">
        <v>156</v>
      </c>
    </row>
    <row r="23" spans="1:8" ht="15.75" customHeight="1" outlineLevel="1" x14ac:dyDescent="0.25">
      <c r="A23" s="156" t="s">
        <v>157</v>
      </c>
      <c r="G23" s="157" t="s">
        <v>158</v>
      </c>
      <c r="H23" s="157" t="s">
        <v>159</v>
      </c>
    </row>
    <row r="24" spans="1:8" ht="15" customHeight="1" outlineLevel="1" x14ac:dyDescent="0.25">
      <c r="A24" t="str">
        <f>B4 &amp; " SOR Rank"</f>
        <v>Belmont Bruins SOR Rank</v>
      </c>
      <c r="C24" s="146">
        <f>INDEX(SOS!C:C,MATCH(B4,SOS!A:A,0))</f>
        <v>59</v>
      </c>
      <c r="G24" s="158">
        <f>INDEX(SOS!D:D,MATCH(B4,SOS!A:A,0))</f>
        <v>141</v>
      </c>
    </row>
    <row r="25" spans="1:8" ht="15" customHeight="1" outlineLevel="1" x14ac:dyDescent="0.25">
      <c r="A25" t="str">
        <f>B5 &amp; " SOR Rank"</f>
        <v>Drake Bulldogs SOR Rank</v>
      </c>
      <c r="C25" s="146">
        <f>INDEX(SOS!C:C,MATCH(B5,SOS!A:A,0))</f>
        <v>187</v>
      </c>
      <c r="G25" s="158">
        <f>INDEX(SOS!D:D,MATCH(B5,SOS!A:A,0))</f>
        <v>125</v>
      </c>
    </row>
    <row r="26" spans="1:8" ht="15" customHeight="1" outlineLevel="1" x14ac:dyDescent="0.25">
      <c r="A26" t="s">
        <v>160</v>
      </c>
      <c r="C26" s="146">
        <f>C24-C25</f>
        <v>-128</v>
      </c>
      <c r="D26" t="s">
        <v>161</v>
      </c>
    </row>
    <row r="27" spans="1:8" ht="15" customHeight="1" outlineLevel="1" x14ac:dyDescent="0.25">
      <c r="A27" t="s">
        <v>162</v>
      </c>
      <c r="C27" s="146">
        <f>-C26*F8</f>
        <v>3.84</v>
      </c>
      <c r="D27" t="s">
        <v>163</v>
      </c>
    </row>
    <row r="28" spans="1:8" ht="15" customHeight="1" outlineLevel="1" x14ac:dyDescent="0.25"/>
    <row r="29" spans="1:8" ht="18.75" customHeight="1" x14ac:dyDescent="0.3">
      <c r="A29" s="159" t="s">
        <v>164</v>
      </c>
    </row>
    <row r="30" spans="1:8" ht="15" hidden="1" customHeight="1" x14ac:dyDescent="0.25">
      <c r="A30" t="s">
        <v>165</v>
      </c>
      <c r="C30" s="146">
        <f>IF(B3="Home",F7,IF(B3="Away",-F7,0))</f>
        <v>0</v>
      </c>
      <c r="D30" t="s">
        <v>163</v>
      </c>
    </row>
    <row r="31" spans="1:8" ht="15.75" customHeight="1" outlineLevel="1" x14ac:dyDescent="0.25">
      <c r="A31" t="str">
        <f>B4 &amp; " Predicted Points"</f>
        <v>Belmont Bruins Predicted Points</v>
      </c>
      <c r="C31" s="160">
        <f>ROUND(C11*C21+C30+C27,0)</f>
        <v>72</v>
      </c>
      <c r="D31" t="s">
        <v>166</v>
      </c>
    </row>
    <row r="32" spans="1:8" ht="15.75" customHeight="1" outlineLevel="1" x14ac:dyDescent="0.25">
      <c r="A32" t="str">
        <f>B5 &amp; " Predicted Points"</f>
        <v>Drake Bulldogs Predicted Points</v>
      </c>
      <c r="C32" s="160">
        <f>ROUND(C17*C21-C30-C27,0)</f>
        <v>60</v>
      </c>
      <c r="D32" t="s">
        <v>167</v>
      </c>
    </row>
    <row r="33" spans="1:4" ht="15" customHeight="1" outlineLevel="1" x14ac:dyDescent="0.25">
      <c r="A33" t="s">
        <v>168</v>
      </c>
      <c r="C33" s="161">
        <f>C31+C32+C22</f>
        <v>133</v>
      </c>
    </row>
    <row r="34" spans="1:4" ht="15" customHeight="1" outlineLevel="1" x14ac:dyDescent="0.25">
      <c r="A34" t="s">
        <v>169</v>
      </c>
      <c r="C34" s="162">
        <f>C31-C32</f>
        <v>12</v>
      </c>
      <c r="D34" t="s">
        <v>170</v>
      </c>
    </row>
    <row r="35" spans="1:4" ht="15.75" customHeight="1" x14ac:dyDescent="0.25">
      <c r="A35" t="str">
        <f>B4 &amp; " Win Probability"</f>
        <v>Belmont Bruins Win Probability</v>
      </c>
      <c r="C35" s="163">
        <f>1/(1+EXP(-C34/F10))</f>
        <v>0.66075636876581723</v>
      </c>
      <c r="D35" t="s">
        <v>171</v>
      </c>
    </row>
    <row r="36" spans="1:4" ht="15.75" customHeight="1" x14ac:dyDescent="0.25">
      <c r="A36" t="str">
        <f>B5 &amp; " Win Probability"</f>
        <v>Drake Bulldogs Win Probability</v>
      </c>
      <c r="C36" s="164">
        <f>1-C35</f>
        <v>0.33924363123418277</v>
      </c>
    </row>
    <row r="37" spans="1:4" ht="31.5" customHeight="1" x14ac:dyDescent="0.25">
      <c r="A37" t="s">
        <v>172</v>
      </c>
      <c r="C37" s="165" t="str">
        <f>IF(C31&gt;C32,B4&amp;" by "&amp;TEXT(ABS(C34),"0.0")&amp;" points",B5&amp;" by "&amp;TEXT(ABS(C34),"0.0")&amp;" points")</f>
        <v>Belmont Bruins by 12.0 points</v>
      </c>
    </row>
  </sheetData>
  <mergeCells count="1">
    <mergeCell ref="A1:H1"/>
  </mergeCells>
  <dataValidations count="1">
    <dataValidation type="list" allowBlank="1" showInputMessage="1" showErrorMessage="1" sqref="B3" xr:uid="{25F9751A-0299-49EF-A22F-B12F9B2F95E6}">
      <formula1>"Home,Away,Neutral"</formula1>
    </dataValidation>
  </dataValidations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DC842B-BD38-47BE-8A48-B0D4017B7D6A}">
          <x14:formula1>
            <xm:f>'Team Stats'!$B:$B</xm:f>
          </x14:formula1>
          <xm:sqref>B5</xm:sqref>
        </x14:dataValidation>
        <x14:dataValidation type="list" allowBlank="1" showInputMessage="1" showErrorMessage="1" xr:uid="{D798059E-E846-4BCE-8F6E-CAC72C53E31F}">
          <x14:formula1>
            <xm:f>'Team Stats'!$B:$B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67"/>
  <sheetViews>
    <sheetView zoomScaleNormal="100" workbookViewId="0">
      <selection activeCell="E3" sqref="E3"/>
    </sheetView>
  </sheetViews>
  <sheetFormatPr defaultColWidth="8.5703125" defaultRowHeight="15" x14ac:dyDescent="0.25"/>
  <cols>
    <col min="1" max="1" width="35" customWidth="1"/>
    <col min="2" max="3" width="10" customWidth="1"/>
    <col min="4" max="4" width="16.5703125" customWidth="1"/>
    <col min="5" max="5" width="10.140625" customWidth="1"/>
    <col min="6" max="6" width="8" customWidth="1"/>
    <col min="7" max="8" width="11" customWidth="1"/>
  </cols>
  <sheetData>
    <row r="1" spans="1:8" ht="25.5" customHeight="1" x14ac:dyDescent="0.25">
      <c r="A1" s="273" t="s">
        <v>173</v>
      </c>
      <c r="B1" s="261"/>
      <c r="C1" s="261"/>
      <c r="D1" s="261"/>
      <c r="E1" s="261"/>
    </row>
    <row r="2" spans="1:8" ht="19.5" customHeight="1" x14ac:dyDescent="0.25">
      <c r="A2" s="166" t="s">
        <v>174</v>
      </c>
      <c r="B2" s="166" t="s">
        <v>175</v>
      </c>
      <c r="C2" s="166" t="s">
        <v>176</v>
      </c>
      <c r="D2" s="166" t="s">
        <v>177</v>
      </c>
      <c r="E2" s="166" t="s">
        <v>178</v>
      </c>
      <c r="F2" s="152" t="s">
        <v>179</v>
      </c>
      <c r="G2" s="152" t="s">
        <v>180</v>
      </c>
      <c r="H2" s="152" t="s">
        <v>181</v>
      </c>
    </row>
    <row r="3" spans="1:8" ht="15" customHeight="1" x14ac:dyDescent="0.25">
      <c r="A3" s="167" t="s">
        <v>182</v>
      </c>
      <c r="B3" s="168">
        <f>IFERROR(VLOOKUP(A3,'Team Stats'!$B$2:$T$366,3,0)/(VLOOKUP(A3,'Team Stats'!$B$2:$T$366,5,0)+0.44*VLOOKUP(A3,'Team Stats'!$B$2:$T$366,11,0)+VLOOKUP(A3,'Team Stats'!$B$2:$T$366,19,0)-VLOOKUP(A3,'Team Stats'!$B$2:$T$366,13,0)),1)</f>
        <v>1.0227868756920566</v>
      </c>
      <c r="C3" s="168">
        <f>IFERROR((VLOOKUP(A3,'Team Stats'!$B$2:$T$366,5,0)+0.44*VLOOKUP(A3,'Team Stats'!$B$2:$T$366,11,0)+VLOOKUP(A3,'Team Stats'!$B$2:$T$366,19,0)-VLOOKUP(A3,'Team Stats'!$B$2:$T$366,13,0)),70)</f>
        <v>68.63600000000001</v>
      </c>
      <c r="D3" s="168">
        <f>IFERROR(VLOOKUP(A3,'Opponents stats vs'!$B$2:$D$366,3,0)/C3,1.05)</f>
        <v>1.0519261029197504</v>
      </c>
      <c r="E3" s="169">
        <f>IFERROR(VLOOKUP(A3,SOS!A:C,3,0),200)</f>
        <v>214</v>
      </c>
      <c r="F3">
        <f>IFERROR(VLOOKUP(A3,SOS!A:D,4,0),200)</f>
        <v>198</v>
      </c>
      <c r="G3">
        <f>B3*((366-F3)/365)^'Enhanced Matchup Model'!$F$14</f>
        <v>0.9838660334163053</v>
      </c>
      <c r="H3">
        <f>D3*(2-((366-F3)/365)^'Enhanced Matchup Model'!$F$14)</f>
        <v>1.0919558011007937</v>
      </c>
    </row>
    <row r="4" spans="1:8" ht="15" customHeight="1" x14ac:dyDescent="0.25">
      <c r="A4" s="170" t="s">
        <v>183</v>
      </c>
      <c r="B4" s="168">
        <f>IFERROR(VLOOKUP(A4,'Team Stats'!$B$2:$T$366,3,0)/(VLOOKUP(A4,'Team Stats'!$B$2:$T$366,5,0)+0.44*VLOOKUP(A4,'Team Stats'!$B$2:$T$366,11,0)+VLOOKUP(A4,'Team Stats'!$B$2:$T$366,19,0)-VLOOKUP(A4,'Team Stats'!$B$2:$T$366,13,0)),1)</f>
        <v>0.93102622440426286</v>
      </c>
      <c r="C4" s="168">
        <f>IFERROR((VLOOKUP(A4,'Team Stats'!$B$2:$T$366,5,0)+0.44*VLOOKUP(A4,'Team Stats'!$B$2:$T$366,11,0)+VLOOKUP(A4,'Team Stats'!$B$2:$T$366,19,0)-VLOOKUP(A4,'Team Stats'!$B$2:$T$366,13,0)),70)</f>
        <v>66.808000000000007</v>
      </c>
      <c r="D4" s="168">
        <f>IFERROR(VLOOKUP(A4,'Opponents stats vs'!$B$2:$D$366,3,0)/C4,1.05)</f>
        <v>1.1989582085977726</v>
      </c>
      <c r="E4" s="169">
        <f>IFERROR(VLOOKUP(A4,SOS!A:C,3,0),200)</f>
        <v>358</v>
      </c>
      <c r="F4">
        <f>IFERROR(VLOOKUP(A4,SOS!A:D,4,0),200)</f>
        <v>91</v>
      </c>
      <c r="G4">
        <f>B4*((366-F4)/365)^'Enhanced Matchup Model'!$F$14</f>
        <v>0.91793917667538594</v>
      </c>
      <c r="H4">
        <f>D4*(2-((366-F4)/365)^'Enhanced Matchup Model'!$F$14)</f>
        <v>1.2158114645958922</v>
      </c>
    </row>
    <row r="5" spans="1:8" ht="15" customHeight="1" x14ac:dyDescent="0.25">
      <c r="A5" s="167" t="s">
        <v>184</v>
      </c>
      <c r="B5" s="168">
        <f>IFERROR(VLOOKUP(A5,'Team Stats'!$B$2:$T$366,3,0)/(VLOOKUP(A5,'Team Stats'!$B$2:$T$366,5,0)+0.44*VLOOKUP(A5,'Team Stats'!$B$2:$T$366,11,0)+VLOOKUP(A5,'Team Stats'!$B$2:$T$366,19,0)-VLOOKUP(A5,'Team Stats'!$B$2:$T$366,13,0)),1)</f>
        <v>1.2480455662273844</v>
      </c>
      <c r="C5" s="168">
        <f>IFERROR((VLOOKUP(A5,'Team Stats'!$B$2:$T$366,5,0)+0.44*VLOOKUP(A5,'Team Stats'!$B$2:$T$366,11,0)+VLOOKUP(A5,'Team Stats'!$B$2:$T$366,19,0)-VLOOKUP(A5,'Team Stats'!$B$2:$T$366,13,0)),70)</f>
        <v>71.632000000000005</v>
      </c>
      <c r="D5" s="168">
        <f>IFERROR(VLOOKUP(A5,'Opponents stats vs'!$B$2:$D$366,3,0)/C5,1.05)</f>
        <v>1.0372459236095599</v>
      </c>
      <c r="E5" s="169">
        <f>IFERROR(VLOOKUP(A5,SOS!A:C,3,0),200)</f>
        <v>106</v>
      </c>
      <c r="F5">
        <f>IFERROR(VLOOKUP(A5,SOS!A:D,4,0),200)</f>
        <v>233</v>
      </c>
      <c r="G5">
        <f>B5*((366-F5)/365)^'Enhanced Matchup Model'!$F$14</f>
        <v>1.1866110289885103</v>
      </c>
      <c r="H5">
        <f>D5*(2-((366-F5)/365)^'Enhanced Matchup Model'!$F$14)</f>
        <v>1.0883039338651341</v>
      </c>
    </row>
    <row r="6" spans="1:8" ht="15" customHeight="1" x14ac:dyDescent="0.25">
      <c r="A6" s="170" t="s">
        <v>185</v>
      </c>
      <c r="B6" s="168">
        <f>IFERROR(VLOOKUP(A6,'Team Stats'!$B$2:$T$366,3,0)/(VLOOKUP(A6,'Team Stats'!$B$2:$T$366,5,0)+0.44*VLOOKUP(A6,'Team Stats'!$B$2:$T$366,11,0)+VLOOKUP(A6,'Team Stats'!$B$2:$T$366,19,0)-VLOOKUP(A6,'Team Stats'!$B$2:$T$366,13,0)),1)</f>
        <v>1.0752367903735034</v>
      </c>
      <c r="C6" s="168">
        <f>IFERROR((VLOOKUP(A6,'Team Stats'!$B$2:$T$366,5,0)+0.44*VLOOKUP(A6,'Team Stats'!$B$2:$T$366,11,0)+VLOOKUP(A6,'Team Stats'!$B$2:$T$366,19,0)-VLOOKUP(A6,'Team Stats'!$B$2:$T$366,13,0)),70)</f>
        <v>67.147999999999996</v>
      </c>
      <c r="D6" s="168">
        <f>IFERROR(VLOOKUP(A6,'Opponents stats vs'!$B$2:$D$366,3,0)/C6,1.05)</f>
        <v>1.0782152856376961</v>
      </c>
      <c r="E6" s="169">
        <f>IFERROR(VLOOKUP(A6,SOS!A:C,3,0),200)</f>
        <v>331</v>
      </c>
      <c r="F6">
        <f>IFERROR(VLOOKUP(A6,SOS!A:D,4,0),200)</f>
        <v>359</v>
      </c>
      <c r="G6">
        <f>B6*((366-F6)/365)^'Enhanced Matchup Model'!$F$14</f>
        <v>0.88235707956816978</v>
      </c>
      <c r="H6">
        <f>D6*(2-((366-F6)/365)^'Enhanced Matchup Model'!$F$14)</f>
        <v>1.2716292892707455</v>
      </c>
    </row>
    <row r="7" spans="1:8" ht="15" customHeight="1" x14ac:dyDescent="0.25">
      <c r="A7" s="167" t="s">
        <v>90</v>
      </c>
      <c r="B7" s="168">
        <f>IFERROR(VLOOKUP(A7,'Team Stats'!$B$2:$T$366,3,0)/(VLOOKUP(A7,'Team Stats'!$B$2:$T$366,5,0)+0.44*VLOOKUP(A7,'Team Stats'!$B$2:$T$366,11,0)+VLOOKUP(A7,'Team Stats'!$B$2:$T$366,19,0)-VLOOKUP(A7,'Team Stats'!$B$2:$T$366,13,0)),1)</f>
        <v>1.2359610940942554</v>
      </c>
      <c r="C7" s="168">
        <f>IFERROR((VLOOKUP(A7,'Team Stats'!$B$2:$T$366,5,0)+0.44*VLOOKUP(A7,'Team Stats'!$B$2:$T$366,11,0)+VLOOKUP(A7,'Team Stats'!$B$2:$T$366,19,0)-VLOOKUP(A7,'Team Stats'!$B$2:$T$366,13,0)),70)</f>
        <v>74.436000000000007</v>
      </c>
      <c r="D7" s="168">
        <f>IFERROR(VLOOKUP(A7,'Opponents stats vs'!$B$2:$D$366,3,0)/C7,1.05)</f>
        <v>1.1231124724595625</v>
      </c>
      <c r="E7" s="169">
        <f>IFERROR(VLOOKUP(A7,SOS!A:C,3,0),200)</f>
        <v>10</v>
      </c>
      <c r="F7">
        <f>IFERROR(VLOOKUP(A7,SOS!A:D,4,0),200)</f>
        <v>1</v>
      </c>
      <c r="G7">
        <f>B7*((366-F7)/365)^'Enhanced Matchup Model'!$F$14</f>
        <v>1.2359610940942554</v>
      </c>
      <c r="H7">
        <f>D7*(2-((366-F7)/365)^'Enhanced Matchup Model'!$F$14)</f>
        <v>1.1231124724595625</v>
      </c>
    </row>
    <row r="8" spans="1:8" ht="15" customHeight="1" x14ac:dyDescent="0.25">
      <c r="A8" s="170" t="s">
        <v>186</v>
      </c>
      <c r="B8" s="168">
        <f>IFERROR(VLOOKUP(A8,'Team Stats'!$B$2:$T$366,3,0)/(VLOOKUP(A8,'Team Stats'!$B$2:$T$366,5,0)+0.44*VLOOKUP(A8,'Team Stats'!$B$2:$T$366,11,0)+VLOOKUP(A8,'Team Stats'!$B$2:$T$366,19,0)-VLOOKUP(A8,'Team Stats'!$B$2:$T$366,13,0)),1)</f>
        <v>1.0335698997409035</v>
      </c>
      <c r="C8" s="168">
        <f>IFERROR((VLOOKUP(A8,'Team Stats'!$B$2:$T$366,5,0)+0.44*VLOOKUP(A8,'Team Stats'!$B$2:$T$366,11,0)+VLOOKUP(A8,'Team Stats'!$B$2:$T$366,19,0)-VLOOKUP(A8,'Team Stats'!$B$2:$T$366,13,0)),70)</f>
        <v>71.016000000000005</v>
      </c>
      <c r="D8" s="168">
        <f>IFERROR(VLOOKUP(A8,'Opponents stats vs'!$B$2:$D$366,3,0)/C8,1.05)</f>
        <v>1.0884871014982538</v>
      </c>
      <c r="E8" s="169">
        <f>IFERROR(VLOOKUP(A8,SOS!A:C,3,0),200)</f>
        <v>297</v>
      </c>
      <c r="F8">
        <f>IFERROR(VLOOKUP(A8,SOS!A:D,4,0),200)</f>
        <v>264</v>
      </c>
      <c r="G8">
        <f>B8*((366-F8)/365)^'Enhanced Matchup Model'!$F$14</f>
        <v>0.96973979586086445</v>
      </c>
      <c r="H8">
        <f>D8*(2-((366-F8)/365)^'Enhanced Matchup Model'!$F$14)</f>
        <v>1.1557087231593848</v>
      </c>
    </row>
    <row r="9" spans="1:8" ht="15" customHeight="1" x14ac:dyDescent="0.25">
      <c r="A9" s="167" t="s">
        <v>187</v>
      </c>
      <c r="B9" s="168">
        <f>IFERROR(VLOOKUP(A9,'Team Stats'!$B$2:$T$366,3,0)/(VLOOKUP(A9,'Team Stats'!$B$2:$T$366,5,0)+0.44*VLOOKUP(A9,'Team Stats'!$B$2:$T$366,11,0)+VLOOKUP(A9,'Team Stats'!$B$2:$T$366,19,0)-VLOOKUP(A9,'Team Stats'!$B$2:$T$366,13,0)),1)</f>
        <v>0.96939662667362203</v>
      </c>
      <c r="C9" s="168">
        <f>IFERROR((VLOOKUP(A9,'Team Stats'!$B$2:$T$366,5,0)+0.44*VLOOKUP(A9,'Team Stats'!$B$2:$T$366,11,0)+VLOOKUP(A9,'Team Stats'!$B$2:$T$366,19,0)-VLOOKUP(A9,'Team Stats'!$B$2:$T$366,13,0)),70)</f>
        <v>69.012</v>
      </c>
      <c r="D9" s="168">
        <f>IFERROR(VLOOKUP(A9,'Opponents stats vs'!$B$2:$D$366,3,0)/C9,1.05)</f>
        <v>1.1766069669043064</v>
      </c>
      <c r="E9" s="169">
        <f>IFERROR(VLOOKUP(A9,SOS!A:C,3,0),200)</f>
        <v>286</v>
      </c>
      <c r="F9">
        <f>IFERROR(VLOOKUP(A9,SOS!A:D,4,0),200)</f>
        <v>190</v>
      </c>
      <c r="G9">
        <f>B9*((366-F9)/365)^'Enhanced Matchup Model'!$F$14</f>
        <v>0.93467901947411258</v>
      </c>
      <c r="H9">
        <f>D9*(2-((366-F9)/365)^'Enhanced Matchup Model'!$F$14)</f>
        <v>1.2187455275111851</v>
      </c>
    </row>
    <row r="10" spans="1:8" ht="15" customHeight="1" x14ac:dyDescent="0.25">
      <c r="A10" s="170" t="s">
        <v>188</v>
      </c>
      <c r="B10" s="168">
        <f>IFERROR(VLOOKUP(A10,'Team Stats'!$B$2:$T$366,3,0)/(VLOOKUP(A10,'Team Stats'!$B$2:$T$366,5,0)+0.44*VLOOKUP(A10,'Team Stats'!$B$2:$T$366,11,0)+VLOOKUP(A10,'Team Stats'!$B$2:$T$366,19,0)-VLOOKUP(A10,'Team Stats'!$B$2:$T$366,13,0)),1)</f>
        <v>1.1106479275845642</v>
      </c>
      <c r="C10" s="168">
        <f>IFERROR((VLOOKUP(A10,'Team Stats'!$B$2:$T$366,5,0)+0.44*VLOOKUP(A10,'Team Stats'!$B$2:$T$366,11,0)+VLOOKUP(A10,'Team Stats'!$B$2:$T$366,19,0)-VLOOKUP(A10,'Team Stats'!$B$2:$T$366,13,0)),70)</f>
        <v>67.167999999999992</v>
      </c>
      <c r="D10" s="168">
        <f>IFERROR(VLOOKUP(A10,'Opponents stats vs'!$B$2:$D$366,3,0)/C10,1.05)</f>
        <v>1.0615173892329681</v>
      </c>
      <c r="E10" s="169">
        <f>IFERROR(VLOOKUP(A10,SOS!A:C,3,0),200)</f>
        <v>278</v>
      </c>
      <c r="F10">
        <f>IFERROR(VLOOKUP(A10,SOS!A:D,4,0),200)</f>
        <v>308</v>
      </c>
      <c r="G10">
        <f>B10*((366-F10)/365)^'Enhanced Matchup Model'!$F$14</f>
        <v>1.013055332739289</v>
      </c>
      <c r="H10">
        <f>D10*(2-((366-F10)/365)^'Enhanced Matchup Model'!$F$14)</f>
        <v>1.1547928853786533</v>
      </c>
    </row>
    <row r="11" spans="1:8" ht="15" customHeight="1" x14ac:dyDescent="0.25">
      <c r="A11" s="167" t="s">
        <v>189</v>
      </c>
      <c r="B11" s="168">
        <f>IFERROR(VLOOKUP(A11,'Team Stats'!$B$2:$T$366,3,0)/(VLOOKUP(A11,'Team Stats'!$B$2:$T$366,5,0)+0.44*VLOOKUP(A11,'Team Stats'!$B$2:$T$366,11,0)+VLOOKUP(A11,'Team Stats'!$B$2:$T$366,19,0)-VLOOKUP(A11,'Team Stats'!$B$2:$T$366,13,0)),1)</f>
        <v>1.1241568823382462</v>
      </c>
      <c r="C11" s="168">
        <f>IFERROR((VLOOKUP(A11,'Team Stats'!$B$2:$T$366,5,0)+0.44*VLOOKUP(A11,'Team Stats'!$B$2:$T$366,11,0)+VLOOKUP(A11,'Team Stats'!$B$2:$T$366,19,0)-VLOOKUP(A11,'Team Stats'!$B$2:$T$366,13,0)),70)</f>
        <v>64.048000000000002</v>
      </c>
      <c r="D11" s="168">
        <f>IFERROR(VLOOKUP(A11,'Opponents stats vs'!$B$2:$D$366,3,0)/C11,1.05)</f>
        <v>1.0211091681239071</v>
      </c>
      <c r="E11" s="169">
        <f>IFERROR(VLOOKUP(A11,SOS!A:C,3,0),200)</f>
        <v>216</v>
      </c>
      <c r="F11">
        <f>IFERROR(VLOOKUP(A11,SOS!A:D,4,0),200)</f>
        <v>275</v>
      </c>
      <c r="G11">
        <f>B11*((366-F11)/365)^'Enhanced Matchup Model'!$F$14</f>
        <v>1.0487315899985123</v>
      </c>
      <c r="H11">
        <f>D11*(2-((366-F11)/365)^'Enhanced Matchup Model'!$F$14)</f>
        <v>1.0896204753324987</v>
      </c>
    </row>
    <row r="12" spans="1:8" ht="15" customHeight="1" x14ac:dyDescent="0.25">
      <c r="A12" s="170" t="s">
        <v>190</v>
      </c>
      <c r="B12" s="168">
        <f>IFERROR(VLOOKUP(A12,'Team Stats'!$B$2:$T$366,3,0)/(VLOOKUP(A12,'Team Stats'!$B$2:$T$366,5,0)+0.44*VLOOKUP(A12,'Team Stats'!$B$2:$T$366,11,0)+VLOOKUP(A12,'Team Stats'!$B$2:$T$366,19,0)-VLOOKUP(A12,'Team Stats'!$B$2:$T$366,13,0)),1)</f>
        <v>1.112512902855832</v>
      </c>
      <c r="C12" s="168">
        <f>IFERROR((VLOOKUP(A12,'Team Stats'!$B$2:$T$366,5,0)+0.44*VLOOKUP(A12,'Team Stats'!$B$2:$T$366,11,0)+VLOOKUP(A12,'Team Stats'!$B$2:$T$366,19,0)-VLOOKUP(A12,'Team Stats'!$B$2:$T$366,13,0)),70)</f>
        <v>69.751999999999995</v>
      </c>
      <c r="D12" s="168">
        <f>IFERROR(VLOOKUP(A12,'Opponents stats vs'!$B$2:$D$366,3,0)/C12,1.05)</f>
        <v>1.112512902855832</v>
      </c>
      <c r="E12" s="169">
        <f>IFERROR(VLOOKUP(A12,SOS!A:C,3,0),200)</f>
        <v>48</v>
      </c>
      <c r="F12">
        <f>IFERROR(VLOOKUP(A12,SOS!A:D,4,0),200)</f>
        <v>19</v>
      </c>
      <c r="G12">
        <f>B12*((366-F12)/365)^'Enhanced Matchup Model'!$F$14</f>
        <v>1.1097033245080439</v>
      </c>
      <c r="H12">
        <f>D12*(2-((366-F12)/365)^'Enhanced Matchup Model'!$F$14)</f>
        <v>1.1153224812036204</v>
      </c>
    </row>
    <row r="13" spans="1:8" ht="15" customHeight="1" x14ac:dyDescent="0.25">
      <c r="A13" s="167" t="s">
        <v>84</v>
      </c>
      <c r="B13" s="168">
        <f>IFERROR(VLOOKUP(A13,'Team Stats'!$B$2:$T$366,3,0)/(VLOOKUP(A13,'Team Stats'!$B$2:$T$366,5,0)+0.44*VLOOKUP(A13,'Team Stats'!$B$2:$T$366,11,0)+VLOOKUP(A13,'Team Stats'!$B$2:$T$366,19,0)-VLOOKUP(A13,'Team Stats'!$B$2:$T$366,13,0)),1)</f>
        <v>1.2244090035063904</v>
      </c>
      <c r="C13" s="168">
        <f>IFERROR((VLOOKUP(A13,'Team Stats'!$B$2:$T$366,5,0)+0.44*VLOOKUP(A13,'Team Stats'!$B$2:$T$366,11,0)+VLOOKUP(A13,'Team Stats'!$B$2:$T$366,19,0)-VLOOKUP(A13,'Team Stats'!$B$2:$T$366,13,0)),70)</f>
        <v>70.728000000000009</v>
      </c>
      <c r="D13" s="168">
        <f>IFERROR(VLOOKUP(A13,'Opponents stats vs'!$B$2:$D$366,3,0)/C13,1.05)</f>
        <v>0.96425743694152233</v>
      </c>
      <c r="E13" s="169">
        <f>IFERROR(VLOOKUP(A13,SOS!A:C,3,0),200)</f>
        <v>3</v>
      </c>
      <c r="F13">
        <f>IFERROR(VLOOKUP(A13,SOS!A:D,4,0),200)</f>
        <v>26</v>
      </c>
      <c r="G13">
        <f>B13*((366-F13)/365)^'Enhanced Matchup Model'!$F$14</f>
        <v>1.2200730020077992</v>
      </c>
      <c r="H13">
        <f>D13*(2-((366-F13)/365)^'Enhanced Matchup Model'!$F$14)</f>
        <v>0.96767216329491634</v>
      </c>
    </row>
    <row r="14" spans="1:8" ht="15" customHeight="1" x14ac:dyDescent="0.25">
      <c r="A14" s="170" t="s">
        <v>70</v>
      </c>
      <c r="B14" s="168">
        <f>IFERROR(VLOOKUP(A14,'Team Stats'!$B$2:$T$366,3,0)/(VLOOKUP(A14,'Team Stats'!$B$2:$T$366,5,0)+0.44*VLOOKUP(A14,'Team Stats'!$B$2:$T$366,11,0)+VLOOKUP(A14,'Team Stats'!$B$2:$T$366,19,0)-VLOOKUP(A14,'Team Stats'!$B$2:$T$366,13,0)),1)</f>
        <v>1.2448304383788256</v>
      </c>
      <c r="C14" s="168">
        <f>IFERROR((VLOOKUP(A14,'Team Stats'!$B$2:$T$366,5,0)+0.44*VLOOKUP(A14,'Team Stats'!$B$2:$T$366,11,0)+VLOOKUP(A14,'Team Stats'!$B$2:$T$366,19,0)-VLOOKUP(A14,'Team Stats'!$B$2:$T$366,13,0)),70)</f>
        <v>72.539999999999992</v>
      </c>
      <c r="D14" s="168">
        <f>IFERROR(VLOOKUP(A14,'Opponents stats vs'!$B$2:$D$366,3,0)/C14,1.05)</f>
        <v>1.100082712985939</v>
      </c>
      <c r="E14" s="169">
        <f>IFERROR(VLOOKUP(A14,SOS!A:C,3,0),200)</f>
        <v>14</v>
      </c>
      <c r="F14">
        <f>IFERROR(VLOOKUP(A14,SOS!A:D,4,0),200)</f>
        <v>9</v>
      </c>
      <c r="G14">
        <f>B14*((366-F14)/365)^'Enhanced Matchup Model'!$F$14</f>
        <v>1.2434518323646633</v>
      </c>
      <c r="H14">
        <f>D14*(2-((366-F14)/365)^'Enhanced Matchup Model'!$F$14)</f>
        <v>1.1013010159751986</v>
      </c>
    </row>
    <row r="15" spans="1:8" ht="15" customHeight="1" x14ac:dyDescent="0.25">
      <c r="A15" s="167" t="s">
        <v>191</v>
      </c>
      <c r="B15" s="168">
        <f>IFERROR(VLOOKUP(A15,'Team Stats'!$B$2:$T$366,3,0)/(VLOOKUP(A15,'Team Stats'!$B$2:$T$366,5,0)+0.44*VLOOKUP(A15,'Team Stats'!$B$2:$T$366,11,0)+VLOOKUP(A15,'Team Stats'!$B$2:$T$366,19,0)-VLOOKUP(A15,'Team Stats'!$B$2:$T$366,13,0)),1)</f>
        <v>1.1423066336361134</v>
      </c>
      <c r="C15" s="168">
        <f>IFERROR((VLOOKUP(A15,'Team Stats'!$B$2:$T$366,5,0)+0.44*VLOOKUP(A15,'Team Stats'!$B$2:$T$366,11,0)+VLOOKUP(A15,'Team Stats'!$B$2:$T$366,19,0)-VLOOKUP(A15,'Team Stats'!$B$2:$T$366,13,0)),70)</f>
        <v>72.66</v>
      </c>
      <c r="D15" s="168">
        <f>IFERROR(VLOOKUP(A15,'Opponents stats vs'!$B$2:$D$366,3,0)/C15,1.05)</f>
        <v>1.0624827965868429</v>
      </c>
      <c r="E15" s="169">
        <f>IFERROR(VLOOKUP(A15,SOS!A:C,3,0),200)</f>
        <v>150</v>
      </c>
      <c r="F15">
        <f>IFERROR(VLOOKUP(A15,SOS!A:D,4,0),200)</f>
        <v>227</v>
      </c>
      <c r="G15">
        <f>B15*((366-F15)/365)^'Enhanced Matchup Model'!$F$14</f>
        <v>1.088475844590044</v>
      </c>
      <c r="H15">
        <f>D15*(2-((366-F15)/365)^'Enhanced Matchup Model'!$F$14)</f>
        <v>1.1125519160369219</v>
      </c>
    </row>
    <row r="16" spans="1:8" ht="15" customHeight="1" x14ac:dyDescent="0.25">
      <c r="A16" s="170" t="s">
        <v>192</v>
      </c>
      <c r="B16" s="168">
        <f>IFERROR(VLOOKUP(A16,'Team Stats'!$B$2:$T$366,3,0)/(VLOOKUP(A16,'Team Stats'!$B$2:$T$366,5,0)+0.44*VLOOKUP(A16,'Team Stats'!$B$2:$T$366,11,0)+VLOOKUP(A16,'Team Stats'!$B$2:$T$366,19,0)-VLOOKUP(A16,'Team Stats'!$B$2:$T$366,13,0)),1)</f>
        <v>1.0691108769205169</v>
      </c>
      <c r="C16" s="168">
        <f>IFERROR((VLOOKUP(A16,'Team Stats'!$B$2:$T$366,5,0)+0.44*VLOOKUP(A16,'Team Stats'!$B$2:$T$366,11,0)+VLOOKUP(A16,'Team Stats'!$B$2:$T$366,19,0)-VLOOKUP(A16,'Team Stats'!$B$2:$T$366,13,0)),70)</f>
        <v>72.116</v>
      </c>
      <c r="D16" s="168">
        <f>IFERROR(VLOOKUP(A16,'Opponents stats vs'!$B$2:$D$366,3,0)/C16,1.05)</f>
        <v>1.1218037606079097</v>
      </c>
      <c r="E16" s="169">
        <f>IFERROR(VLOOKUP(A16,SOS!A:C,3,0),200)</f>
        <v>236</v>
      </c>
      <c r="F16">
        <f>IFERROR(VLOOKUP(A16,SOS!A:D,4,0),200)</f>
        <v>253</v>
      </c>
      <c r="G16">
        <f>B16*((366-F16)/365)^'Enhanced Matchup Model'!$F$14</f>
        <v>1.0082355976291879</v>
      </c>
      <c r="H16">
        <f>D16*(2-((366-F16)/365)^'Enhanced Matchup Model'!$F$14)</f>
        <v>1.1856793779187853</v>
      </c>
    </row>
    <row r="17" spans="1:8" ht="15" customHeight="1" x14ac:dyDescent="0.25">
      <c r="A17" s="167" t="s">
        <v>193</v>
      </c>
      <c r="B17" s="168">
        <f>IFERROR(VLOOKUP(A17,'Team Stats'!$B$2:$T$366,3,0)/(VLOOKUP(A17,'Team Stats'!$B$2:$T$366,5,0)+0.44*VLOOKUP(A17,'Team Stats'!$B$2:$T$366,11,0)+VLOOKUP(A17,'Team Stats'!$B$2:$T$366,19,0)-VLOOKUP(A17,'Team Stats'!$B$2:$T$366,13,0)),1)</f>
        <v>1.0585268590194696</v>
      </c>
      <c r="C17" s="168">
        <f>IFERROR((VLOOKUP(A17,'Team Stats'!$B$2:$T$366,5,0)+0.44*VLOOKUP(A17,'Team Stats'!$B$2:$T$366,11,0)+VLOOKUP(A17,'Team Stats'!$B$2:$T$366,19,0)-VLOOKUP(A17,'Team Stats'!$B$2:$T$366,13,0)),70)</f>
        <v>68.208000000000013</v>
      </c>
      <c r="D17" s="168">
        <f>IFERROR(VLOOKUP(A17,'Opponents stats vs'!$B$2:$D$366,3,0)/C17,1.05)</f>
        <v>1.1318320431620923</v>
      </c>
      <c r="E17" s="169">
        <f>IFERROR(VLOOKUP(A17,SOS!A:C,3,0),200)</f>
        <v>347</v>
      </c>
      <c r="F17">
        <f>IFERROR(VLOOKUP(A17,SOS!A:D,4,0),200)</f>
        <v>320</v>
      </c>
      <c r="G17">
        <f>B17*((366-F17)/365)^'Enhanced Matchup Model'!$F$14</f>
        <v>0.95438835278313916</v>
      </c>
      <c r="H17">
        <f>D17*(2-((366-F17)/365)^'Enhanced Matchup Model'!$F$14)</f>
        <v>1.243182357309526</v>
      </c>
    </row>
    <row r="18" spans="1:8" ht="15" customHeight="1" x14ac:dyDescent="0.25">
      <c r="A18" s="170" t="s">
        <v>194</v>
      </c>
      <c r="B18" s="168">
        <f>IFERROR(VLOOKUP(A18,'Team Stats'!$B$2:$T$366,3,0)/(VLOOKUP(A18,'Team Stats'!$B$2:$T$366,5,0)+0.44*VLOOKUP(A18,'Team Stats'!$B$2:$T$366,11,0)+VLOOKUP(A18,'Team Stats'!$B$2:$T$366,19,0)-VLOOKUP(A18,'Team Stats'!$B$2:$T$366,13,0)),1)</f>
        <v>1.215429403202329</v>
      </c>
      <c r="C18" s="168">
        <f>IFERROR((VLOOKUP(A18,'Team Stats'!$B$2:$T$366,5,0)+0.44*VLOOKUP(A18,'Team Stats'!$B$2:$T$366,11,0)+VLOOKUP(A18,'Team Stats'!$B$2:$T$366,19,0)-VLOOKUP(A18,'Team Stats'!$B$2:$T$366,13,0)),70)</f>
        <v>68.7</v>
      </c>
      <c r="D18" s="168">
        <f>IFERROR(VLOOKUP(A18,'Opponents stats vs'!$B$2:$D$366,3,0)/C18,1.05)</f>
        <v>1.1601164483260553</v>
      </c>
      <c r="E18" s="169">
        <f>IFERROR(VLOOKUP(A18,SOS!A:C,3,0),200)</f>
        <v>47</v>
      </c>
      <c r="F18">
        <f>IFERROR(VLOOKUP(A18,SOS!A:D,4,0),200)</f>
        <v>5</v>
      </c>
      <c r="G18">
        <f>B18*((366-F18)/365)^'Enhanced Matchup Model'!$F$14</f>
        <v>1.2147599228013994</v>
      </c>
      <c r="H18">
        <f>D18*(2-((366-F18)/365)^'Enhanced Matchup Model'!$F$14)</f>
        <v>1.1607554613554456</v>
      </c>
    </row>
    <row r="19" spans="1:8" ht="15" customHeight="1" x14ac:dyDescent="0.25">
      <c r="A19" s="167" t="s">
        <v>81</v>
      </c>
      <c r="B19" s="168">
        <f>IFERROR(VLOOKUP(A19,'Team Stats'!$B$2:$T$366,3,0)/(VLOOKUP(A19,'Team Stats'!$B$2:$T$366,5,0)+0.44*VLOOKUP(A19,'Team Stats'!$B$2:$T$366,11,0)+VLOOKUP(A19,'Team Stats'!$B$2:$T$366,19,0)-VLOOKUP(A19,'Team Stats'!$B$2:$T$366,13,0)),1)</f>
        <v>1.1623951009299158</v>
      </c>
      <c r="C19" s="168">
        <f>IFERROR((VLOOKUP(A19,'Team Stats'!$B$2:$T$366,5,0)+0.44*VLOOKUP(A19,'Team Stats'!$B$2:$T$366,11,0)+VLOOKUP(A19,'Team Stats'!$B$2:$T$366,19,0)-VLOOKUP(A19,'Team Stats'!$B$2:$T$366,13,0)),70)</f>
        <v>70.544000000000011</v>
      </c>
      <c r="D19" s="168">
        <f>IFERROR(VLOOKUP(A19,'Opponents stats vs'!$B$2:$D$366,3,0)/C19,1.05)</f>
        <v>1.036232705828986</v>
      </c>
      <c r="E19" s="169">
        <f>IFERROR(VLOOKUP(A19,SOS!A:C,3,0),200)</f>
        <v>188</v>
      </c>
      <c r="F19">
        <f>IFERROR(VLOOKUP(A19,SOS!A:D,4,0),200)</f>
        <v>300</v>
      </c>
      <c r="G19">
        <f>B19*((366-F19)/365)^'Enhanced Matchup Model'!$F$14</f>
        <v>1.0671275309274109</v>
      </c>
      <c r="H19">
        <f>D19*(2-((366-F19)/365)^'Enhanced Matchup Model'!$F$14)</f>
        <v>1.1211602590873169</v>
      </c>
    </row>
    <row r="20" spans="1:8" ht="15" customHeight="1" x14ac:dyDescent="0.25">
      <c r="A20" s="170" t="s">
        <v>74</v>
      </c>
      <c r="B20" s="168">
        <f>IFERROR(VLOOKUP(A20,'Team Stats'!$B$2:$T$366,3,0)/(VLOOKUP(A20,'Team Stats'!$B$2:$T$366,5,0)+0.44*VLOOKUP(A20,'Team Stats'!$B$2:$T$366,11,0)+VLOOKUP(A20,'Team Stats'!$B$2:$T$366,19,0)-VLOOKUP(A20,'Team Stats'!$B$2:$T$366,13,0)),1)</f>
        <v>1.1982508944289851</v>
      </c>
      <c r="C20" s="168">
        <f>IFERROR((VLOOKUP(A20,'Team Stats'!$B$2:$T$366,5,0)+0.44*VLOOKUP(A20,'Team Stats'!$B$2:$T$366,11,0)+VLOOKUP(A20,'Team Stats'!$B$2:$T$366,19,0)-VLOOKUP(A20,'Team Stats'!$B$2:$T$366,13,0)),70)</f>
        <v>70.436000000000007</v>
      </c>
      <c r="D20" s="168">
        <f>IFERROR(VLOOKUP(A20,'Opponents stats vs'!$B$2:$D$366,3,0)/C20,1.05)</f>
        <v>1.0761542393094439</v>
      </c>
      <c r="E20" s="169">
        <f>IFERROR(VLOOKUP(A20,SOS!A:C,3,0),200)</f>
        <v>25</v>
      </c>
      <c r="F20">
        <f>IFERROR(VLOOKUP(A20,SOS!A:D,4,0),200)</f>
        <v>24</v>
      </c>
      <c r="G20">
        <f>B20*((366-F20)/365)^'Enhanced Matchup Model'!$F$14</f>
        <v>1.194357727867881</v>
      </c>
      <c r="H20">
        <f>D20*(2-((366-F20)/365)^'Enhanced Matchup Model'!$F$14)</f>
        <v>1.0796507088038954</v>
      </c>
    </row>
    <row r="21" spans="1:8" ht="15" customHeight="1" x14ac:dyDescent="0.25">
      <c r="A21" s="167" t="s">
        <v>195</v>
      </c>
      <c r="B21" s="168">
        <f>IFERROR(VLOOKUP(A21,'Team Stats'!$B$2:$T$366,3,0)/(VLOOKUP(A21,'Team Stats'!$B$2:$T$366,5,0)+0.44*VLOOKUP(A21,'Team Stats'!$B$2:$T$366,11,0)+VLOOKUP(A21,'Team Stats'!$B$2:$T$366,19,0)-VLOOKUP(A21,'Team Stats'!$B$2:$T$366,13,0)),1)</f>
        <v>1.0165937272064189</v>
      </c>
      <c r="C21" s="168">
        <f>IFERROR((VLOOKUP(A21,'Team Stats'!$B$2:$T$366,5,0)+0.44*VLOOKUP(A21,'Team Stats'!$B$2:$T$366,11,0)+VLOOKUP(A21,'Team Stats'!$B$2:$T$366,19,0)-VLOOKUP(A21,'Team Stats'!$B$2:$T$366,13,0)),70)</f>
        <v>65.807999999999993</v>
      </c>
      <c r="D21" s="168">
        <f>IFERROR(VLOOKUP(A21,'Opponents stats vs'!$B$2:$D$366,3,0)/C21,1.05)</f>
        <v>1.0561026015074155</v>
      </c>
      <c r="E21" s="169">
        <f>IFERROR(VLOOKUP(A21,SOS!A:C,3,0),200)</f>
        <v>298</v>
      </c>
      <c r="F21">
        <f>IFERROR(VLOOKUP(A21,SOS!A:D,4,0),200)</f>
        <v>244</v>
      </c>
      <c r="G21">
        <f>B21*((366-F21)/365)^'Enhanced Matchup Model'!$F$14</f>
        <v>0.96238927365494409</v>
      </c>
      <c r="H21">
        <f>D21*(2-((366-F21)/365)^'Enhanced Matchup Model'!$F$14)</f>
        <v>1.1124136556453452</v>
      </c>
    </row>
    <row r="22" spans="1:8" ht="15" customHeight="1" x14ac:dyDescent="0.25">
      <c r="A22" s="170" t="s">
        <v>196</v>
      </c>
      <c r="B22" s="168">
        <f>IFERROR(VLOOKUP(A22,'Team Stats'!$B$2:$T$366,3,0)/(VLOOKUP(A22,'Team Stats'!$B$2:$T$366,5,0)+0.44*VLOOKUP(A22,'Team Stats'!$B$2:$T$366,11,0)+VLOOKUP(A22,'Team Stats'!$B$2:$T$366,19,0)-VLOOKUP(A22,'Team Stats'!$B$2:$T$366,13,0)),1)</f>
        <v>1.1804796687180079</v>
      </c>
      <c r="C22" s="168">
        <f>IFERROR((VLOOKUP(A22,'Team Stats'!$B$2:$T$366,5,0)+0.44*VLOOKUP(A22,'Team Stats'!$B$2:$T$366,11,0)+VLOOKUP(A22,'Team Stats'!$B$2:$T$366,19,0)-VLOOKUP(A22,'Team Stats'!$B$2:$T$366,13,0)),70)</f>
        <v>69.547999999999988</v>
      </c>
      <c r="D22" s="168">
        <f>IFERROR(VLOOKUP(A22,'Opponents stats vs'!$B$2:$D$366,3,0)/C22,1.05)</f>
        <v>1.1071490193822973</v>
      </c>
      <c r="E22" s="169">
        <f>IFERROR(VLOOKUP(A22,SOS!A:C,3,0),200)</f>
        <v>73</v>
      </c>
      <c r="F22">
        <f>IFERROR(VLOOKUP(A22,SOS!A:D,4,0),200)</f>
        <v>29</v>
      </c>
      <c r="G22">
        <f>B22*((366-F22)/365)^'Enhanced Matchup Model'!$F$14</f>
        <v>1.1757780911056805</v>
      </c>
      <c r="H22">
        <f>D22*(2-((366-F22)/365)^'Enhanced Matchup Model'!$F$14)</f>
        <v>1.1115585379712036</v>
      </c>
    </row>
    <row r="23" spans="1:8" ht="15" customHeight="1" x14ac:dyDescent="0.25">
      <c r="A23" s="167" t="s">
        <v>197</v>
      </c>
      <c r="B23" s="168">
        <f>IFERROR(VLOOKUP(A23,'Team Stats'!$B$2:$T$366,3,0)/(VLOOKUP(A23,'Team Stats'!$B$2:$T$366,5,0)+0.44*VLOOKUP(A23,'Team Stats'!$B$2:$T$366,11,0)+VLOOKUP(A23,'Team Stats'!$B$2:$T$366,19,0)-VLOOKUP(A23,'Team Stats'!$B$2:$T$366,13,0)),1)</f>
        <v>1.2046204620462047</v>
      </c>
      <c r="C23" s="168">
        <f>IFERROR((VLOOKUP(A23,'Team Stats'!$B$2:$T$366,5,0)+0.44*VLOOKUP(A23,'Team Stats'!$B$2:$T$366,11,0)+VLOOKUP(A23,'Team Stats'!$B$2:$T$366,19,0)-VLOOKUP(A23,'Team Stats'!$B$2:$T$366,13,0)),70)</f>
        <v>66.66</v>
      </c>
      <c r="D23" s="168">
        <f>IFERROR(VLOOKUP(A23,'Opponents stats vs'!$B$2:$D$366,3,0)/C23,1.05)</f>
        <v>1.2226222622262226</v>
      </c>
      <c r="E23" s="169">
        <f>IFERROR(VLOOKUP(A23,SOS!A:C,3,0),200)</f>
        <v>276</v>
      </c>
      <c r="F23">
        <f>IFERROR(VLOOKUP(A23,SOS!A:D,4,0),200)</f>
        <v>268</v>
      </c>
      <c r="G23">
        <f>B23*((366-F23)/365)^'Enhanced Matchup Model'!$F$14</f>
        <v>1.1279683050571678</v>
      </c>
      <c r="H23">
        <f>D23*(2-((366-F23)/365)^'Enhanced Matchup Model'!$F$14)</f>
        <v>1.3004199059946722</v>
      </c>
    </row>
    <row r="24" spans="1:8" ht="15" customHeight="1" x14ac:dyDescent="0.25">
      <c r="A24" s="170" t="s">
        <v>89</v>
      </c>
      <c r="B24" s="168">
        <f>IFERROR(VLOOKUP(A24,'Team Stats'!$B$2:$T$366,3,0)/(VLOOKUP(A24,'Team Stats'!$B$2:$T$366,5,0)+0.44*VLOOKUP(A24,'Team Stats'!$B$2:$T$366,11,0)+VLOOKUP(A24,'Team Stats'!$B$2:$T$366,19,0)-VLOOKUP(A24,'Team Stats'!$B$2:$T$366,13,0)),1)</f>
        <v>1.1978097193702943</v>
      </c>
      <c r="C24" s="168">
        <f>IFERROR((VLOOKUP(A24,'Team Stats'!$B$2:$T$366,5,0)+0.44*VLOOKUP(A24,'Team Stats'!$B$2:$T$366,11,0)+VLOOKUP(A24,'Team Stats'!$B$2:$T$366,19,0)-VLOOKUP(A24,'Team Stats'!$B$2:$T$366,13,0)),70)</f>
        <v>70.128</v>
      </c>
      <c r="D24" s="168">
        <f>IFERROR(VLOOKUP(A24,'Opponents stats vs'!$B$2:$D$366,3,0)/C24,1.05)</f>
        <v>1.0338238649326945</v>
      </c>
      <c r="E24" s="169">
        <f>IFERROR(VLOOKUP(A24,SOS!A:C,3,0),200)</f>
        <v>59</v>
      </c>
      <c r="F24">
        <f>IFERROR(VLOOKUP(A24,SOS!A:D,4,0),200)</f>
        <v>141</v>
      </c>
      <c r="G24">
        <f>B24*((366-F24)/365)^'Enhanced Matchup Model'!$F$14</f>
        <v>1.1691825244992395</v>
      </c>
      <c r="H24">
        <f>D24*(2-((366-F24)/365)^'Enhanced Matchup Model'!$F$14)</f>
        <v>1.0585318605059264</v>
      </c>
    </row>
    <row r="25" spans="1:8" ht="15" customHeight="1" x14ac:dyDescent="0.25">
      <c r="A25" s="167" t="s">
        <v>66</v>
      </c>
      <c r="B25" s="168">
        <f>IFERROR(VLOOKUP(A25,'Team Stats'!$B$2:$T$366,3,0)/(VLOOKUP(A25,'Team Stats'!$B$2:$T$366,5,0)+0.44*VLOOKUP(A25,'Team Stats'!$B$2:$T$366,11,0)+VLOOKUP(A25,'Team Stats'!$B$2:$T$366,19,0)-VLOOKUP(A25,'Team Stats'!$B$2:$T$366,13,0)),1)</f>
        <v>1.0613803560397597</v>
      </c>
      <c r="C25" s="168">
        <f>IFERROR((VLOOKUP(A25,'Team Stats'!$B$2:$T$366,5,0)+0.44*VLOOKUP(A25,'Team Stats'!$B$2:$T$366,11,0)+VLOOKUP(A25,'Team Stats'!$B$2:$T$366,19,0)-VLOOKUP(A25,'Team Stats'!$B$2:$T$366,13,0)),70)</f>
        <v>71.227999999999994</v>
      </c>
      <c r="D25" s="168">
        <f>IFERROR(VLOOKUP(A25,'Opponents stats vs'!$B$2:$D$366,3,0)/C25,1.05)</f>
        <v>1.0824394900881675</v>
      </c>
      <c r="E25" s="169">
        <f>IFERROR(VLOOKUP(A25,SOS!A:C,3,0),200)</f>
        <v>186</v>
      </c>
      <c r="F25">
        <f>IFERROR(VLOOKUP(A25,SOS!A:D,4,0),200)</f>
        <v>258</v>
      </c>
      <c r="G25">
        <f>B25*((366-F25)/365)^'Enhanced Matchup Model'!$F$14</f>
        <v>0.9986828455339114</v>
      </c>
      <c r="H25">
        <f>D25*(2-((366-F25)/365)^'Enhanced Matchup Model'!$F$14)</f>
        <v>1.146380998818338</v>
      </c>
    </row>
    <row r="26" spans="1:8" ht="15" customHeight="1" x14ac:dyDescent="0.25">
      <c r="A26" s="170" t="s">
        <v>198</v>
      </c>
      <c r="B26" s="168">
        <f>IFERROR(VLOOKUP(A26,'Team Stats'!$B$2:$T$366,3,0)/(VLOOKUP(A26,'Team Stats'!$B$2:$T$366,5,0)+0.44*VLOOKUP(A26,'Team Stats'!$B$2:$T$366,11,0)+VLOOKUP(A26,'Team Stats'!$B$2:$T$366,19,0)-VLOOKUP(A26,'Team Stats'!$B$2:$T$366,13,0)),1)</f>
        <v>1.0292245194931184</v>
      </c>
      <c r="C26" s="168">
        <f>IFERROR((VLOOKUP(A26,'Team Stats'!$B$2:$T$366,5,0)+0.44*VLOOKUP(A26,'Team Stats'!$B$2:$T$366,11,0)+VLOOKUP(A26,'Team Stats'!$B$2:$T$366,19,0)-VLOOKUP(A26,'Team Stats'!$B$2:$T$366,13,0)),70)</f>
        <v>65.971999999999994</v>
      </c>
      <c r="D26" s="168">
        <f>IFERROR(VLOOKUP(A26,'Opponents stats vs'!$B$2:$D$366,3,0)/C26,1.05)</f>
        <v>1.1353301400594193</v>
      </c>
      <c r="E26" s="169">
        <f>IFERROR(VLOOKUP(A26,SOS!A:C,3,0),200)</f>
        <v>363</v>
      </c>
      <c r="F26">
        <f>IFERROR(VLOOKUP(A26,SOS!A:D,4,0),200)</f>
        <v>362</v>
      </c>
      <c r="G26">
        <f>B26*((366-F26)/365)^'Enhanced Matchup Model'!$F$14</f>
        <v>0.82129367896410999</v>
      </c>
      <c r="H26">
        <f>D26*(2-((366-F26)/365)^'Enhanced Matchup Model'!$F$14)</f>
        <v>1.3646971497151297</v>
      </c>
    </row>
    <row r="27" spans="1:8" ht="15" customHeight="1" x14ac:dyDescent="0.25">
      <c r="A27" s="167" t="s">
        <v>199</v>
      </c>
      <c r="B27" s="168">
        <f>IFERROR(VLOOKUP(A27,'Team Stats'!$B$2:$T$366,3,0)/(VLOOKUP(A27,'Team Stats'!$B$2:$T$366,5,0)+0.44*VLOOKUP(A27,'Team Stats'!$B$2:$T$366,11,0)+VLOOKUP(A27,'Team Stats'!$B$2:$T$366,19,0)-VLOOKUP(A27,'Team Stats'!$B$2:$T$366,13,0)),1)</f>
        <v>1.1481611824740452</v>
      </c>
      <c r="C27" s="168">
        <f>IFERROR((VLOOKUP(A27,'Team Stats'!$B$2:$T$366,5,0)+0.44*VLOOKUP(A27,'Team Stats'!$B$2:$T$366,11,0)+VLOOKUP(A27,'Team Stats'!$B$2:$T$366,19,0)-VLOOKUP(A27,'Team Stats'!$B$2:$T$366,13,0)),70)</f>
        <v>68.196000000000012</v>
      </c>
      <c r="D27" s="168">
        <f>IFERROR(VLOOKUP(A27,'Opponents stats vs'!$B$2:$D$366,3,0)/C27,1.05)</f>
        <v>1.0748430993020117</v>
      </c>
      <c r="E27" s="169">
        <f>IFERROR(VLOOKUP(A27,SOS!A:C,3,0),200)</f>
        <v>57</v>
      </c>
      <c r="F27">
        <f>IFERROR(VLOOKUP(A27,SOS!A:D,4,0),200)</f>
        <v>78</v>
      </c>
      <c r="G27">
        <f>B27*((366-F27)/365)^'Enhanced Matchup Model'!$F$14</f>
        <v>1.1346393500979441</v>
      </c>
      <c r="H27">
        <f>D27*(2-((366-F27)/365)^'Enhanced Matchup Model'!$F$14)</f>
        <v>1.0875014685634192</v>
      </c>
    </row>
    <row r="28" spans="1:8" ht="15" customHeight="1" x14ac:dyDescent="0.25">
      <c r="A28" s="170" t="s">
        <v>200</v>
      </c>
      <c r="B28" s="168">
        <f>IFERROR(VLOOKUP(A28,'Team Stats'!$B$2:$T$366,3,0)/(VLOOKUP(A28,'Team Stats'!$B$2:$T$366,5,0)+0.44*VLOOKUP(A28,'Team Stats'!$B$2:$T$366,11,0)+VLOOKUP(A28,'Team Stats'!$B$2:$T$366,19,0)-VLOOKUP(A28,'Team Stats'!$B$2:$T$366,13,0)),1)</f>
        <v>1.0119442601194424</v>
      </c>
      <c r="C28" s="168">
        <f>IFERROR((VLOOKUP(A28,'Team Stats'!$B$2:$T$366,5,0)+0.44*VLOOKUP(A28,'Team Stats'!$B$2:$T$366,11,0)+VLOOKUP(A28,'Team Stats'!$B$2:$T$366,19,0)-VLOOKUP(A28,'Team Stats'!$B$2:$T$366,13,0)),70)</f>
        <v>66.308000000000007</v>
      </c>
      <c r="D28" s="168">
        <f>IFERROR(VLOOKUP(A28,'Opponents stats vs'!$B$2:$D$366,3,0)/C28,1.05)</f>
        <v>1.0662363515714544</v>
      </c>
      <c r="E28" s="169">
        <f>IFERROR(VLOOKUP(A28,SOS!A:C,3,0),200)</f>
        <v>199</v>
      </c>
      <c r="F28">
        <f>IFERROR(VLOOKUP(A28,SOS!A:D,4,0),200)</f>
        <v>77</v>
      </c>
      <c r="G28">
        <f>B28*((366-F28)/365)^'Enhanced Matchup Model'!$F$14</f>
        <v>1.0001999771342751</v>
      </c>
      <c r="H28">
        <f>D28*(2-((366-F28)/365)^'Enhanced Matchup Model'!$F$14)</f>
        <v>1.0786107302160344</v>
      </c>
    </row>
    <row r="29" spans="1:8" ht="15" customHeight="1" x14ac:dyDescent="0.25">
      <c r="A29" s="167" t="s">
        <v>201</v>
      </c>
      <c r="B29" s="168">
        <f>IFERROR(VLOOKUP(A29,'Team Stats'!$B$2:$T$366,3,0)/(VLOOKUP(A29,'Team Stats'!$B$2:$T$366,5,0)+0.44*VLOOKUP(A29,'Team Stats'!$B$2:$T$366,11,0)+VLOOKUP(A29,'Team Stats'!$B$2:$T$366,19,0)-VLOOKUP(A29,'Team Stats'!$B$2:$T$366,13,0)),1)</f>
        <v>1.1660018410555386</v>
      </c>
      <c r="C29" s="168">
        <f>IFERROR((VLOOKUP(A29,'Team Stats'!$B$2:$T$366,5,0)+0.44*VLOOKUP(A29,'Team Stats'!$B$2:$T$366,11,0)+VLOOKUP(A29,'Team Stats'!$B$2:$T$366,19,0)-VLOOKUP(A29,'Team Stats'!$B$2:$T$366,13,0)),70)</f>
        <v>65.179999999999993</v>
      </c>
      <c r="D29" s="168">
        <f>IFERROR(VLOOKUP(A29,'Opponents stats vs'!$B$2:$D$366,3,0)/C29,1.05)</f>
        <v>1.1353175820803929</v>
      </c>
      <c r="E29" s="169">
        <f>IFERROR(VLOOKUP(A29,SOS!A:C,3,0),200)</f>
        <v>318</v>
      </c>
      <c r="F29">
        <f>IFERROR(VLOOKUP(A29,SOS!A:D,4,0),200)</f>
        <v>334</v>
      </c>
      <c r="G29">
        <f>B29*((366-F29)/365)^'Enhanced Matchup Model'!$F$14</f>
        <v>1.0323859651082596</v>
      </c>
      <c r="H29">
        <f>D29*(2-((366-F29)/365)^'Enhanced Matchup Model'!$F$14)</f>
        <v>1.2654172507659016</v>
      </c>
    </row>
    <row r="30" spans="1:8" ht="15" customHeight="1" x14ac:dyDescent="0.25">
      <c r="A30" s="170" t="s">
        <v>202</v>
      </c>
      <c r="B30" s="168">
        <f>IFERROR(VLOOKUP(A30,'Team Stats'!$B$2:$T$366,3,0)/(VLOOKUP(A30,'Team Stats'!$B$2:$T$366,5,0)+0.44*VLOOKUP(A30,'Team Stats'!$B$2:$T$366,11,0)+VLOOKUP(A30,'Team Stats'!$B$2:$T$366,19,0)-VLOOKUP(A30,'Team Stats'!$B$2:$T$366,13,0)),1)</f>
        <v>1.1344047155646999</v>
      </c>
      <c r="C30" s="168">
        <f>IFERROR((VLOOKUP(A30,'Team Stats'!$B$2:$T$366,5,0)+0.44*VLOOKUP(A30,'Team Stats'!$B$2:$T$366,11,0)+VLOOKUP(A30,'Team Stats'!$B$2:$T$366,19,0)-VLOOKUP(A30,'Team Stats'!$B$2:$T$366,13,0)),70)</f>
        <v>71.932000000000002</v>
      </c>
      <c r="D30" s="168">
        <f>IFERROR(VLOOKUP(A30,'Opponents stats vs'!$B$2:$D$366,3,0)/C30,1.05)</f>
        <v>0.99399432797642218</v>
      </c>
      <c r="E30" s="169">
        <f>IFERROR(VLOOKUP(A30,SOS!A:C,3,0),200)</f>
        <v>221</v>
      </c>
      <c r="F30">
        <f>IFERROR(VLOOKUP(A30,SOS!A:D,4,0),200)</f>
        <v>251</v>
      </c>
      <c r="G30">
        <f>B30*((366-F30)/365)^'Enhanced Matchup Model'!$F$14</f>
        <v>1.0707504656615727</v>
      </c>
      <c r="H30">
        <f>D30*(2-((366-F30)/365)^'Enhanced Matchup Model'!$F$14)</f>
        <v>1.0497698043008534</v>
      </c>
    </row>
    <row r="31" spans="1:8" ht="15" customHeight="1" x14ac:dyDescent="0.25">
      <c r="A31" s="167" t="s">
        <v>203</v>
      </c>
      <c r="B31" s="168">
        <f>IFERROR(VLOOKUP(A31,'Team Stats'!$B$2:$T$366,3,0)/(VLOOKUP(A31,'Team Stats'!$B$2:$T$366,5,0)+0.44*VLOOKUP(A31,'Team Stats'!$B$2:$T$366,11,0)+VLOOKUP(A31,'Team Stats'!$B$2:$T$366,19,0)-VLOOKUP(A31,'Team Stats'!$B$2:$T$366,13,0)),1)</f>
        <v>1.1226027000405585</v>
      </c>
      <c r="C31" s="168">
        <f>IFERROR((VLOOKUP(A31,'Team Stats'!$B$2:$T$366,5,0)+0.44*VLOOKUP(A31,'Team Stats'!$B$2:$T$366,11,0)+VLOOKUP(A31,'Team Stats'!$B$2:$T$366,19,0)-VLOOKUP(A31,'Team Stats'!$B$2:$T$366,13,0)),70)</f>
        <v>69.036000000000001</v>
      </c>
      <c r="D31" s="168">
        <f>IFERROR(VLOOKUP(A31,'Opponents stats vs'!$B$2:$D$366,3,0)/C31,1.05)</f>
        <v>1.0588678370705138</v>
      </c>
      <c r="E31" s="169">
        <f>IFERROR(VLOOKUP(A31,SOS!A:C,3,0),200)</f>
        <v>94</v>
      </c>
      <c r="F31">
        <f>IFERROR(VLOOKUP(A31,SOS!A:D,4,0),200)</f>
        <v>135</v>
      </c>
      <c r="G31">
        <f>B31*((366-F31)/365)^'Enhanced Matchup Model'!$F$14</f>
        <v>1.0972157629885311</v>
      </c>
      <c r="H31">
        <f>D31*(2-((366-F31)/365)^'Enhanced Matchup Model'!$F$14)</f>
        <v>1.0828134512447487</v>
      </c>
    </row>
    <row r="32" spans="1:8" ht="15" customHeight="1" x14ac:dyDescent="0.25">
      <c r="A32" s="170" t="s">
        <v>204</v>
      </c>
      <c r="B32" s="168">
        <f>IFERROR(VLOOKUP(A32,'Team Stats'!$B$2:$T$366,3,0)/(VLOOKUP(A32,'Team Stats'!$B$2:$T$366,5,0)+0.44*VLOOKUP(A32,'Team Stats'!$B$2:$T$366,11,0)+VLOOKUP(A32,'Team Stats'!$B$2:$T$366,19,0)-VLOOKUP(A32,'Team Stats'!$B$2:$T$366,13,0)),1)</f>
        <v>1.0386061816899754</v>
      </c>
      <c r="C32" s="168">
        <f>IFERROR((VLOOKUP(A32,'Team Stats'!$B$2:$T$366,5,0)+0.44*VLOOKUP(A32,'Team Stats'!$B$2:$T$366,11,0)+VLOOKUP(A32,'Team Stats'!$B$2:$T$366,19,0)-VLOOKUP(A32,'Team Stats'!$B$2:$T$366,13,0)),70)</f>
        <v>68.072000000000003</v>
      </c>
      <c r="D32" s="168">
        <f>IFERROR(VLOOKUP(A32,'Opponents stats vs'!$B$2:$D$366,3,0)/C32,1.05)</f>
        <v>1.0224468210130448</v>
      </c>
      <c r="E32" s="169">
        <f>IFERROR(VLOOKUP(A32,SOS!A:C,3,0),200)</f>
        <v>302</v>
      </c>
      <c r="F32">
        <f>IFERROR(VLOOKUP(A32,SOS!A:D,4,0),200)</f>
        <v>236</v>
      </c>
      <c r="G32">
        <f>B32*((366-F32)/365)^'Enhanced Matchup Model'!$F$14</f>
        <v>0.98635540224504903</v>
      </c>
      <c r="H32">
        <f>D32*(2-((366-F32)/365)^'Enhanced Matchup Model'!$F$14)</f>
        <v>1.0738846463223359</v>
      </c>
    </row>
    <row r="33" spans="1:8" ht="15" customHeight="1" x14ac:dyDescent="0.25">
      <c r="A33" s="167" t="s">
        <v>205</v>
      </c>
      <c r="B33" s="168">
        <f>IFERROR(VLOOKUP(A33,'Team Stats'!$B$2:$T$366,3,0)/(VLOOKUP(A33,'Team Stats'!$B$2:$T$366,5,0)+0.44*VLOOKUP(A33,'Team Stats'!$B$2:$T$366,11,0)+VLOOKUP(A33,'Team Stats'!$B$2:$T$366,19,0)-VLOOKUP(A33,'Team Stats'!$B$2:$T$366,13,0)),1)</f>
        <v>0.99062633148700452</v>
      </c>
      <c r="C33" s="168">
        <f>IFERROR((VLOOKUP(A33,'Team Stats'!$B$2:$T$366,5,0)+0.44*VLOOKUP(A33,'Team Stats'!$B$2:$T$366,11,0)+VLOOKUP(A33,'Team Stats'!$B$2:$T$366,19,0)-VLOOKUP(A33,'Team Stats'!$B$2:$T$366,13,0)),70)</f>
        <v>65.716000000000008</v>
      </c>
      <c r="D33" s="168">
        <f>IFERROR(VLOOKUP(A33,'Opponents stats vs'!$B$2:$D$366,3,0)/C33,1.05)</f>
        <v>1.1001886907298069</v>
      </c>
      <c r="E33" s="169">
        <f>IFERROR(VLOOKUP(A33,SOS!A:C,3,0),200)</f>
        <v>343</v>
      </c>
      <c r="F33">
        <f>IFERROR(VLOOKUP(A33,SOS!A:D,4,0),200)</f>
        <v>304</v>
      </c>
      <c r="G33">
        <f>B33*((366-F33)/365)^'Enhanced Matchup Model'!$F$14</f>
        <v>0.90659810903287319</v>
      </c>
      <c r="H33">
        <f>D33*(2-((366-F33)/365)^'Enhanced Matchup Model'!$F$14)</f>
        <v>1.1935103571419989</v>
      </c>
    </row>
    <row r="34" spans="1:8" ht="15" customHeight="1" x14ac:dyDescent="0.25">
      <c r="A34" s="170" t="s">
        <v>206</v>
      </c>
      <c r="B34" s="168">
        <f>IFERROR(VLOOKUP(A34,'Team Stats'!$B$2:$T$366,3,0)/(VLOOKUP(A34,'Team Stats'!$B$2:$T$366,5,0)+0.44*VLOOKUP(A34,'Team Stats'!$B$2:$T$366,11,0)+VLOOKUP(A34,'Team Stats'!$B$2:$T$366,19,0)-VLOOKUP(A34,'Team Stats'!$B$2:$T$366,13,0)),1)</f>
        <v>1.0037529040328828</v>
      </c>
      <c r="C34" s="168">
        <f>IFERROR((VLOOKUP(A34,'Team Stats'!$B$2:$T$366,5,0)+0.44*VLOOKUP(A34,'Team Stats'!$B$2:$T$366,11,0)+VLOOKUP(A34,'Team Stats'!$B$2:$T$366,19,0)-VLOOKUP(A34,'Team Stats'!$B$2:$T$366,13,0)),70)</f>
        <v>67.147999999999996</v>
      </c>
      <c r="D34" s="168">
        <f>IFERROR(VLOOKUP(A34,'Opponents stats vs'!$B$2:$D$366,3,0)/C34,1.05)</f>
        <v>1.1362959432894502</v>
      </c>
      <c r="E34" s="169">
        <f>IFERROR(VLOOKUP(A34,SOS!A:C,3,0),200)</f>
        <v>296</v>
      </c>
      <c r="F34">
        <f>IFERROR(VLOOKUP(A34,SOS!A:D,4,0),200)</f>
        <v>238</v>
      </c>
      <c r="G34">
        <f>B34*((366-F34)/365)^'Enhanced Matchup Model'!$F$14</f>
        <v>0.9525168564999642</v>
      </c>
      <c r="H34">
        <f>D34*(2-((366-F34)/365)^'Enhanced Matchup Model'!$F$14)</f>
        <v>1.1942975816687036</v>
      </c>
    </row>
    <row r="35" spans="1:8" ht="15" customHeight="1" x14ac:dyDescent="0.25">
      <c r="A35" s="167" t="s">
        <v>207</v>
      </c>
      <c r="B35" s="168">
        <f>IFERROR(VLOOKUP(A35,'Team Stats'!$B$2:$T$366,3,0)/(VLOOKUP(A35,'Team Stats'!$B$2:$T$366,5,0)+0.44*VLOOKUP(A35,'Team Stats'!$B$2:$T$366,11,0)+VLOOKUP(A35,'Team Stats'!$B$2:$T$366,19,0)-VLOOKUP(A35,'Team Stats'!$B$2:$T$366,13,0)),1)</f>
        <v>1.1701936872309897</v>
      </c>
      <c r="C35" s="168">
        <f>IFERROR((VLOOKUP(A35,'Team Stats'!$B$2:$T$366,5,0)+0.44*VLOOKUP(A35,'Team Stats'!$B$2:$T$366,11,0)+VLOOKUP(A35,'Team Stats'!$B$2:$T$366,19,0)-VLOOKUP(A35,'Team Stats'!$B$2:$T$366,13,0)),70)</f>
        <v>66.912000000000006</v>
      </c>
      <c r="D35" s="168">
        <f>IFERROR(VLOOKUP(A35,'Opponents stats vs'!$B$2:$D$366,3,0)/C35,1.05)</f>
        <v>1.1283476805356287</v>
      </c>
      <c r="E35" s="169">
        <f>IFERROR(VLOOKUP(A35,SOS!A:C,3,0),200)</f>
        <v>220</v>
      </c>
      <c r="F35">
        <f>IFERROR(VLOOKUP(A35,SOS!A:D,4,0),200)</f>
        <v>250</v>
      </c>
      <c r="G35">
        <f>B35*((366-F35)/365)^'Enhanced Matchup Model'!$F$14</f>
        <v>1.1050094882967341</v>
      </c>
      <c r="H35">
        <f>D35*(2-((366-F35)/365)^'Enhanced Matchup Model'!$F$14)</f>
        <v>1.1912008991759389</v>
      </c>
    </row>
    <row r="36" spans="1:8" ht="15" customHeight="1" x14ac:dyDescent="0.25">
      <c r="A36" s="170" t="s">
        <v>208</v>
      </c>
      <c r="B36" s="168">
        <f>IFERROR(VLOOKUP(A36,'Team Stats'!$B$2:$T$366,3,0)/(VLOOKUP(A36,'Team Stats'!$B$2:$T$366,5,0)+0.44*VLOOKUP(A36,'Team Stats'!$B$2:$T$366,11,0)+VLOOKUP(A36,'Team Stats'!$B$2:$T$366,19,0)-VLOOKUP(A36,'Team Stats'!$B$2:$T$366,13,0)),1)</f>
        <v>1.1323395019419693</v>
      </c>
      <c r="C36" s="168">
        <f>IFERROR((VLOOKUP(A36,'Team Stats'!$B$2:$T$366,5,0)+0.44*VLOOKUP(A36,'Team Stats'!$B$2:$T$366,11,0)+VLOOKUP(A36,'Team Stats'!$B$2:$T$366,19,0)-VLOOKUP(A36,'Team Stats'!$B$2:$T$366,13,0)),70)</f>
        <v>70.031999999999996</v>
      </c>
      <c r="D36" s="168">
        <f>IFERROR(VLOOKUP(A36,'Opponents stats vs'!$B$2:$D$366,3,0)/C36,1.05)</f>
        <v>1.1037811286269135</v>
      </c>
      <c r="E36" s="169">
        <f>IFERROR(VLOOKUP(A36,SOS!A:C,3,0),200)</f>
        <v>84</v>
      </c>
      <c r="F36">
        <f>IFERROR(VLOOKUP(A36,SOS!A:D,4,0),200)</f>
        <v>48</v>
      </c>
      <c r="G36">
        <f>B36*((366-F36)/365)^'Enhanced Matchup Model'!$F$14</f>
        <v>1.1245619135650395</v>
      </c>
      <c r="H36">
        <f>D36*(2-((366-F36)/365)^'Enhanced Matchup Model'!$F$14)</f>
        <v>1.111362560928763</v>
      </c>
    </row>
    <row r="37" spans="1:8" ht="15" customHeight="1" x14ac:dyDescent="0.25">
      <c r="A37" s="167" t="s">
        <v>209</v>
      </c>
      <c r="B37" s="168">
        <f>IFERROR(VLOOKUP(A37,'Team Stats'!$B$2:$T$366,3,0)/(VLOOKUP(A37,'Team Stats'!$B$2:$T$366,5,0)+0.44*VLOOKUP(A37,'Team Stats'!$B$2:$T$366,11,0)+VLOOKUP(A37,'Team Stats'!$B$2:$T$366,19,0)-VLOOKUP(A37,'Team Stats'!$B$2:$T$366,13,0)),1)</f>
        <v>1.0767000527148129</v>
      </c>
      <c r="C37" s="168">
        <f>IFERROR((VLOOKUP(A37,'Team Stats'!$B$2:$T$366,5,0)+0.44*VLOOKUP(A37,'Team Stats'!$B$2:$T$366,11,0)+VLOOKUP(A37,'Team Stats'!$B$2:$T$366,19,0)-VLOOKUP(A37,'Team Stats'!$B$2:$T$366,13,0)),70)</f>
        <v>75.88</v>
      </c>
      <c r="D37" s="168">
        <f>IFERROR(VLOOKUP(A37,'Opponents stats vs'!$B$2:$D$366,3,0)/C37,1.05)</f>
        <v>1.1294148655772274</v>
      </c>
      <c r="E37" s="169">
        <f>IFERROR(VLOOKUP(A37,SOS!A:C,3,0),200)</f>
        <v>179</v>
      </c>
      <c r="F37">
        <f>IFERROR(VLOOKUP(A37,SOS!A:D,4,0),200)</f>
        <v>150</v>
      </c>
      <c r="G37">
        <f>B37*((366-F37)/365)^'Enhanced Matchup Model'!$F$14</f>
        <v>1.0488243912150943</v>
      </c>
      <c r="H37">
        <f>D37*(2-((366-F37)/365)^'Enhanced Matchup Model'!$F$14)</f>
        <v>1.1586553085457205</v>
      </c>
    </row>
    <row r="38" spans="1:8" ht="15" customHeight="1" x14ac:dyDescent="0.25">
      <c r="A38" s="170" t="s">
        <v>210</v>
      </c>
      <c r="B38" s="168">
        <f>IFERROR(VLOOKUP(A38,'Team Stats'!$B$2:$T$366,3,0)/(VLOOKUP(A38,'Team Stats'!$B$2:$T$366,5,0)+0.44*VLOOKUP(A38,'Team Stats'!$B$2:$T$366,11,0)+VLOOKUP(A38,'Team Stats'!$B$2:$T$366,19,0)-VLOOKUP(A38,'Team Stats'!$B$2:$T$366,13,0)),1)</f>
        <v>1.0148473558360673</v>
      </c>
      <c r="C38" s="168">
        <f>IFERROR((VLOOKUP(A38,'Team Stats'!$B$2:$T$366,5,0)+0.44*VLOOKUP(A38,'Team Stats'!$B$2:$T$366,11,0)+VLOOKUP(A38,'Team Stats'!$B$2:$T$366,19,0)-VLOOKUP(A38,'Team Stats'!$B$2:$T$366,13,0)),70)</f>
        <v>71.932000000000002</v>
      </c>
      <c r="D38" s="168">
        <f>IFERROR(VLOOKUP(A38,'Opponents stats vs'!$B$2:$D$366,3,0)/C38,1.05)</f>
        <v>1.1302341099927709</v>
      </c>
      <c r="E38" s="169">
        <f>IFERROR(VLOOKUP(A38,SOS!A:C,3,0),200)</f>
        <v>310</v>
      </c>
      <c r="F38">
        <f>IFERROR(VLOOKUP(A38,SOS!A:D,4,0),200)</f>
        <v>193</v>
      </c>
      <c r="G38">
        <f>B38*((366-F38)/365)^'Enhanced Matchup Model'!$F$14</f>
        <v>0.97766121478627233</v>
      </c>
      <c r="H38">
        <f>D38*(2-((366-F38)/365)^'Enhanced Matchup Model'!$F$14)</f>
        <v>1.1716482643400083</v>
      </c>
    </row>
    <row r="39" spans="1:8" ht="15" customHeight="1" x14ac:dyDescent="0.25">
      <c r="A39" s="167" t="s">
        <v>211</v>
      </c>
      <c r="B39" s="168">
        <f>IFERROR(VLOOKUP(A39,'Team Stats'!$B$2:$T$366,3,0)/(VLOOKUP(A39,'Team Stats'!$B$2:$T$366,5,0)+0.44*VLOOKUP(A39,'Team Stats'!$B$2:$T$366,11,0)+VLOOKUP(A39,'Team Stats'!$B$2:$T$366,19,0)-VLOOKUP(A39,'Team Stats'!$B$2:$T$366,13,0)),1)</f>
        <v>1.1152366705844641</v>
      </c>
      <c r="C39" s="168">
        <f>IFERROR((VLOOKUP(A39,'Team Stats'!$B$2:$T$366,5,0)+0.44*VLOOKUP(A39,'Team Stats'!$B$2:$T$366,11,0)+VLOOKUP(A39,'Team Stats'!$B$2:$T$366,19,0)-VLOOKUP(A39,'Team Stats'!$B$2:$T$366,13,0)),70)</f>
        <v>74.872</v>
      </c>
      <c r="D39" s="168">
        <f>IFERROR(VLOOKUP(A39,'Opponents stats vs'!$B$2:$D$366,3,0)/C39,1.05)</f>
        <v>1.1005449300138905</v>
      </c>
      <c r="E39" s="169">
        <f>IFERROR(VLOOKUP(A39,SOS!A:C,3,0),200)</f>
        <v>142</v>
      </c>
      <c r="F39">
        <f>IFERROR(VLOOKUP(A39,SOS!A:D,4,0),200)</f>
        <v>166</v>
      </c>
      <c r="G39">
        <f>B39*((366-F39)/365)^'Enhanced Matchup Model'!$F$14</f>
        <v>1.0821909500576969</v>
      </c>
      <c r="H39">
        <f>D39*(2-((366-F39)/365)^'Enhanced Matchup Model'!$F$14)</f>
        <v>1.1331553176953948</v>
      </c>
    </row>
    <row r="40" spans="1:8" ht="15" customHeight="1" x14ac:dyDescent="0.25">
      <c r="A40" s="170" t="s">
        <v>212</v>
      </c>
      <c r="B40" s="168">
        <f>IFERROR(VLOOKUP(A40,'Team Stats'!$B$2:$T$366,3,0)/(VLOOKUP(A40,'Team Stats'!$B$2:$T$366,5,0)+0.44*VLOOKUP(A40,'Team Stats'!$B$2:$T$366,11,0)+VLOOKUP(A40,'Team Stats'!$B$2:$T$366,19,0)-VLOOKUP(A40,'Team Stats'!$B$2:$T$366,13,0)),1)</f>
        <v>1.0835543766578248</v>
      </c>
      <c r="C40" s="168">
        <f>IFERROR((VLOOKUP(A40,'Team Stats'!$B$2:$T$366,5,0)+0.44*VLOOKUP(A40,'Team Stats'!$B$2:$T$366,11,0)+VLOOKUP(A40,'Team Stats'!$B$2:$T$366,19,0)-VLOOKUP(A40,'Team Stats'!$B$2:$T$366,13,0)),70)</f>
        <v>75.400000000000006</v>
      </c>
      <c r="D40" s="168">
        <f>IFERROR(VLOOKUP(A40,'Opponents stats vs'!$B$2:$D$366,3,0)/C40,1.05)</f>
        <v>1.0530503978779842</v>
      </c>
      <c r="E40" s="169">
        <f>IFERROR(VLOOKUP(A40,SOS!A:C,3,0),200)</f>
        <v>152</v>
      </c>
      <c r="F40">
        <f>IFERROR(VLOOKUP(A40,SOS!A:D,4,0),200)</f>
        <v>208</v>
      </c>
      <c r="G40">
        <f>B40*((366-F40)/365)^'Enhanced Matchup Model'!$F$14</f>
        <v>1.0391276996036576</v>
      </c>
      <c r="H40">
        <f>D40*(2-((366-F40)/365)^'Enhanced Matchup Model'!$F$14)</f>
        <v>1.096226385125241</v>
      </c>
    </row>
    <row r="41" spans="1:8" ht="15" customHeight="1" x14ac:dyDescent="0.25">
      <c r="A41" s="167" t="s">
        <v>213</v>
      </c>
      <c r="B41" s="168">
        <f>IFERROR(VLOOKUP(A41,'Team Stats'!$B$2:$T$366,3,0)/(VLOOKUP(A41,'Team Stats'!$B$2:$T$366,5,0)+0.44*VLOOKUP(A41,'Team Stats'!$B$2:$T$366,11,0)+VLOOKUP(A41,'Team Stats'!$B$2:$T$366,19,0)-VLOOKUP(A41,'Team Stats'!$B$2:$T$366,13,0)),1)</f>
        <v>1.0815803587390498</v>
      </c>
      <c r="C41" s="168">
        <f>IFERROR((VLOOKUP(A41,'Team Stats'!$B$2:$T$366,5,0)+0.44*VLOOKUP(A41,'Team Stats'!$B$2:$T$366,11,0)+VLOOKUP(A41,'Team Stats'!$B$2:$T$366,19,0)-VLOOKUP(A41,'Team Stats'!$B$2:$T$366,13,0)),70)</f>
        <v>67.124000000000009</v>
      </c>
      <c r="D41" s="168">
        <f>IFERROR(VLOOKUP(A41,'Opponents stats vs'!$B$2:$D$366,3,0)/C41,1.05)</f>
        <v>1.0041117930993384</v>
      </c>
      <c r="E41" s="169">
        <f>IFERROR(VLOOKUP(A41,SOS!A:C,3,0),200)</f>
        <v>118</v>
      </c>
      <c r="F41">
        <f>IFERROR(VLOOKUP(A41,SOS!A:D,4,0),200)</f>
        <v>223</v>
      </c>
      <c r="G41">
        <f>B41*((366-F41)/365)^'Enhanced Matchup Model'!$F$14</f>
        <v>1.0320742689695515</v>
      </c>
      <c r="H41">
        <f>D41*(2-((366-F41)/365)^'Enhanced Matchup Model'!$F$14)</f>
        <v>1.0500719921415449</v>
      </c>
    </row>
    <row r="42" spans="1:8" ht="15" customHeight="1" x14ac:dyDescent="0.25">
      <c r="A42" s="170" t="s">
        <v>214</v>
      </c>
      <c r="B42" s="168">
        <f>IFERROR(VLOOKUP(A42,'Team Stats'!$B$2:$T$366,3,0)/(VLOOKUP(A42,'Team Stats'!$B$2:$T$366,5,0)+0.44*VLOOKUP(A42,'Team Stats'!$B$2:$T$366,11,0)+VLOOKUP(A42,'Team Stats'!$B$2:$T$366,19,0)-VLOOKUP(A42,'Team Stats'!$B$2:$T$366,13,0)),1)</f>
        <v>1.1204360616023534</v>
      </c>
      <c r="C42" s="168">
        <f>IFERROR((VLOOKUP(A42,'Team Stats'!$B$2:$T$366,5,0)+0.44*VLOOKUP(A42,'Team Stats'!$B$2:$T$366,11,0)+VLOOKUP(A42,'Team Stats'!$B$2:$T$366,19,0)-VLOOKUP(A42,'Team Stats'!$B$2:$T$366,13,0)),70)</f>
        <v>69.347999999999999</v>
      </c>
      <c r="D42" s="168">
        <f>IFERROR(VLOOKUP(A42,'Opponents stats vs'!$B$2:$D$366,3,0)/C42,1.05)</f>
        <v>1.0425679183249696</v>
      </c>
      <c r="E42" s="169">
        <f>IFERROR(VLOOKUP(A42,SOS!A:C,3,0),200)</f>
        <v>51</v>
      </c>
      <c r="F42">
        <f>IFERROR(VLOOKUP(A42,SOS!A:D,4,0),200)</f>
        <v>85</v>
      </c>
      <c r="G42">
        <f>B42*((366-F42)/365)^'Enhanced Matchup Model'!$F$14</f>
        <v>1.1058793562891962</v>
      </c>
      <c r="H42">
        <f>D42*(2-((366-F42)/365)^'Enhanced Matchup Model'!$F$14)</f>
        <v>1.0561129607206101</v>
      </c>
    </row>
    <row r="43" spans="1:8" ht="15" customHeight="1" x14ac:dyDescent="0.25">
      <c r="A43" s="167" t="s">
        <v>215</v>
      </c>
      <c r="B43" s="168">
        <f>IFERROR(VLOOKUP(A43,'Team Stats'!$B$2:$T$366,3,0)/(VLOOKUP(A43,'Team Stats'!$B$2:$T$366,5,0)+0.44*VLOOKUP(A43,'Team Stats'!$B$2:$T$366,11,0)+VLOOKUP(A43,'Team Stats'!$B$2:$T$366,19,0)-VLOOKUP(A43,'Team Stats'!$B$2:$T$366,13,0)),1)</f>
        <v>1.125470729202328</v>
      </c>
      <c r="C43" s="168">
        <f>IFERROR((VLOOKUP(A43,'Team Stats'!$B$2:$T$366,5,0)+0.44*VLOOKUP(A43,'Team Stats'!$B$2:$T$366,11,0)+VLOOKUP(A43,'Team Stats'!$B$2:$T$366,19,0)-VLOOKUP(A43,'Team Stats'!$B$2:$T$366,13,0)),70)</f>
        <v>70.103999999999999</v>
      </c>
      <c r="D43" s="168">
        <f>IFERROR(VLOOKUP(A43,'Opponents stats vs'!$B$2:$D$366,3,0)/C43,1.05)</f>
        <v>1.1069268515348625</v>
      </c>
      <c r="E43" s="169">
        <f>IFERROR(VLOOKUP(A43,SOS!A:C,3,0),200)</f>
        <v>151</v>
      </c>
      <c r="F43">
        <f>IFERROR(VLOOKUP(A43,SOS!A:D,4,0),200)</f>
        <v>137</v>
      </c>
      <c r="G43">
        <f>B43*((366-F43)/365)^'Enhanced Matchup Model'!$F$14</f>
        <v>1.0995407653605094</v>
      </c>
      <c r="H43">
        <f>D43*(2-((366-F43)/365)^'Enhanced Matchup Model'!$F$14)</f>
        <v>1.1324295789635714</v>
      </c>
    </row>
    <row r="44" spans="1:8" ht="15" customHeight="1" x14ac:dyDescent="0.25">
      <c r="A44" s="170" t="s">
        <v>216</v>
      </c>
      <c r="B44" s="168">
        <f>IFERROR(VLOOKUP(A44,'Team Stats'!$B$2:$T$366,3,0)/(VLOOKUP(A44,'Team Stats'!$B$2:$T$366,5,0)+0.44*VLOOKUP(A44,'Team Stats'!$B$2:$T$366,11,0)+VLOOKUP(A44,'Team Stats'!$B$2:$T$366,19,0)-VLOOKUP(A44,'Team Stats'!$B$2:$T$366,13,0)),1)</f>
        <v>0.97920169375428101</v>
      </c>
      <c r="C44" s="168">
        <f>IFERROR((VLOOKUP(A44,'Team Stats'!$B$2:$T$366,5,0)+0.44*VLOOKUP(A44,'Team Stats'!$B$2:$T$366,11,0)+VLOOKUP(A44,'Team Stats'!$B$2:$T$366,19,0)-VLOOKUP(A44,'Team Stats'!$B$2:$T$366,13,0)),70)</f>
        <v>64.236000000000004</v>
      </c>
      <c r="D44" s="168">
        <f>IFERROR(VLOOKUP(A44,'Opponents stats vs'!$B$2:$D$366,3,0)/C44,1.05)</f>
        <v>1.0975154119185502</v>
      </c>
      <c r="E44" s="169">
        <f>IFERROR(VLOOKUP(A44,SOS!A:C,3,0),200)</f>
        <v>342</v>
      </c>
      <c r="F44">
        <f>IFERROR(VLOOKUP(A44,SOS!A:D,4,0),200)</f>
        <v>306</v>
      </c>
      <c r="G44">
        <f>B44*((366-F44)/365)^'Enhanced Matchup Model'!$F$14</f>
        <v>0.89467453305595213</v>
      </c>
      <c r="H44">
        <f>D44*(2-((366-F44)/365)^'Enhanced Matchup Model'!$F$14)</f>
        <v>1.1922557112704133</v>
      </c>
    </row>
    <row r="45" spans="1:8" ht="15" customHeight="1" x14ac:dyDescent="0.25">
      <c r="A45" s="167" t="s">
        <v>217</v>
      </c>
      <c r="B45" s="168">
        <f>IFERROR(VLOOKUP(A45,'Team Stats'!$B$2:$T$366,3,0)/(VLOOKUP(A45,'Team Stats'!$B$2:$T$366,5,0)+0.44*VLOOKUP(A45,'Team Stats'!$B$2:$T$366,11,0)+VLOOKUP(A45,'Team Stats'!$B$2:$T$366,19,0)-VLOOKUP(A45,'Team Stats'!$B$2:$T$366,13,0)),1)</f>
        <v>1.1413906533575318</v>
      </c>
      <c r="C45" s="168">
        <f>IFERROR((VLOOKUP(A45,'Team Stats'!$B$2:$T$366,5,0)+0.44*VLOOKUP(A45,'Team Stats'!$B$2:$T$366,11,0)+VLOOKUP(A45,'Team Stats'!$B$2:$T$366,19,0)-VLOOKUP(A45,'Team Stats'!$B$2:$T$366,13,0)),70)</f>
        <v>70.528000000000006</v>
      </c>
      <c r="D45" s="168">
        <f>IFERROR(VLOOKUP(A45,'Opponents stats vs'!$B$2:$D$366,3,0)/C45,1.05)</f>
        <v>1.0549001814882033</v>
      </c>
      <c r="E45" s="169">
        <f>IFERROR(VLOOKUP(A45,SOS!A:C,3,0),200)</f>
        <v>173</v>
      </c>
      <c r="F45">
        <f>IFERROR(VLOOKUP(A45,SOS!A:D,4,0),200)</f>
        <v>269</v>
      </c>
      <c r="G45">
        <f>B45*((366-F45)/365)^'Enhanced Matchup Model'!$F$14</f>
        <v>1.068213974985232</v>
      </c>
      <c r="H45">
        <f>D45*(2-((366-F45)/365)^'Enhanced Matchup Model'!$F$14)</f>
        <v>1.1225317947912978</v>
      </c>
    </row>
    <row r="46" spans="1:8" ht="15" customHeight="1" x14ac:dyDescent="0.25">
      <c r="A46" s="170" t="s">
        <v>218</v>
      </c>
      <c r="B46" s="168">
        <f>IFERROR(VLOOKUP(A46,'Team Stats'!$B$2:$T$366,3,0)/(VLOOKUP(A46,'Team Stats'!$B$2:$T$366,5,0)+0.44*VLOOKUP(A46,'Team Stats'!$B$2:$T$366,11,0)+VLOOKUP(A46,'Team Stats'!$B$2:$T$366,19,0)-VLOOKUP(A46,'Team Stats'!$B$2:$T$366,13,0)),1)</f>
        <v>1.1226725082146771</v>
      </c>
      <c r="C46" s="168">
        <f>IFERROR((VLOOKUP(A46,'Team Stats'!$B$2:$T$366,5,0)+0.44*VLOOKUP(A46,'Team Stats'!$B$2:$T$366,11,0)+VLOOKUP(A46,'Team Stats'!$B$2:$T$366,19,0)-VLOOKUP(A46,'Team Stats'!$B$2:$T$366,13,0)),70)</f>
        <v>65.73599999999999</v>
      </c>
      <c r="D46" s="168">
        <f>IFERROR(VLOOKUP(A46,'Opponents stats vs'!$B$2:$D$366,3,0)/C46,1.05)</f>
        <v>1.0785566508458078</v>
      </c>
      <c r="E46" s="169">
        <f>IFERROR(VLOOKUP(A46,SOS!A:C,3,0),200)</f>
        <v>322</v>
      </c>
      <c r="F46">
        <f>IFERROR(VLOOKUP(A46,SOS!A:D,4,0),200)</f>
        <v>360</v>
      </c>
      <c r="G46">
        <f>B46*((366-F46)/365)^'Enhanced Matchup Model'!$F$14</f>
        <v>0.91421008353927946</v>
      </c>
      <c r="H46">
        <f>D46*(2-((366-F46)/365)^'Enhanced Matchup Model'!$F$14)</f>
        <v>1.2788274626274567</v>
      </c>
    </row>
    <row r="47" spans="1:8" ht="15" customHeight="1" x14ac:dyDescent="0.25">
      <c r="A47" s="167" t="s">
        <v>219</v>
      </c>
      <c r="B47" s="168">
        <f>IFERROR(VLOOKUP(A47,'Team Stats'!$B$2:$T$366,3,0)/(VLOOKUP(A47,'Team Stats'!$B$2:$T$366,5,0)+0.44*VLOOKUP(A47,'Team Stats'!$B$2:$T$366,11,0)+VLOOKUP(A47,'Team Stats'!$B$2:$T$366,19,0)-VLOOKUP(A47,'Team Stats'!$B$2:$T$366,13,0)),1)</f>
        <v>1.0716785256036392</v>
      </c>
      <c r="C47" s="168">
        <f>IFERROR((VLOOKUP(A47,'Team Stats'!$B$2:$T$366,5,0)+0.44*VLOOKUP(A47,'Team Stats'!$B$2:$T$366,11,0)+VLOOKUP(A47,'Team Stats'!$B$2:$T$366,19,0)-VLOOKUP(A47,'Team Stats'!$B$2:$T$366,13,0)),70)</f>
        <v>68.584000000000003</v>
      </c>
      <c r="D47" s="168">
        <f>IFERROR(VLOOKUP(A47,'Opponents stats vs'!$B$2:$D$366,3,0)/C47,1.05)</f>
        <v>1.1168785722617518</v>
      </c>
      <c r="E47" s="169">
        <f>IFERROR(VLOOKUP(A47,SOS!A:C,3,0),200)</f>
        <v>239</v>
      </c>
      <c r="F47">
        <f>IFERROR(VLOOKUP(A47,SOS!A:D,4,0),200)</f>
        <v>168</v>
      </c>
      <c r="G47">
        <f>B47*((366-F47)/365)^'Enhanced Matchup Model'!$F$14</f>
        <v>1.0394010343134144</v>
      </c>
      <c r="H47">
        <f>D47*(2-((366-F47)/365)^'Enhanced Matchup Model'!$F$14)</f>
        <v>1.1505174271302039</v>
      </c>
    </row>
    <row r="48" spans="1:8" ht="15" customHeight="1" x14ac:dyDescent="0.25">
      <c r="A48" s="170" t="s">
        <v>220</v>
      </c>
      <c r="B48" s="168">
        <f>IFERROR(VLOOKUP(A48,'Team Stats'!$B$2:$T$366,3,0)/(VLOOKUP(A48,'Team Stats'!$B$2:$T$366,5,0)+0.44*VLOOKUP(A48,'Team Stats'!$B$2:$T$366,11,0)+VLOOKUP(A48,'Team Stats'!$B$2:$T$366,19,0)-VLOOKUP(A48,'Team Stats'!$B$2:$T$366,13,0)),1)</f>
        <v>1.1076133846333214</v>
      </c>
      <c r="C48" s="168">
        <f>IFERROR((VLOOKUP(A48,'Team Stats'!$B$2:$T$366,5,0)+0.44*VLOOKUP(A48,'Team Stats'!$B$2:$T$366,11,0)+VLOOKUP(A48,'Team Stats'!$B$2:$T$366,19,0)-VLOOKUP(A48,'Team Stats'!$B$2:$T$366,13,0)),70)</f>
        <v>68.616000000000014</v>
      </c>
      <c r="D48" s="168">
        <f>IFERROR(VLOOKUP(A48,'Opponents stats vs'!$B$2:$D$366,3,0)/C48,1.05)</f>
        <v>1.0653491896933658</v>
      </c>
      <c r="E48" s="169">
        <f>IFERROR(VLOOKUP(A48,SOS!A:C,3,0),200)</f>
        <v>93</v>
      </c>
      <c r="F48">
        <f>IFERROR(VLOOKUP(A48,SOS!A:D,4,0),200)</f>
        <v>169</v>
      </c>
      <c r="G48">
        <f>B48*((366-F48)/365)^'Enhanced Matchup Model'!$F$14</f>
        <v>1.073981655451911</v>
      </c>
      <c r="H48">
        <f>D48*(2-((366-F48)/365)^'Enhanced Matchup Model'!$F$14)</f>
        <v>1.0976976028928538</v>
      </c>
    </row>
    <row r="49" spans="1:8" ht="15" customHeight="1" x14ac:dyDescent="0.25">
      <c r="A49" s="167" t="s">
        <v>221</v>
      </c>
      <c r="B49" s="168">
        <f>IFERROR(VLOOKUP(A49,'Team Stats'!$B$2:$T$366,3,0)/(VLOOKUP(A49,'Team Stats'!$B$2:$T$366,5,0)+0.44*VLOOKUP(A49,'Team Stats'!$B$2:$T$366,11,0)+VLOOKUP(A49,'Team Stats'!$B$2:$T$366,19,0)-VLOOKUP(A49,'Team Stats'!$B$2:$T$366,13,0)),1)</f>
        <v>1.1134521015574994</v>
      </c>
      <c r="C49" s="168">
        <f>IFERROR((VLOOKUP(A49,'Team Stats'!$B$2:$T$366,5,0)+0.44*VLOOKUP(A49,'Team Stats'!$B$2:$T$366,11,0)+VLOOKUP(A49,'Team Stats'!$B$2:$T$366,19,0)-VLOOKUP(A49,'Team Stats'!$B$2:$T$366,13,0)),70)</f>
        <v>74.992000000000004</v>
      </c>
      <c r="D49" s="168">
        <f>IFERROR(VLOOKUP(A49,'Opponents stats vs'!$B$2:$D$366,3,0)/C49,1.05)</f>
        <v>1.0654469810113079</v>
      </c>
      <c r="E49" s="169">
        <f>IFERROR(VLOOKUP(A49,SOS!A:C,3,0),200)</f>
        <v>294</v>
      </c>
      <c r="F49">
        <f>IFERROR(VLOOKUP(A49,SOS!A:D,4,0),200)</f>
        <v>294</v>
      </c>
      <c r="G49">
        <f>B49*((366-F49)/365)^'Enhanced Matchup Model'!$F$14</f>
        <v>1.0266526226103085</v>
      </c>
      <c r="H49">
        <f>D49*(2-((366-F49)/365)^'Enhanced Matchup Model'!$F$14)</f>
        <v>1.1485042069739493</v>
      </c>
    </row>
    <row r="50" spans="1:8" ht="15" customHeight="1" x14ac:dyDescent="0.25">
      <c r="A50" s="170" t="s">
        <v>222</v>
      </c>
      <c r="B50" s="168">
        <f>IFERROR(VLOOKUP(A50,'Team Stats'!$B$2:$T$366,3,0)/(VLOOKUP(A50,'Team Stats'!$B$2:$T$366,5,0)+0.44*VLOOKUP(A50,'Team Stats'!$B$2:$T$366,11,0)+VLOOKUP(A50,'Team Stats'!$B$2:$T$366,19,0)-VLOOKUP(A50,'Team Stats'!$B$2:$T$366,13,0)),1)</f>
        <v>1.136784304047384</v>
      </c>
      <c r="C50" s="168">
        <f>IFERROR((VLOOKUP(A50,'Team Stats'!$B$2:$T$366,5,0)+0.44*VLOOKUP(A50,'Team Stats'!$B$2:$T$366,11,0)+VLOOKUP(A50,'Team Stats'!$B$2:$T$366,19,0)-VLOOKUP(A50,'Team Stats'!$B$2:$T$366,13,0)),70)</f>
        <v>64.832000000000008</v>
      </c>
      <c r="D50" s="168">
        <f>IFERROR(VLOOKUP(A50,'Opponents stats vs'!$B$2:$D$366,3,0)/C50,1.05)</f>
        <v>1.1429540967423493</v>
      </c>
      <c r="E50" s="169">
        <f>IFERROR(VLOOKUP(A50,SOS!A:C,3,0),200)</f>
        <v>126</v>
      </c>
      <c r="F50">
        <f>IFERROR(VLOOKUP(A50,SOS!A:D,4,0),200)</f>
        <v>122</v>
      </c>
      <c r="G50">
        <f>B50*((366-F50)/365)^'Enhanced Matchup Model'!$F$14</f>
        <v>1.114122427138359</v>
      </c>
      <c r="H50">
        <f>D50*(2-((366-F50)/365)^'Enhanced Matchup Model'!$F$14)</f>
        <v>1.1657389689127529</v>
      </c>
    </row>
    <row r="51" spans="1:8" ht="15" customHeight="1" x14ac:dyDescent="0.25">
      <c r="A51" s="167" t="s">
        <v>223</v>
      </c>
      <c r="B51" s="168">
        <f>IFERROR(VLOOKUP(A51,'Team Stats'!$B$2:$T$366,3,0)/(VLOOKUP(A51,'Team Stats'!$B$2:$T$366,5,0)+0.44*VLOOKUP(A51,'Team Stats'!$B$2:$T$366,11,0)+VLOOKUP(A51,'Team Stats'!$B$2:$T$366,19,0)-VLOOKUP(A51,'Team Stats'!$B$2:$T$366,13,0)),1)</f>
        <v>1.1332621336181323</v>
      </c>
      <c r="C51" s="168">
        <f>IFERROR((VLOOKUP(A51,'Team Stats'!$B$2:$T$366,5,0)+0.44*VLOOKUP(A51,'Team Stats'!$B$2:$T$366,11,0)+VLOOKUP(A51,'Team Stats'!$B$2:$T$366,19,0)-VLOOKUP(A51,'Team Stats'!$B$2:$T$366,13,0)),70)</f>
        <v>67.415999999999997</v>
      </c>
      <c r="D51" s="168">
        <f>IFERROR(VLOOKUP(A51,'Opponents stats vs'!$B$2:$D$366,3,0)/C51,1.05)</f>
        <v>1.1095288952177524</v>
      </c>
      <c r="E51" s="169">
        <f>IFERROR(VLOOKUP(A51,SOS!A:C,3,0),200)</f>
        <v>319</v>
      </c>
      <c r="F51">
        <f>IFERROR(VLOOKUP(A51,SOS!A:D,4,0),200)</f>
        <v>299</v>
      </c>
      <c r="G51">
        <f>B51*((366-F51)/365)^'Enhanced Matchup Model'!$F$14</f>
        <v>1.0411647943481919</v>
      </c>
      <c r="H51">
        <f>D51*(2-((366-F51)/365)^'Enhanced Matchup Model'!$F$14)</f>
        <v>1.1996974943982701</v>
      </c>
    </row>
    <row r="52" spans="1:8" ht="15" customHeight="1" x14ac:dyDescent="0.25">
      <c r="A52" s="170" t="s">
        <v>224</v>
      </c>
      <c r="B52" s="168">
        <f>IFERROR(VLOOKUP(A52,'Team Stats'!$B$2:$T$366,3,0)/(VLOOKUP(A52,'Team Stats'!$B$2:$T$366,5,0)+0.44*VLOOKUP(A52,'Team Stats'!$B$2:$T$366,11,0)+VLOOKUP(A52,'Team Stats'!$B$2:$T$366,19,0)-VLOOKUP(A52,'Team Stats'!$B$2:$T$366,13,0)),1)</f>
        <v>1.0045801526717557</v>
      </c>
      <c r="C52" s="168">
        <f>IFERROR((VLOOKUP(A52,'Team Stats'!$B$2:$T$366,5,0)+0.44*VLOOKUP(A52,'Team Stats'!$B$2:$T$366,11,0)+VLOOKUP(A52,'Team Stats'!$B$2:$T$366,19,0)-VLOOKUP(A52,'Team Stats'!$B$2:$T$366,13,0)),70)</f>
        <v>65.5</v>
      </c>
      <c r="D52" s="168">
        <f>IFERROR(VLOOKUP(A52,'Opponents stats vs'!$B$2:$D$366,3,0)/C52,1.05)</f>
        <v>1.1618320610687023</v>
      </c>
      <c r="E52" s="169">
        <f>IFERROR(VLOOKUP(A52,SOS!A:C,3,0),200)</f>
        <v>320</v>
      </c>
      <c r="F52">
        <f>IFERROR(VLOOKUP(A52,SOS!A:D,4,0),200)</f>
        <v>197</v>
      </c>
      <c r="G52">
        <f>B52*((366-F52)/365)^'Enhanced Matchup Model'!$F$14</f>
        <v>0.96663893864936823</v>
      </c>
      <c r="H52">
        <f>D52*(2-((366-F52)/365)^'Enhanced Matchup Model'!$F$14)</f>
        <v>1.2057124012982416</v>
      </c>
    </row>
    <row r="53" spans="1:8" ht="15" customHeight="1" x14ac:dyDescent="0.25">
      <c r="A53" s="167" t="s">
        <v>225</v>
      </c>
      <c r="B53" s="168">
        <f>IFERROR(VLOOKUP(A53,'Team Stats'!$B$2:$T$366,3,0)/(VLOOKUP(A53,'Team Stats'!$B$2:$T$366,5,0)+0.44*VLOOKUP(A53,'Team Stats'!$B$2:$T$366,11,0)+VLOOKUP(A53,'Team Stats'!$B$2:$T$366,19,0)-VLOOKUP(A53,'Team Stats'!$B$2:$T$366,13,0)),1)</f>
        <v>1.0679921168560167</v>
      </c>
      <c r="C53" s="168">
        <f>IFERROR((VLOOKUP(A53,'Team Stats'!$B$2:$T$366,5,0)+0.44*VLOOKUP(A53,'Team Stats'!$B$2:$T$366,11,0)+VLOOKUP(A53,'Team Stats'!$B$2:$T$366,19,0)-VLOOKUP(A53,'Team Stats'!$B$2:$T$366,13,0)),70)</f>
        <v>69.007999999999996</v>
      </c>
      <c r="D53" s="168">
        <f>IFERROR(VLOOKUP(A53,'Opponents stats vs'!$B$2:$D$366,3,0)/C53,1.05)</f>
        <v>0.97814746116392304</v>
      </c>
      <c r="E53" s="169">
        <f>IFERROR(VLOOKUP(A53,SOS!A:C,3,0),200)</f>
        <v>63</v>
      </c>
      <c r="F53">
        <f>IFERROR(VLOOKUP(A53,SOS!A:D,4,0),200)</f>
        <v>60</v>
      </c>
      <c r="G53">
        <f>B53*((366-F53)/365)^'Enhanced Matchup Model'!$F$14</f>
        <v>1.0586184899512423</v>
      </c>
      <c r="H53">
        <f>D53*(2-((366-F53)/365)^'Enhanced Matchup Model'!$F$14)</f>
        <v>0.98673253329516142</v>
      </c>
    </row>
    <row r="54" spans="1:8" ht="15" customHeight="1" x14ac:dyDescent="0.25">
      <c r="A54" s="170" t="s">
        <v>68</v>
      </c>
      <c r="B54" s="168">
        <f>IFERROR(VLOOKUP(A54,'Team Stats'!$B$2:$T$366,3,0)/(VLOOKUP(A54,'Team Stats'!$B$2:$T$366,5,0)+0.44*VLOOKUP(A54,'Team Stats'!$B$2:$T$366,11,0)+VLOOKUP(A54,'Team Stats'!$B$2:$T$366,19,0)-VLOOKUP(A54,'Team Stats'!$B$2:$T$366,13,0)),1)</f>
        <v>1.1324838434337277</v>
      </c>
      <c r="C54" s="168">
        <f>IFERROR((VLOOKUP(A54,'Team Stats'!$B$2:$T$366,5,0)+0.44*VLOOKUP(A54,'Team Stats'!$B$2:$T$366,11,0)+VLOOKUP(A54,'Team Stats'!$B$2:$T$366,19,0)-VLOOKUP(A54,'Team Stats'!$B$2:$T$366,13,0)),70)</f>
        <v>65.60799999999999</v>
      </c>
      <c r="D54" s="168">
        <f>IFERROR(VLOOKUP(A54,'Opponents stats vs'!$B$2:$D$366,3,0)/C54,1.05)</f>
        <v>1.0059748811120597</v>
      </c>
      <c r="E54" s="169">
        <f>IFERROR(VLOOKUP(A54,SOS!A:C,3,0),200)</f>
        <v>28</v>
      </c>
      <c r="F54">
        <f>IFERROR(VLOOKUP(A54,SOS!A:D,4,0),200)</f>
        <v>54</v>
      </c>
      <c r="G54">
        <f>B54*((366-F54)/365)^'Enhanced Matchup Model'!$F$14</f>
        <v>1.1236345933147098</v>
      </c>
      <c r="H54">
        <f>D54*(2-((366-F54)/365)^'Enhanced Matchup Model'!$F$14)</f>
        <v>1.0138355878126677</v>
      </c>
    </row>
    <row r="55" spans="1:8" ht="15" customHeight="1" x14ac:dyDescent="0.25">
      <c r="A55" s="167" t="s">
        <v>226</v>
      </c>
      <c r="B55" s="168">
        <f>IFERROR(VLOOKUP(A55,'Team Stats'!$B$2:$T$366,3,0)/(VLOOKUP(A55,'Team Stats'!$B$2:$T$366,5,0)+0.44*VLOOKUP(A55,'Team Stats'!$B$2:$T$366,11,0)+VLOOKUP(A55,'Team Stats'!$B$2:$T$366,19,0)-VLOOKUP(A55,'Team Stats'!$B$2:$T$366,13,0)),1)</f>
        <v>1.130760074817208</v>
      </c>
      <c r="C55" s="168">
        <f>IFERROR((VLOOKUP(A55,'Team Stats'!$B$2:$T$366,5,0)+0.44*VLOOKUP(A55,'Team Stats'!$B$2:$T$366,11,0)+VLOOKUP(A55,'Team Stats'!$B$2:$T$366,19,0)-VLOOKUP(A55,'Team Stats'!$B$2:$T$366,13,0)),70)</f>
        <v>70.572000000000003</v>
      </c>
      <c r="D55" s="168">
        <f>IFERROR(VLOOKUP(A55,'Opponents stats vs'!$B$2:$D$366,3,0)/C55,1.05)</f>
        <v>1.2171966218897012</v>
      </c>
      <c r="E55" s="169">
        <f>IFERROR(VLOOKUP(A55,SOS!A:C,3,0),200)</f>
        <v>264</v>
      </c>
      <c r="F55">
        <f>IFERROR(VLOOKUP(A55,SOS!A:D,4,0),200)</f>
        <v>199</v>
      </c>
      <c r="G55">
        <f>B55*((366-F55)/365)^'Enhanced Matchup Model'!$F$14</f>
        <v>1.0874058028189895</v>
      </c>
      <c r="H55">
        <f>D55*(2-((366-F55)/365)^'Enhanced Matchup Model'!$F$14)</f>
        <v>1.2638649422486858</v>
      </c>
    </row>
    <row r="56" spans="1:8" ht="15" customHeight="1" x14ac:dyDescent="0.25">
      <c r="A56" s="170" t="s">
        <v>227</v>
      </c>
      <c r="B56" s="168">
        <f>IFERROR(VLOOKUP(A56,'Team Stats'!$B$2:$T$366,3,0)/(VLOOKUP(A56,'Team Stats'!$B$2:$T$366,5,0)+0.44*VLOOKUP(A56,'Team Stats'!$B$2:$T$366,11,0)+VLOOKUP(A56,'Team Stats'!$B$2:$T$366,19,0)-VLOOKUP(A56,'Team Stats'!$B$2:$T$366,13,0)),1)</f>
        <v>1.0536893482629919</v>
      </c>
      <c r="C56" s="168">
        <f>IFERROR((VLOOKUP(A56,'Team Stats'!$B$2:$T$366,5,0)+0.44*VLOOKUP(A56,'Team Stats'!$B$2:$T$366,11,0)+VLOOKUP(A56,'Team Stats'!$B$2:$T$366,19,0)-VLOOKUP(A56,'Team Stats'!$B$2:$T$366,13,0)),70)</f>
        <v>69.66</v>
      </c>
      <c r="D56" s="168">
        <f>IFERROR(VLOOKUP(A56,'Opponents stats vs'!$B$2:$D$366,3,0)/C56,1.05)</f>
        <v>1.0307206431237439</v>
      </c>
      <c r="E56" s="169">
        <f>IFERROR(VLOOKUP(A56,SOS!A:C,3,0),200)</f>
        <v>164</v>
      </c>
      <c r="F56">
        <f>IFERROR(VLOOKUP(A56,SOS!A:D,4,0),200)</f>
        <v>230</v>
      </c>
      <c r="G56">
        <f>B56*((366-F56)/365)^'Enhanced Matchup Model'!$F$14</f>
        <v>1.0029398602284851</v>
      </c>
      <c r="H56">
        <f>D56*(2-((366-F56)/365)^'Enhanced Matchup Model'!$F$14)</f>
        <v>1.0803638752882887</v>
      </c>
    </row>
    <row r="57" spans="1:8" ht="15" customHeight="1" x14ac:dyDescent="0.25">
      <c r="A57" s="167" t="s">
        <v>228</v>
      </c>
      <c r="B57" s="168">
        <f>IFERROR(VLOOKUP(A57,'Team Stats'!$B$2:$T$366,3,0)/(VLOOKUP(A57,'Team Stats'!$B$2:$T$366,5,0)+0.44*VLOOKUP(A57,'Team Stats'!$B$2:$T$366,11,0)+VLOOKUP(A57,'Team Stats'!$B$2:$T$366,19,0)-VLOOKUP(A57,'Team Stats'!$B$2:$T$366,13,0)),1)</f>
        <v>1.1368352404102686</v>
      </c>
      <c r="C57" s="168">
        <f>IFERROR((VLOOKUP(A57,'Team Stats'!$B$2:$T$366,5,0)+0.44*VLOOKUP(A57,'Team Stats'!$B$2:$T$366,11,0)+VLOOKUP(A57,'Team Stats'!$B$2:$T$366,19,0)-VLOOKUP(A57,'Team Stats'!$B$2:$T$366,13,0)),70)</f>
        <v>67.468000000000004</v>
      </c>
      <c r="D57" s="168">
        <f>IFERROR(VLOOKUP(A57,'Opponents stats vs'!$B$2:$D$366,3,0)/C57,1.05)</f>
        <v>1.1057093733325427</v>
      </c>
      <c r="E57" s="169">
        <f>IFERROR(VLOOKUP(A57,SOS!A:C,3,0),200)</f>
        <v>228</v>
      </c>
      <c r="F57">
        <f>IFERROR(VLOOKUP(A57,SOS!A:D,4,0),200)</f>
        <v>295</v>
      </c>
      <c r="G57">
        <f>B57*((366-F57)/365)^'Enhanced Matchup Model'!$F$14</f>
        <v>1.0474801504152706</v>
      </c>
      <c r="H57">
        <f>D57*(2-((366-F57)/365)^'Enhanced Matchup Model'!$F$14)</f>
        <v>1.1926179745532317</v>
      </c>
    </row>
    <row r="58" spans="1:8" ht="15" customHeight="1" x14ac:dyDescent="0.25">
      <c r="A58" s="170" t="s">
        <v>229</v>
      </c>
      <c r="B58" s="168">
        <f>IFERROR(VLOOKUP(A58,'Team Stats'!$B$2:$T$366,3,0)/(VLOOKUP(A58,'Team Stats'!$B$2:$T$366,5,0)+0.44*VLOOKUP(A58,'Team Stats'!$B$2:$T$366,11,0)+VLOOKUP(A58,'Team Stats'!$B$2:$T$366,19,0)-VLOOKUP(A58,'Team Stats'!$B$2:$T$366,13,0)),1)</f>
        <v>1.1528916079879949</v>
      </c>
      <c r="C58" s="168">
        <f>IFERROR((VLOOKUP(A58,'Team Stats'!$B$2:$T$366,5,0)+0.44*VLOOKUP(A58,'Team Stats'!$B$2:$T$366,11,0)+VLOOKUP(A58,'Team Stats'!$B$2:$T$366,19,0)-VLOOKUP(A58,'Team Stats'!$B$2:$T$366,13,0)),70)</f>
        <v>69.304000000000002</v>
      </c>
      <c r="D58" s="168">
        <f>IFERROR(VLOOKUP(A58,'Opponents stats vs'!$B$2:$D$366,3,0)/C58,1.05)</f>
        <v>1.1355765900958097</v>
      </c>
      <c r="E58" s="169">
        <f>IFERROR(VLOOKUP(A58,SOS!A:C,3,0),200)</f>
        <v>65</v>
      </c>
      <c r="F58">
        <f>IFERROR(VLOOKUP(A58,SOS!A:D,4,0),200)</f>
        <v>59</v>
      </c>
      <c r="G58">
        <f>B58*((366-F58)/365)^'Enhanced Matchup Model'!$F$14</f>
        <v>1.1429592677170317</v>
      </c>
      <c r="H58">
        <f>D58*(2-((366-F58)/365)^'Enhanced Matchup Model'!$F$14)</f>
        <v>1.1453597587982478</v>
      </c>
    </row>
    <row r="59" spans="1:8" ht="15" customHeight="1" x14ac:dyDescent="0.25">
      <c r="A59" s="167" t="s">
        <v>230</v>
      </c>
      <c r="B59" s="168">
        <f>IFERROR(VLOOKUP(A59,'Team Stats'!$B$2:$T$366,3,0)/(VLOOKUP(A59,'Team Stats'!$B$2:$T$366,5,0)+0.44*VLOOKUP(A59,'Team Stats'!$B$2:$T$366,11,0)+VLOOKUP(A59,'Team Stats'!$B$2:$T$366,19,0)-VLOOKUP(A59,'Team Stats'!$B$2:$T$366,13,0)),1)</f>
        <v>1.2096015061186067</v>
      </c>
      <c r="C59" s="168">
        <f>IFERROR((VLOOKUP(A59,'Team Stats'!$B$2:$T$366,5,0)+0.44*VLOOKUP(A59,'Team Stats'!$B$2:$T$366,11,0)+VLOOKUP(A59,'Team Stats'!$B$2:$T$366,19,0)-VLOOKUP(A59,'Team Stats'!$B$2:$T$366,13,0)),70)</f>
        <v>63.74</v>
      </c>
      <c r="D59" s="168">
        <f>IFERROR(VLOOKUP(A59,'Opponents stats vs'!$B$2:$D$366,3,0)/C59,1.05)</f>
        <v>1.1170379667398809</v>
      </c>
      <c r="E59" s="169">
        <f>IFERROR(VLOOKUP(A59,SOS!A:C,3,0),200)</f>
        <v>68</v>
      </c>
      <c r="F59">
        <f>IFERROR(VLOOKUP(A59,SOS!A:D,4,0),200)</f>
        <v>101</v>
      </c>
      <c r="G59">
        <f>B59*((366-F59)/365)^'Enhanced Matchup Model'!$F$14</f>
        <v>1.1903919173347532</v>
      </c>
      <c r="H59">
        <f>D59*(2-((366-F59)/365)^'Enhanced Matchup Model'!$F$14)</f>
        <v>1.1347775610512993</v>
      </c>
    </row>
    <row r="60" spans="1:8" ht="15" customHeight="1" x14ac:dyDescent="0.25">
      <c r="A60" s="170" t="s">
        <v>231</v>
      </c>
      <c r="B60" s="168">
        <f>IFERROR(VLOOKUP(A60,'Team Stats'!$B$2:$T$366,3,0)/(VLOOKUP(A60,'Team Stats'!$B$2:$T$366,5,0)+0.44*VLOOKUP(A60,'Team Stats'!$B$2:$T$366,11,0)+VLOOKUP(A60,'Team Stats'!$B$2:$T$366,19,0)-VLOOKUP(A60,'Team Stats'!$B$2:$T$366,13,0)),1)</f>
        <v>1.1371702354193776</v>
      </c>
      <c r="C60" s="168">
        <f>IFERROR((VLOOKUP(A60,'Team Stats'!$B$2:$T$366,5,0)+0.44*VLOOKUP(A60,'Team Stats'!$B$2:$T$366,11,0)+VLOOKUP(A60,'Team Stats'!$B$2:$T$366,19,0)-VLOOKUP(A60,'Team Stats'!$B$2:$T$366,13,0)),70)</f>
        <v>67.624000000000009</v>
      </c>
      <c r="D60" s="168">
        <f>IFERROR(VLOOKUP(A60,'Opponents stats vs'!$B$2:$D$366,3,0)/C60,1.05)</f>
        <v>1.05435939902993</v>
      </c>
      <c r="E60" s="169">
        <f>IFERROR(VLOOKUP(A60,SOS!A:C,3,0),200)</f>
        <v>196</v>
      </c>
      <c r="F60">
        <f>IFERROR(VLOOKUP(A60,SOS!A:D,4,0),200)</f>
        <v>239</v>
      </c>
      <c r="G60">
        <f>B60*((366-F60)/365)^'Enhanced Matchup Model'!$F$14</f>
        <v>1.0787008641787703</v>
      </c>
      <c r="H60">
        <f>D60*(2-((366-F60)/365)^'Enhanced Matchup Model'!$F$14)</f>
        <v>1.1085709226899467</v>
      </c>
    </row>
    <row r="61" spans="1:8" ht="15" customHeight="1" x14ac:dyDescent="0.25">
      <c r="A61" s="167" t="s">
        <v>232</v>
      </c>
      <c r="B61" s="168">
        <f>IFERROR(VLOOKUP(A61,'Team Stats'!$B$2:$T$366,3,0)/(VLOOKUP(A61,'Team Stats'!$B$2:$T$366,5,0)+0.44*VLOOKUP(A61,'Team Stats'!$B$2:$T$366,11,0)+VLOOKUP(A61,'Team Stats'!$B$2:$T$366,19,0)-VLOOKUP(A61,'Team Stats'!$B$2:$T$366,13,0)),1)</f>
        <v>0.95010153756890048</v>
      </c>
      <c r="C61" s="168">
        <f>IFERROR((VLOOKUP(A61,'Team Stats'!$B$2:$T$366,5,0)+0.44*VLOOKUP(A61,'Team Stats'!$B$2:$T$366,11,0)+VLOOKUP(A61,'Team Stats'!$B$2:$T$366,19,0)-VLOOKUP(A61,'Team Stats'!$B$2:$T$366,13,0)),70)</f>
        <v>68.94</v>
      </c>
      <c r="D61" s="168">
        <f>IFERROR(VLOOKUP(A61,'Opponents stats vs'!$B$2:$D$366,3,0)/C61,1.05)</f>
        <v>1.1662315056570933</v>
      </c>
      <c r="E61" s="169">
        <f>IFERROR(VLOOKUP(A61,SOS!A:C,3,0),200)</f>
        <v>339</v>
      </c>
      <c r="F61">
        <f>IFERROR(VLOOKUP(A61,SOS!A:D,4,0),200)</f>
        <v>246</v>
      </c>
      <c r="G61">
        <f>B61*((366-F61)/365)^'Enhanced Matchup Model'!$F$14</f>
        <v>0.89869937570053404</v>
      </c>
      <c r="H61">
        <f>D61*(2-((366-F61)/365)^'Enhanced Matchup Model'!$F$14)</f>
        <v>1.2293266783932257</v>
      </c>
    </row>
    <row r="62" spans="1:8" ht="15" customHeight="1" x14ac:dyDescent="0.25">
      <c r="A62" s="170" t="s">
        <v>233</v>
      </c>
      <c r="B62" s="168">
        <f>IFERROR(VLOOKUP(A62,'Team Stats'!$B$2:$T$366,3,0)/(VLOOKUP(A62,'Team Stats'!$B$2:$T$366,5,0)+0.44*VLOOKUP(A62,'Team Stats'!$B$2:$T$366,11,0)+VLOOKUP(A62,'Team Stats'!$B$2:$T$366,19,0)-VLOOKUP(A62,'Team Stats'!$B$2:$T$366,13,0)),1)</f>
        <v>1.2231354473260398</v>
      </c>
      <c r="C62" s="168">
        <f>IFERROR((VLOOKUP(A62,'Team Stats'!$B$2:$T$366,5,0)+0.44*VLOOKUP(A62,'Team Stats'!$B$2:$T$366,11,0)+VLOOKUP(A62,'Team Stats'!$B$2:$T$366,19,0)-VLOOKUP(A62,'Team Stats'!$B$2:$T$366,13,0)),70)</f>
        <v>72.027999999999992</v>
      </c>
      <c r="D62" s="168">
        <f>IFERROR(VLOOKUP(A62,'Opponents stats vs'!$B$2:$D$366,3,0)/C62,1.05)</f>
        <v>1.1523296495807187</v>
      </c>
      <c r="E62" s="169">
        <f>IFERROR(VLOOKUP(A62,SOS!A:C,3,0),200)</f>
        <v>141</v>
      </c>
      <c r="F62">
        <f>IFERROR(VLOOKUP(A62,SOS!A:D,4,0),200)</f>
        <v>167</v>
      </c>
      <c r="G62">
        <f>B62*((366-F62)/365)^'Enhanced Matchup Model'!$F$14</f>
        <v>1.1865951341781751</v>
      </c>
      <c r="H62">
        <f>D62*(2-((366-F62)/365)^'Enhanced Matchup Model'!$F$14)</f>
        <v>1.1867546892092407</v>
      </c>
    </row>
    <row r="63" spans="1:8" ht="15" customHeight="1" x14ac:dyDescent="0.25">
      <c r="A63" s="167" t="s">
        <v>234</v>
      </c>
      <c r="B63" s="168">
        <f>IFERROR(VLOOKUP(A63,'Team Stats'!$B$2:$T$366,3,0)/(VLOOKUP(A63,'Team Stats'!$B$2:$T$366,5,0)+0.44*VLOOKUP(A63,'Team Stats'!$B$2:$T$366,11,0)+VLOOKUP(A63,'Team Stats'!$B$2:$T$366,19,0)-VLOOKUP(A63,'Team Stats'!$B$2:$T$366,13,0)),1)</f>
        <v>1.1096759041803661</v>
      </c>
      <c r="C63" s="168">
        <f>IFERROR((VLOOKUP(A63,'Team Stats'!$B$2:$T$366,5,0)+0.44*VLOOKUP(A63,'Team Stats'!$B$2:$T$366,11,0)+VLOOKUP(A63,'Team Stats'!$B$2:$T$366,19,0)-VLOOKUP(A63,'Team Stats'!$B$2:$T$366,13,0)),70)</f>
        <v>68.128000000000014</v>
      </c>
      <c r="D63" s="168">
        <f>IFERROR(VLOOKUP(A63,'Opponents stats vs'!$B$2:$D$366,3,0)/C63,1.05)</f>
        <v>1.1023367778299669</v>
      </c>
      <c r="E63" s="169">
        <f>IFERROR(VLOOKUP(A63,SOS!A:C,3,0),200)</f>
        <v>72</v>
      </c>
      <c r="F63">
        <f>IFERROR(VLOOKUP(A63,SOS!A:D,4,0),200)</f>
        <v>21</v>
      </c>
      <c r="G63">
        <f>B63*((366-F63)/365)^'Enhanced Matchup Model'!$F$14</f>
        <v>1.1065536301877203</v>
      </c>
      <c r="H63">
        <f>D63*(2-((366-F63)/365)^'Enhanced Matchup Model'!$F$14)</f>
        <v>1.105438401862344</v>
      </c>
    </row>
    <row r="64" spans="1:8" ht="15" customHeight="1" x14ac:dyDescent="0.25">
      <c r="A64" s="170" t="s">
        <v>235</v>
      </c>
      <c r="B64" s="168">
        <f>IFERROR(VLOOKUP(A64,'Team Stats'!$B$2:$T$366,3,0)/(VLOOKUP(A64,'Team Stats'!$B$2:$T$366,5,0)+0.44*VLOOKUP(A64,'Team Stats'!$B$2:$T$366,11,0)+VLOOKUP(A64,'Team Stats'!$B$2:$T$366,19,0)-VLOOKUP(A64,'Team Stats'!$B$2:$T$366,13,0)),1)</f>
        <v>1.0887166734139144</v>
      </c>
      <c r="C64" s="168">
        <f>IFERROR((VLOOKUP(A64,'Team Stats'!$B$2:$T$366,5,0)+0.44*VLOOKUP(A64,'Team Stats'!$B$2:$T$366,11,0)+VLOOKUP(A64,'Team Stats'!$B$2:$T$366,19,0)-VLOOKUP(A64,'Team Stats'!$B$2:$T$366,13,0)),70)</f>
        <v>69.164000000000016</v>
      </c>
      <c r="D64" s="168">
        <f>IFERROR(VLOOKUP(A64,'Opponents stats vs'!$B$2:$D$366,3,0)/C64,1.05)</f>
        <v>1.0901625122896303</v>
      </c>
      <c r="E64" s="169">
        <f>IFERROR(VLOOKUP(A64,SOS!A:C,3,0),200)</f>
        <v>218</v>
      </c>
      <c r="F64">
        <f>IFERROR(VLOOKUP(A64,SOS!A:D,4,0),200)</f>
        <v>185</v>
      </c>
      <c r="G64">
        <f>B64*((366-F64)/365)^'Enhanced Matchup Model'!$F$14</f>
        <v>1.0511971133028681</v>
      </c>
      <c r="H64">
        <f>D64*(2-((366-F64)/365)^'Enhanced Matchup Model'!$F$14)</f>
        <v>1.1277318991737324</v>
      </c>
    </row>
    <row r="65" spans="1:8" ht="15" customHeight="1" x14ac:dyDescent="0.25">
      <c r="A65" s="167" t="s">
        <v>236</v>
      </c>
      <c r="B65" s="168">
        <f>IFERROR(VLOOKUP(A65,'Team Stats'!$B$2:$T$366,3,0)/(VLOOKUP(A65,'Team Stats'!$B$2:$T$366,5,0)+0.44*VLOOKUP(A65,'Team Stats'!$B$2:$T$366,11,0)+VLOOKUP(A65,'Team Stats'!$B$2:$T$366,19,0)-VLOOKUP(A65,'Team Stats'!$B$2:$T$366,13,0)),1)</f>
        <v>1.1227267103798093</v>
      </c>
      <c r="C65" s="168">
        <f>IFERROR((VLOOKUP(A65,'Team Stats'!$B$2:$T$366,5,0)+0.44*VLOOKUP(A65,'Team Stats'!$B$2:$T$366,11,0)+VLOOKUP(A65,'Team Stats'!$B$2:$T$366,19,0)-VLOOKUP(A65,'Team Stats'!$B$2:$T$366,13,0)),70)</f>
        <v>64.664000000000001</v>
      </c>
      <c r="D65" s="168">
        <f>IFERROR(VLOOKUP(A65,'Opponents stats vs'!$B$2:$D$366,3,0)/C65,1.05)</f>
        <v>1.0484968452307311</v>
      </c>
      <c r="E65" s="169">
        <f>IFERROR(VLOOKUP(A65,SOS!A:C,3,0),200)</f>
        <v>88</v>
      </c>
      <c r="F65">
        <f>IFERROR(VLOOKUP(A65,SOS!A:D,4,0),200)</f>
        <v>109</v>
      </c>
      <c r="G65">
        <f>B65*((366-F65)/365)^'Enhanced Matchup Model'!$F$14</f>
        <v>1.1032046096954051</v>
      </c>
      <c r="H65">
        <f>D65*(2-((366-F65)/365)^'Enhanced Matchup Model'!$F$14)</f>
        <v>1.0667282285145134</v>
      </c>
    </row>
    <row r="66" spans="1:8" ht="15" customHeight="1" x14ac:dyDescent="0.25">
      <c r="A66" s="170" t="s">
        <v>237</v>
      </c>
      <c r="B66" s="168">
        <f>IFERROR(VLOOKUP(A66,'Team Stats'!$B$2:$T$366,3,0)/(VLOOKUP(A66,'Team Stats'!$B$2:$T$366,5,0)+0.44*VLOOKUP(A66,'Team Stats'!$B$2:$T$366,11,0)+VLOOKUP(A66,'Team Stats'!$B$2:$T$366,19,0)-VLOOKUP(A66,'Team Stats'!$B$2:$T$366,13,0)),1)</f>
        <v>1.1043824234977473</v>
      </c>
      <c r="C66" s="168">
        <f>IFERROR((VLOOKUP(A66,'Team Stats'!$B$2:$T$366,5,0)+0.44*VLOOKUP(A66,'Team Stats'!$B$2:$T$366,11,0)+VLOOKUP(A66,'Team Stats'!$B$2:$T$366,19,0)-VLOOKUP(A66,'Team Stats'!$B$2:$T$366,13,0)),70)</f>
        <v>68.364000000000004</v>
      </c>
      <c r="D66" s="168">
        <f>IFERROR(VLOOKUP(A66,'Opponents stats vs'!$B$2:$D$366,3,0)/C66,1.05)</f>
        <v>1.0268562401263823</v>
      </c>
      <c r="E66" s="169">
        <f>IFERROR(VLOOKUP(A66,SOS!A:C,3,0),200)</f>
        <v>46</v>
      </c>
      <c r="F66">
        <f>IFERROR(VLOOKUP(A66,SOS!A:D,4,0),200)</f>
        <v>88</v>
      </c>
      <c r="G66">
        <f>B66*((366-F66)/365)^'Enhanced Matchup Model'!$F$14</f>
        <v>1.0894494468166263</v>
      </c>
      <c r="H66">
        <f>D66*(2-((366-F66)/365)^'Enhanced Matchup Model'!$F$14)</f>
        <v>1.0407409416232658</v>
      </c>
    </row>
    <row r="67" spans="1:8" ht="15" customHeight="1" x14ac:dyDescent="0.25">
      <c r="A67" s="167" t="s">
        <v>238</v>
      </c>
      <c r="B67" s="168">
        <f>IFERROR(VLOOKUP(A67,'Team Stats'!$B$2:$T$366,3,0)/(VLOOKUP(A67,'Team Stats'!$B$2:$T$366,5,0)+0.44*VLOOKUP(A67,'Team Stats'!$B$2:$T$366,11,0)+VLOOKUP(A67,'Team Stats'!$B$2:$T$366,19,0)-VLOOKUP(A67,'Team Stats'!$B$2:$T$366,13,0)),1)</f>
        <v>1.0515825797239409</v>
      </c>
      <c r="C67" s="168">
        <f>IFERROR((VLOOKUP(A67,'Team Stats'!$B$2:$T$366,5,0)+0.44*VLOOKUP(A67,'Team Stats'!$B$2:$T$366,11,0)+VLOOKUP(A67,'Team Stats'!$B$2:$T$366,19,0)-VLOOKUP(A67,'Team Stats'!$B$2:$T$366,13,0)),70)</f>
        <v>67.232000000000014</v>
      </c>
      <c r="D67" s="168">
        <f>IFERROR(VLOOKUP(A67,'Opponents stats vs'!$B$2:$D$366,3,0)/C67,1.05)</f>
        <v>1.0322465492622559</v>
      </c>
      <c r="E67" s="169">
        <f>IFERROR(VLOOKUP(A67,SOS!A:C,3,0),200)</f>
        <v>98</v>
      </c>
      <c r="F67">
        <f>IFERROR(VLOOKUP(A67,SOS!A:D,4,0),200)</f>
        <v>73</v>
      </c>
      <c r="G67">
        <f>B67*((366-F67)/365)^'Enhanced Matchup Model'!$F$14</f>
        <v>1.0400928739193791</v>
      </c>
      <c r="H67">
        <f>D67*(2-((366-F67)/365)^'Enhanced Matchup Model'!$F$14)</f>
        <v>1.0435249874919106</v>
      </c>
    </row>
    <row r="68" spans="1:8" ht="15" customHeight="1" x14ac:dyDescent="0.25">
      <c r="A68" s="170" t="s">
        <v>239</v>
      </c>
      <c r="B68" s="168">
        <f>IFERROR(VLOOKUP(A68,'Team Stats'!$B$2:$T$366,3,0)/(VLOOKUP(A68,'Team Stats'!$B$2:$T$366,5,0)+0.44*VLOOKUP(A68,'Team Stats'!$B$2:$T$366,11,0)+VLOOKUP(A68,'Team Stats'!$B$2:$T$366,19,0)-VLOOKUP(A68,'Team Stats'!$B$2:$T$366,13,0)),1)</f>
        <v>1.058812650268171</v>
      </c>
      <c r="C68" s="168">
        <f>IFERROR((VLOOKUP(A68,'Team Stats'!$B$2:$T$366,5,0)+0.44*VLOOKUP(A68,'Team Stats'!$B$2:$T$366,11,0)+VLOOKUP(A68,'Team Stats'!$B$2:$T$366,19,0)-VLOOKUP(A68,'Team Stats'!$B$2:$T$366,13,0)),70)</f>
        <v>64.884</v>
      </c>
      <c r="D68" s="168">
        <f>IFERROR(VLOOKUP(A68,'Opponents stats vs'!$B$2:$D$366,3,0)/C68,1.05)</f>
        <v>1.1358732507243696</v>
      </c>
      <c r="E68" s="169">
        <f>IFERROR(VLOOKUP(A68,SOS!A:C,3,0),200)</f>
        <v>252</v>
      </c>
      <c r="F68">
        <f>IFERROR(VLOOKUP(A68,SOS!A:D,4,0),200)</f>
        <v>156</v>
      </c>
      <c r="G68">
        <f>B68*((366-F68)/365)^'Enhanced Matchup Model'!$F$14</f>
        <v>1.0299483423207485</v>
      </c>
      <c r="H68">
        <f>D68*(2-((366-F68)/365)^'Enhanced Matchup Model'!$F$14)</f>
        <v>1.1668383088863059</v>
      </c>
    </row>
    <row r="69" spans="1:8" ht="15" customHeight="1" x14ac:dyDescent="0.25">
      <c r="A69" s="167" t="s">
        <v>240</v>
      </c>
      <c r="B69" s="168">
        <f>IFERROR(VLOOKUP(A69,'Team Stats'!$B$2:$T$366,3,0)/(VLOOKUP(A69,'Team Stats'!$B$2:$T$366,5,0)+0.44*VLOOKUP(A69,'Team Stats'!$B$2:$T$366,11,0)+VLOOKUP(A69,'Team Stats'!$B$2:$T$366,19,0)-VLOOKUP(A69,'Team Stats'!$B$2:$T$366,13,0)),1)</f>
        <v>0.91410417790565246</v>
      </c>
      <c r="C69" s="168">
        <f>IFERROR((VLOOKUP(A69,'Team Stats'!$B$2:$T$366,5,0)+0.44*VLOOKUP(A69,'Team Stats'!$B$2:$T$366,11,0)+VLOOKUP(A69,'Team Stats'!$B$2:$T$366,19,0)-VLOOKUP(A69,'Team Stats'!$B$2:$T$366,13,0)),70)</f>
        <v>66.731999999999999</v>
      </c>
      <c r="D69" s="168">
        <f>IFERROR(VLOOKUP(A69,'Opponents stats vs'!$B$2:$D$366,3,0)/C69,1.05)</f>
        <v>1.0624587903854223</v>
      </c>
      <c r="E69" s="169">
        <f>IFERROR(VLOOKUP(A69,SOS!A:C,3,0),200)</f>
        <v>361</v>
      </c>
      <c r="F69">
        <f>IFERROR(VLOOKUP(A69,SOS!A:D,4,0),200)</f>
        <v>354</v>
      </c>
      <c r="G69">
        <f>B69*((366-F69)/365)^'Enhanced Matchup Model'!$F$14</f>
        <v>0.7706197104895266</v>
      </c>
      <c r="H69">
        <f>D69*(2-((366-F69)/365)^'Enhanced Matchup Model'!$F$14)</f>
        <v>1.2292300812018702</v>
      </c>
    </row>
    <row r="70" spans="1:8" ht="15" customHeight="1" x14ac:dyDescent="0.25">
      <c r="A70" s="170" t="s">
        <v>241</v>
      </c>
      <c r="B70" s="168">
        <f>IFERROR(VLOOKUP(A70,'Team Stats'!$B$2:$T$366,3,0)/(VLOOKUP(A70,'Team Stats'!$B$2:$T$366,5,0)+0.44*VLOOKUP(A70,'Team Stats'!$B$2:$T$366,11,0)+VLOOKUP(A70,'Team Stats'!$B$2:$T$366,19,0)-VLOOKUP(A70,'Team Stats'!$B$2:$T$366,13,0)),1)</f>
        <v>1.2076664347019253</v>
      </c>
      <c r="C70" s="168">
        <f>IFERROR((VLOOKUP(A70,'Team Stats'!$B$2:$T$366,5,0)+0.44*VLOOKUP(A70,'Team Stats'!$B$2:$T$366,11,0)+VLOOKUP(A70,'Team Stats'!$B$2:$T$366,19,0)-VLOOKUP(A70,'Team Stats'!$B$2:$T$366,13,0)),70)</f>
        <v>68.975999999999999</v>
      </c>
      <c r="D70" s="168">
        <f>IFERROR(VLOOKUP(A70,'Opponents stats vs'!$B$2:$D$366,3,0)/C70,1.05)</f>
        <v>1.2004175365344467</v>
      </c>
      <c r="E70" s="169">
        <f>IFERROR(VLOOKUP(A70,SOS!A:C,3,0),200)</f>
        <v>195</v>
      </c>
      <c r="F70">
        <f>IFERROR(VLOOKUP(A70,SOS!A:D,4,0),200)</f>
        <v>221</v>
      </c>
      <c r="G70">
        <f>B70*((366-F70)/365)^'Enhanced Matchup Model'!$F$14</f>
        <v>1.1531896948522775</v>
      </c>
      <c r="H70">
        <f>D70*(2-((366-F70)/365)^'Enhanced Matchup Model'!$F$14)</f>
        <v>1.2545672851485024</v>
      </c>
    </row>
    <row r="71" spans="1:8" ht="15" customHeight="1" x14ac:dyDescent="0.25">
      <c r="A71" s="167" t="s">
        <v>242</v>
      </c>
      <c r="B71" s="168">
        <f>IFERROR(VLOOKUP(A71,'Team Stats'!$B$2:$T$366,3,0)/(VLOOKUP(A71,'Team Stats'!$B$2:$T$366,5,0)+0.44*VLOOKUP(A71,'Team Stats'!$B$2:$T$366,11,0)+VLOOKUP(A71,'Team Stats'!$B$2:$T$366,19,0)-VLOOKUP(A71,'Team Stats'!$B$2:$T$366,13,0)),1)</f>
        <v>1.1170060223687985</v>
      </c>
      <c r="C71" s="168">
        <f>IFERROR((VLOOKUP(A71,'Team Stats'!$B$2:$T$366,5,0)+0.44*VLOOKUP(A71,'Team Stats'!$B$2:$T$366,11,0)+VLOOKUP(A71,'Team Stats'!$B$2:$T$366,19,0)-VLOOKUP(A71,'Team Stats'!$B$2:$T$366,13,0)),70)</f>
        <v>69.739999999999995</v>
      </c>
      <c r="D71" s="168">
        <f>IFERROR(VLOOKUP(A71,'Opponents stats vs'!$B$2:$D$366,3,0)/C71,1.05)</f>
        <v>1.1213077143676513</v>
      </c>
      <c r="E71" s="169">
        <f>IFERROR(VLOOKUP(A71,SOS!A:C,3,0),200)</f>
        <v>170</v>
      </c>
      <c r="F71">
        <f>IFERROR(VLOOKUP(A71,SOS!A:D,4,0),200)</f>
        <v>205</v>
      </c>
      <c r="G71">
        <f>B71*((366-F71)/365)^'Enhanced Matchup Model'!$F$14</f>
        <v>1.0722157076177454</v>
      </c>
      <c r="H71">
        <f>D71*(2-((366-F71)/365)^'Enhanced Matchup Model'!$F$14)</f>
        <v>1.1662705207031117</v>
      </c>
    </row>
    <row r="72" spans="1:8" ht="15" customHeight="1" x14ac:dyDescent="0.25">
      <c r="A72" s="170" t="s">
        <v>243</v>
      </c>
      <c r="B72" s="168">
        <f>IFERROR(VLOOKUP(A72,'Team Stats'!$B$2:$T$366,3,0)/(VLOOKUP(A72,'Team Stats'!$B$2:$T$366,5,0)+0.44*VLOOKUP(A72,'Team Stats'!$B$2:$T$366,11,0)+VLOOKUP(A72,'Team Stats'!$B$2:$T$366,19,0)-VLOOKUP(A72,'Team Stats'!$B$2:$T$366,13,0)),1)</f>
        <v>1.10489098408957</v>
      </c>
      <c r="C72" s="168">
        <f>IFERROR((VLOOKUP(A72,'Team Stats'!$B$2:$T$366,5,0)+0.44*VLOOKUP(A72,'Team Stats'!$B$2:$T$366,11,0)+VLOOKUP(A72,'Team Stats'!$B$2:$T$366,19,0)-VLOOKUP(A72,'Team Stats'!$B$2:$T$366,13,0)),70)</f>
        <v>67.88</v>
      </c>
      <c r="D72" s="168">
        <f>IFERROR(VLOOKUP(A72,'Opponents stats vs'!$B$2:$D$366,3,0)/C72,1.05)</f>
        <v>1.1019446081319977</v>
      </c>
      <c r="E72" s="169">
        <f>IFERROR(VLOOKUP(A72,SOS!A:C,3,0),200)</f>
        <v>187</v>
      </c>
      <c r="F72">
        <f>IFERROR(VLOOKUP(A72,SOS!A:D,4,0),200)</f>
        <v>125</v>
      </c>
      <c r="G72">
        <f>B72*((366-F72)/365)^'Enhanced Matchup Model'!$F$14</f>
        <v>1.0821952880456551</v>
      </c>
      <c r="H72">
        <f>D72*(2-((366-F72)/365)^'Enhanced Matchup Model'!$F$14)</f>
        <v>1.1245797823197954</v>
      </c>
    </row>
    <row r="73" spans="1:8" ht="15" customHeight="1" x14ac:dyDescent="0.25">
      <c r="A73" s="167" t="s">
        <v>244</v>
      </c>
      <c r="B73" s="168">
        <f>IFERROR(VLOOKUP(A73,'Team Stats'!$B$2:$T$366,3,0)/(VLOOKUP(A73,'Team Stats'!$B$2:$T$366,5,0)+0.44*VLOOKUP(A73,'Team Stats'!$B$2:$T$366,11,0)+VLOOKUP(A73,'Team Stats'!$B$2:$T$366,19,0)-VLOOKUP(A73,'Team Stats'!$B$2:$T$366,13,0)),1)</f>
        <v>1.042434291328912</v>
      </c>
      <c r="C73" s="168">
        <f>IFERROR((VLOOKUP(A73,'Team Stats'!$B$2:$T$366,5,0)+0.44*VLOOKUP(A73,'Team Stats'!$B$2:$T$366,11,0)+VLOOKUP(A73,'Team Stats'!$B$2:$T$366,19,0)-VLOOKUP(A73,'Team Stats'!$B$2:$T$366,13,0)),70)</f>
        <v>65.135999999999996</v>
      </c>
      <c r="D73" s="168">
        <f>IFERROR(VLOOKUP(A73,'Opponents stats vs'!$B$2:$D$366,3,0)/C73,1.05)</f>
        <v>1.0301522967329895</v>
      </c>
      <c r="E73" s="169">
        <f>IFERROR(VLOOKUP(A73,SOS!A:C,3,0),200)</f>
        <v>212</v>
      </c>
      <c r="F73">
        <f>IFERROR(VLOOKUP(A73,SOS!A:D,4,0),200)</f>
        <v>225</v>
      </c>
      <c r="G73">
        <f>B73*((366-F73)/365)^'Enhanced Matchup Model'!$F$14</f>
        <v>0.99401972311323028</v>
      </c>
      <c r="H73">
        <f>D73*(2-((366-F73)/365)^'Enhanced Matchup Model'!$F$14)</f>
        <v>1.0779964429372932</v>
      </c>
    </row>
    <row r="74" spans="1:8" ht="15" customHeight="1" x14ac:dyDescent="0.25">
      <c r="A74" s="170" t="s">
        <v>17</v>
      </c>
      <c r="B74" s="168">
        <f>IFERROR(VLOOKUP(A74,'Team Stats'!$B$2:$T$366,3,0)/(VLOOKUP(A74,'Team Stats'!$B$2:$T$366,5,0)+0.44*VLOOKUP(A74,'Team Stats'!$B$2:$T$366,11,0)+VLOOKUP(A74,'Team Stats'!$B$2:$T$366,19,0)-VLOOKUP(A74,'Team Stats'!$B$2:$T$366,13,0)),1)</f>
        <v>1.2527856411491898</v>
      </c>
      <c r="C74" s="168">
        <f>IFERROR((VLOOKUP(A74,'Team Stats'!$B$2:$T$366,5,0)+0.44*VLOOKUP(A74,'Team Stats'!$B$2:$T$366,11,0)+VLOOKUP(A74,'Team Stats'!$B$2:$T$366,19,0)-VLOOKUP(A74,'Team Stats'!$B$2:$T$366,13,0)),70)</f>
        <v>66.412000000000006</v>
      </c>
      <c r="D74" s="168">
        <f>IFERROR(VLOOKUP(A74,'Opponents stats vs'!$B$2:$D$366,3,0)/C74,1.05)</f>
        <v>0.94109498283442738</v>
      </c>
      <c r="E74" s="169">
        <f>IFERROR(VLOOKUP(A74,SOS!A:C,3,0),200)</f>
        <v>2</v>
      </c>
      <c r="F74">
        <f>IFERROR(VLOOKUP(A74,SOS!A:D,4,0),200)</f>
        <v>17</v>
      </c>
      <c r="G74">
        <f>B74*((366-F74)/365)^'Enhanced Matchup Model'!$F$14</f>
        <v>1.2499809525181365</v>
      </c>
      <c r="H74">
        <f>D74*(2-((366-F74)/365)^'Enhanced Matchup Model'!$F$14)</f>
        <v>0.94320187032770664</v>
      </c>
    </row>
    <row r="75" spans="1:8" ht="15" customHeight="1" x14ac:dyDescent="0.25">
      <c r="A75" s="167" t="s">
        <v>245</v>
      </c>
      <c r="B75" s="168">
        <f>IFERROR(VLOOKUP(A75,'Team Stats'!$B$2:$T$366,3,0)/(VLOOKUP(A75,'Team Stats'!$B$2:$T$366,5,0)+0.44*VLOOKUP(A75,'Team Stats'!$B$2:$T$366,11,0)+VLOOKUP(A75,'Team Stats'!$B$2:$T$366,19,0)-VLOOKUP(A75,'Team Stats'!$B$2:$T$366,13,0)),1)</f>
        <v>1.1149639152007216</v>
      </c>
      <c r="C75" s="168">
        <f>IFERROR((VLOOKUP(A75,'Team Stats'!$B$2:$T$366,5,0)+0.44*VLOOKUP(A75,'Team Stats'!$B$2:$T$366,11,0)+VLOOKUP(A75,'Team Stats'!$B$2:$T$366,19,0)-VLOOKUP(A75,'Team Stats'!$B$2:$T$366,13,0)),70)</f>
        <v>70.944000000000003</v>
      </c>
      <c r="D75" s="168">
        <f>IFERROR(VLOOKUP(A75,'Opponents stats vs'!$B$2:$D$366,3,0)/C75,1.05)</f>
        <v>1.0670387911592243</v>
      </c>
      <c r="E75" s="169">
        <f>IFERROR(VLOOKUP(A75,SOS!A:C,3,0),200)</f>
        <v>121</v>
      </c>
      <c r="F75">
        <f>IFERROR(VLOOKUP(A75,SOS!A:D,4,0),200)</f>
        <v>107</v>
      </c>
      <c r="G75">
        <f>B75*((366-F75)/365)^'Enhanced Matchup Model'!$F$14</f>
        <v>1.0960015214898864</v>
      </c>
      <c r="H75">
        <f>D75*(2-((366-F75)/365)^'Enhanced Matchup Model'!$F$14)</f>
        <v>1.0851861135853966</v>
      </c>
    </row>
    <row r="76" spans="1:8" ht="15" customHeight="1" x14ac:dyDescent="0.25">
      <c r="A76" s="170" t="s">
        <v>246</v>
      </c>
      <c r="B76" s="168">
        <f>IFERROR(VLOOKUP(A76,'Team Stats'!$B$2:$T$366,3,0)/(VLOOKUP(A76,'Team Stats'!$B$2:$T$366,5,0)+0.44*VLOOKUP(A76,'Team Stats'!$B$2:$T$366,11,0)+VLOOKUP(A76,'Team Stats'!$B$2:$T$366,19,0)-VLOOKUP(A76,'Team Stats'!$B$2:$T$366,13,0)),1)</f>
        <v>1.0290031260854462</v>
      </c>
      <c r="C76" s="168">
        <f>IFERROR((VLOOKUP(A76,'Team Stats'!$B$2:$T$366,5,0)+0.44*VLOOKUP(A76,'Team Stats'!$B$2:$T$366,11,0)+VLOOKUP(A76,'Team Stats'!$B$2:$T$366,19,0)-VLOOKUP(A76,'Team Stats'!$B$2:$T$366,13,0)),70)</f>
        <v>69.096000000000004</v>
      </c>
      <c r="D76" s="168">
        <f>IFERROR(VLOOKUP(A76,'Opponents stats vs'!$B$2:$D$366,3,0)/C76,1.05)</f>
        <v>1.1143915711473891</v>
      </c>
      <c r="E76" s="169">
        <f>IFERROR(VLOOKUP(A76,SOS!A:C,3,0),200)</f>
        <v>201</v>
      </c>
      <c r="F76">
        <f>IFERROR(VLOOKUP(A76,SOS!A:D,4,0),200)</f>
        <v>129</v>
      </c>
      <c r="G76">
        <f>B76*((366-F76)/365)^'Enhanced Matchup Model'!$F$14</f>
        <v>1.0070231818825521</v>
      </c>
      <c r="H76">
        <f>D76*(2-((366-F76)/365)^'Enhanced Matchup Model'!$F$14)</f>
        <v>1.138195448835474</v>
      </c>
    </row>
    <row r="77" spans="1:8" ht="15" customHeight="1" x14ac:dyDescent="0.25">
      <c r="A77" s="167" t="s">
        <v>40</v>
      </c>
      <c r="B77" s="168">
        <f>IFERROR(VLOOKUP(A77,'Team Stats'!$B$2:$T$366,3,0)/(VLOOKUP(A77,'Team Stats'!$B$2:$T$366,5,0)+0.44*VLOOKUP(A77,'Team Stats'!$B$2:$T$366,11,0)+VLOOKUP(A77,'Team Stats'!$B$2:$T$366,19,0)-VLOOKUP(A77,'Team Stats'!$B$2:$T$366,13,0)),1)</f>
        <v>1.1700281285534742</v>
      </c>
      <c r="C77" s="168">
        <f>IFERROR((VLOOKUP(A77,'Team Stats'!$B$2:$T$366,5,0)+0.44*VLOOKUP(A77,'Team Stats'!$B$2:$T$366,11,0)+VLOOKUP(A77,'Team Stats'!$B$2:$T$366,19,0)-VLOOKUP(A77,'Team Stats'!$B$2:$T$366,13,0)),70)</f>
        <v>66.835999999999999</v>
      </c>
      <c r="D77" s="168">
        <f>IFERROR(VLOOKUP(A77,'Opponents stats vs'!$B$2:$D$366,3,0)/C77,1.05)</f>
        <v>1.030881560835478</v>
      </c>
      <c r="E77" s="169">
        <f>IFERROR(VLOOKUP(A77,SOS!A:C,3,0),200)</f>
        <v>246</v>
      </c>
      <c r="F77">
        <f>IFERROR(VLOOKUP(A77,SOS!A:D,4,0),200)</f>
        <v>313</v>
      </c>
      <c r="G77">
        <f>B77*((366-F77)/365)^'Enhanced Matchup Model'!$F$14</f>
        <v>1.0624180803722014</v>
      </c>
      <c r="H77">
        <f>D77*(2-((366-F77)/365)^'Enhanced Matchup Model'!$F$14)</f>
        <v>1.1256939945911006</v>
      </c>
    </row>
    <row r="78" spans="1:8" ht="15" customHeight="1" x14ac:dyDescent="0.25">
      <c r="A78" s="170" t="s">
        <v>247</v>
      </c>
      <c r="B78" s="168">
        <f>IFERROR(VLOOKUP(A78,'Team Stats'!$B$2:$T$366,3,0)/(VLOOKUP(A78,'Team Stats'!$B$2:$T$366,5,0)+0.44*VLOOKUP(A78,'Team Stats'!$B$2:$T$366,11,0)+VLOOKUP(A78,'Team Stats'!$B$2:$T$366,19,0)-VLOOKUP(A78,'Team Stats'!$B$2:$T$366,13,0)),1)</f>
        <v>1.02433899492208</v>
      </c>
      <c r="C78" s="168">
        <f>IFERROR((VLOOKUP(A78,'Team Stats'!$B$2:$T$366,5,0)+0.44*VLOOKUP(A78,'Team Stats'!$B$2:$T$366,11,0)+VLOOKUP(A78,'Team Stats'!$B$2:$T$366,19,0)-VLOOKUP(A78,'Team Stats'!$B$2:$T$366,13,0)),70)</f>
        <v>68.532000000000011</v>
      </c>
      <c r="D78" s="168">
        <f>IFERROR(VLOOKUP(A78,'Opponents stats vs'!$B$2:$D$366,3,0)/C78,1.05)</f>
        <v>1.087083406291951</v>
      </c>
      <c r="E78" s="169">
        <f>IFERROR(VLOOKUP(A78,SOS!A:C,3,0),200)</f>
        <v>231</v>
      </c>
      <c r="F78">
        <f>IFERROR(VLOOKUP(A78,SOS!A:D,4,0),200)</f>
        <v>172</v>
      </c>
      <c r="G78">
        <f>B78*((366-F78)/365)^'Enhanced Matchup Model'!$F$14</f>
        <v>0.99247402488386205</v>
      </c>
      <c r="H78">
        <f>D78*(2-((366-F78)/365)^'Enhanced Matchup Model'!$F$14)</f>
        <v>1.1209002192242479</v>
      </c>
    </row>
    <row r="79" spans="1:8" ht="15" customHeight="1" x14ac:dyDescent="0.25">
      <c r="A79" s="167" t="s">
        <v>248</v>
      </c>
      <c r="B79" s="168">
        <f>IFERROR(VLOOKUP(A79,'Team Stats'!$B$2:$T$366,3,0)/(VLOOKUP(A79,'Team Stats'!$B$2:$T$366,5,0)+0.44*VLOOKUP(A79,'Team Stats'!$B$2:$T$366,11,0)+VLOOKUP(A79,'Team Stats'!$B$2:$T$366,19,0)-VLOOKUP(A79,'Team Stats'!$B$2:$T$366,13,0)),1)</f>
        <v>1.0047316722568278</v>
      </c>
      <c r="C79" s="168">
        <f>IFERROR((VLOOKUP(A79,'Team Stats'!$B$2:$T$366,5,0)+0.44*VLOOKUP(A79,'Team Stats'!$B$2:$T$366,11,0)+VLOOKUP(A79,'Team Stats'!$B$2:$T$366,19,0)-VLOOKUP(A79,'Team Stats'!$B$2:$T$366,13,0)),70)</f>
        <v>66.784000000000006</v>
      </c>
      <c r="D79" s="168">
        <f>IFERROR(VLOOKUP(A79,'Opponents stats vs'!$B$2:$D$366,3,0)/C79,1.05)</f>
        <v>1.0526473406804024</v>
      </c>
      <c r="E79" s="169">
        <f>IFERROR(VLOOKUP(A79,SOS!A:C,3,0),200)</f>
        <v>328</v>
      </c>
      <c r="F79">
        <f>IFERROR(VLOOKUP(A79,SOS!A:D,4,0),200)</f>
        <v>322</v>
      </c>
      <c r="G79">
        <f>B79*((366-F79)/365)^'Enhanced Matchup Model'!$F$14</f>
        <v>0.9038743940303412</v>
      </c>
      <c r="H79">
        <f>D79*(2-((366-F79)/365)^'Enhanced Matchup Model'!$F$14)</f>
        <v>1.1583145040085994</v>
      </c>
    </row>
    <row r="80" spans="1:8" ht="15" customHeight="1" x14ac:dyDescent="0.25">
      <c r="A80" s="170" t="s">
        <v>249</v>
      </c>
      <c r="B80" s="168">
        <f>IFERROR(VLOOKUP(A80,'Team Stats'!$B$2:$T$366,3,0)/(VLOOKUP(A80,'Team Stats'!$B$2:$T$366,5,0)+0.44*VLOOKUP(A80,'Team Stats'!$B$2:$T$366,11,0)+VLOOKUP(A80,'Team Stats'!$B$2:$T$366,19,0)-VLOOKUP(A80,'Team Stats'!$B$2:$T$366,13,0)),1)</f>
        <v>1.1402362830853119</v>
      </c>
      <c r="C80" s="168">
        <f>IFERROR((VLOOKUP(A80,'Team Stats'!$B$2:$T$366,5,0)+0.44*VLOOKUP(A80,'Team Stats'!$B$2:$T$366,11,0)+VLOOKUP(A80,'Team Stats'!$B$2:$T$366,19,0)-VLOOKUP(A80,'Team Stats'!$B$2:$T$366,13,0)),70)</f>
        <v>70.423999999999992</v>
      </c>
      <c r="D80" s="168">
        <f>IFERROR(VLOOKUP(A80,'Opponents stats vs'!$B$2:$D$366,3,0)/C80,1.05)</f>
        <v>1.161535840054527</v>
      </c>
      <c r="E80" s="169">
        <f>IFERROR(VLOOKUP(A80,SOS!A:C,3,0),200)</f>
        <v>284</v>
      </c>
      <c r="F80">
        <f>IFERROR(VLOOKUP(A80,SOS!A:D,4,0),200)</f>
        <v>242</v>
      </c>
      <c r="G80">
        <f>B80*((366-F80)/365)^'Enhanced Matchup Model'!$F$14</f>
        <v>1.0803172169371005</v>
      </c>
      <c r="H80">
        <f>D80*(2-((366-F80)/365)^'Enhanced Matchup Model'!$F$14)</f>
        <v>1.2225741913736263</v>
      </c>
    </row>
    <row r="81" spans="1:8" ht="15" customHeight="1" x14ac:dyDescent="0.25">
      <c r="A81" s="167" t="s">
        <v>250</v>
      </c>
      <c r="B81" s="168">
        <f>IFERROR(VLOOKUP(A81,'Team Stats'!$B$2:$T$366,3,0)/(VLOOKUP(A81,'Team Stats'!$B$2:$T$366,5,0)+0.44*VLOOKUP(A81,'Team Stats'!$B$2:$T$366,11,0)+VLOOKUP(A81,'Team Stats'!$B$2:$T$366,19,0)-VLOOKUP(A81,'Team Stats'!$B$2:$T$366,13,0)),1)</f>
        <v>1.0386672151378034</v>
      </c>
      <c r="C81" s="168">
        <f>IFERROR((VLOOKUP(A81,'Team Stats'!$B$2:$T$366,5,0)+0.44*VLOOKUP(A81,'Team Stats'!$B$2:$T$366,11,0)+VLOOKUP(A81,'Team Stats'!$B$2:$T$366,19,0)-VLOOKUP(A81,'Team Stats'!$B$2:$T$366,13,0)),70)</f>
        <v>68.067999999999998</v>
      </c>
      <c r="D81" s="168">
        <f>IFERROR(VLOOKUP(A81,'Opponents stats vs'!$B$2:$D$366,3,0)/C81,1.05)</f>
        <v>1.0783334312746078</v>
      </c>
      <c r="E81" s="169">
        <f>IFERROR(VLOOKUP(A81,SOS!A:C,3,0),200)</f>
        <v>211</v>
      </c>
      <c r="F81">
        <f>IFERROR(VLOOKUP(A81,SOS!A:D,4,0),200)</f>
        <v>142</v>
      </c>
      <c r="G81">
        <f>B81*((366-F81)/365)^'Enhanced Matchup Model'!$F$14</f>
        <v>1.0136176897875726</v>
      </c>
      <c r="H81">
        <f>D81*(2-((366-F81)/365)^'Enhanced Matchup Model'!$F$14)</f>
        <v>1.1043395863058232</v>
      </c>
    </row>
    <row r="82" spans="1:8" ht="15" customHeight="1" x14ac:dyDescent="0.25">
      <c r="A82" s="170" t="s">
        <v>251</v>
      </c>
      <c r="B82" s="168">
        <f>IFERROR(VLOOKUP(A82,'Team Stats'!$B$2:$T$366,3,0)/(VLOOKUP(A82,'Team Stats'!$B$2:$T$366,5,0)+0.44*VLOOKUP(A82,'Team Stats'!$B$2:$T$366,11,0)+VLOOKUP(A82,'Team Stats'!$B$2:$T$366,19,0)-VLOOKUP(A82,'Team Stats'!$B$2:$T$366,13,0)),1)</f>
        <v>1.1295354749248903</v>
      </c>
      <c r="C82" s="168">
        <f>IFERROR((VLOOKUP(A82,'Team Stats'!$B$2:$T$366,5,0)+0.44*VLOOKUP(A82,'Team Stats'!$B$2:$T$366,11,0)+VLOOKUP(A82,'Team Stats'!$B$2:$T$366,19,0)-VLOOKUP(A82,'Team Stats'!$B$2:$T$366,13,0)),70)</f>
        <v>69.231999999999999</v>
      </c>
      <c r="D82" s="168">
        <f>IFERROR(VLOOKUP(A82,'Opponents stats vs'!$B$2:$D$366,3,0)/C82,1.05)</f>
        <v>1.1396464062861105</v>
      </c>
      <c r="E82" s="169">
        <f>IFERROR(VLOOKUP(A82,SOS!A:C,3,0),200)</f>
        <v>174</v>
      </c>
      <c r="F82">
        <f>IFERROR(VLOOKUP(A82,SOS!A:D,4,0),200)</f>
        <v>152</v>
      </c>
      <c r="G82">
        <f>B82*((366-F82)/365)^'Enhanced Matchup Model'!$F$14</f>
        <v>1.0997802610207676</v>
      </c>
      <c r="H82">
        <f>D82*(2-((366-F82)/365)^'Enhanced Matchup Model'!$F$14)</f>
        <v>1.169667971209835</v>
      </c>
    </row>
    <row r="83" spans="1:8" ht="15" customHeight="1" x14ac:dyDescent="0.25">
      <c r="A83" s="167" t="s">
        <v>252</v>
      </c>
      <c r="B83" s="168">
        <f>IFERROR(VLOOKUP(A83,'Team Stats'!$B$2:$T$366,3,0)/(VLOOKUP(A83,'Team Stats'!$B$2:$T$366,5,0)+0.44*VLOOKUP(A83,'Team Stats'!$B$2:$T$366,11,0)+VLOOKUP(A83,'Team Stats'!$B$2:$T$366,19,0)-VLOOKUP(A83,'Team Stats'!$B$2:$T$366,13,0)),1)</f>
        <v>1.1512097955357665</v>
      </c>
      <c r="C83" s="168">
        <f>IFERROR((VLOOKUP(A83,'Team Stats'!$B$2:$T$366,5,0)+0.44*VLOOKUP(A83,'Team Stats'!$B$2:$T$366,11,0)+VLOOKUP(A83,'Team Stats'!$B$2:$T$366,19,0)-VLOOKUP(A83,'Team Stats'!$B$2:$T$366,13,0)),70)</f>
        <v>68.275999999999996</v>
      </c>
      <c r="D83" s="168">
        <f>IFERROR(VLOOKUP(A83,'Opponents stats vs'!$B$2:$D$366,3,0)/C83,1.05)</f>
        <v>1.1438865780069132</v>
      </c>
      <c r="E83" s="169">
        <f>IFERROR(VLOOKUP(A83,SOS!A:C,3,0),200)</f>
        <v>194</v>
      </c>
      <c r="F83">
        <f>IFERROR(VLOOKUP(A83,SOS!A:D,4,0),200)</f>
        <v>179</v>
      </c>
      <c r="G83">
        <f>B83*((366-F83)/365)^'Enhanced Matchup Model'!$F$14</f>
        <v>1.1133505126180212</v>
      </c>
      <c r="H83">
        <f>D83*(2-((366-F83)/365)^'Enhanced Matchup Model'!$F$14)</f>
        <v>1.181505025791594</v>
      </c>
    </row>
    <row r="84" spans="1:8" ht="15" customHeight="1" x14ac:dyDescent="0.25">
      <c r="A84" s="170" t="s">
        <v>253</v>
      </c>
      <c r="B84" s="168">
        <f>IFERROR(VLOOKUP(A84,'Team Stats'!$B$2:$T$366,3,0)/(VLOOKUP(A84,'Team Stats'!$B$2:$T$366,5,0)+0.44*VLOOKUP(A84,'Team Stats'!$B$2:$T$366,11,0)+VLOOKUP(A84,'Team Stats'!$B$2:$T$366,19,0)-VLOOKUP(A84,'Team Stats'!$B$2:$T$366,13,0)),1)</f>
        <v>0.99382935801590111</v>
      </c>
      <c r="C84" s="168">
        <f>IFERROR((VLOOKUP(A84,'Team Stats'!$B$2:$T$366,5,0)+0.44*VLOOKUP(A84,'Team Stats'!$B$2:$T$366,11,0)+VLOOKUP(A84,'Team Stats'!$B$2:$T$366,19,0)-VLOOKUP(A84,'Team Stats'!$B$2:$T$366,13,0)),70)</f>
        <v>67.416000000000011</v>
      </c>
      <c r="D84" s="168">
        <f>IFERROR(VLOOKUP(A84,'Opponents stats vs'!$B$2:$D$366,3,0)/C84,1.05)</f>
        <v>1.1347454610181558</v>
      </c>
      <c r="E84" s="169">
        <f>IFERROR(VLOOKUP(A84,SOS!A:C,3,0),200)</f>
        <v>285</v>
      </c>
      <c r="F84">
        <f>IFERROR(VLOOKUP(A84,SOS!A:D,4,0),200)</f>
        <v>100</v>
      </c>
      <c r="G84">
        <f>B84*((366-F84)/365)^'Enhanced Matchup Model'!$F$14</f>
        <v>0.97823063727116566</v>
      </c>
      <c r="H84">
        <f>D84*(2-((366-F84)/365)^'Enhanced Matchup Model'!$F$14)</f>
        <v>1.1525559406744583</v>
      </c>
    </row>
    <row r="85" spans="1:8" ht="15" customHeight="1" x14ac:dyDescent="0.25">
      <c r="A85" s="167" t="s">
        <v>254</v>
      </c>
      <c r="B85" s="168">
        <f>IFERROR(VLOOKUP(A85,'Team Stats'!$B$2:$T$366,3,0)/(VLOOKUP(A85,'Team Stats'!$B$2:$T$366,5,0)+0.44*VLOOKUP(A85,'Team Stats'!$B$2:$T$366,11,0)+VLOOKUP(A85,'Team Stats'!$B$2:$T$366,19,0)-VLOOKUP(A85,'Team Stats'!$B$2:$T$366,13,0)),1)</f>
        <v>1.1132940406024885</v>
      </c>
      <c r="C85" s="168">
        <f>IFERROR((VLOOKUP(A85,'Team Stats'!$B$2:$T$366,5,0)+0.44*VLOOKUP(A85,'Team Stats'!$B$2:$T$366,11,0)+VLOOKUP(A85,'Team Stats'!$B$2:$T$366,19,0)-VLOOKUP(A85,'Team Stats'!$B$2:$T$366,13,0)),70)</f>
        <v>67.188000000000002</v>
      </c>
      <c r="D85" s="168">
        <f>IFERROR(VLOOKUP(A85,'Opponents stats vs'!$B$2:$D$366,3,0)/C85,1.05)</f>
        <v>1.0701315711138895</v>
      </c>
      <c r="E85" s="169">
        <f>IFERROR(VLOOKUP(A85,SOS!A:C,3,0),200)</f>
        <v>309</v>
      </c>
      <c r="F85">
        <f>IFERROR(VLOOKUP(A85,SOS!A:D,4,0),200)</f>
        <v>346</v>
      </c>
      <c r="G85">
        <f>B85*((366-F85)/365)^'Enhanced Matchup Model'!$F$14</f>
        <v>0.96282363115448333</v>
      </c>
      <c r="H85">
        <f>D85*(2-((366-F85)/365)^'Enhanced Matchup Model'!$F$14)</f>
        <v>1.2147682347410496</v>
      </c>
    </row>
    <row r="86" spans="1:8" ht="15" customHeight="1" x14ac:dyDescent="0.25">
      <c r="A86" s="170" t="s">
        <v>255</v>
      </c>
      <c r="B86" s="168">
        <f>IFERROR(VLOOKUP(A86,'Team Stats'!$B$2:$T$366,3,0)/(VLOOKUP(A86,'Team Stats'!$B$2:$T$366,5,0)+0.44*VLOOKUP(A86,'Team Stats'!$B$2:$T$366,11,0)+VLOOKUP(A86,'Team Stats'!$B$2:$T$366,19,0)-VLOOKUP(A86,'Team Stats'!$B$2:$T$366,13,0)),1)</f>
        <v>1.0489510489510492</v>
      </c>
      <c r="C86" s="168">
        <f>IFERROR((VLOOKUP(A86,'Team Stats'!$B$2:$T$366,5,0)+0.44*VLOOKUP(A86,'Team Stats'!$B$2:$T$366,11,0)+VLOOKUP(A86,'Team Stats'!$B$2:$T$366,19,0)-VLOOKUP(A86,'Team Stats'!$B$2:$T$366,13,0)),70)</f>
        <v>64.063999999999993</v>
      </c>
      <c r="D86" s="168">
        <f>IFERROR(VLOOKUP(A86,'Opponents stats vs'!$B$2:$D$366,3,0)/C86,1.05)</f>
        <v>1.095779220779221</v>
      </c>
      <c r="E86" s="169">
        <f>IFERROR(VLOOKUP(A86,SOS!A:C,3,0),200)</f>
        <v>348</v>
      </c>
      <c r="F86">
        <f>IFERROR(VLOOKUP(A86,SOS!A:D,4,0),200)</f>
        <v>337</v>
      </c>
      <c r="G86">
        <f>B86*((366-F86)/365)^'Enhanced Matchup Model'!$F$14</f>
        <v>0.92418832576650134</v>
      </c>
      <c r="H86">
        <f>D86*(2-((366-F86)/365)^'Enhanced Matchup Model'!$F$14)</f>
        <v>1.2261117083916504</v>
      </c>
    </row>
    <row r="87" spans="1:8" ht="15" customHeight="1" x14ac:dyDescent="0.25">
      <c r="A87" s="167" t="s">
        <v>256</v>
      </c>
      <c r="B87" s="168">
        <f>IFERROR(VLOOKUP(A87,'Team Stats'!$B$2:$T$366,3,0)/(VLOOKUP(A87,'Team Stats'!$B$2:$T$366,5,0)+0.44*VLOOKUP(A87,'Team Stats'!$B$2:$T$366,11,0)+VLOOKUP(A87,'Team Stats'!$B$2:$T$366,19,0)-VLOOKUP(A87,'Team Stats'!$B$2:$T$366,13,0)),1)</f>
        <v>1.0073836643580789</v>
      </c>
      <c r="C87" s="168">
        <f>IFERROR((VLOOKUP(A87,'Team Stats'!$B$2:$T$366,5,0)+0.44*VLOOKUP(A87,'Team Stats'!$B$2:$T$366,11,0)+VLOOKUP(A87,'Team Stats'!$B$2:$T$366,19,0)-VLOOKUP(A87,'Team Stats'!$B$2:$T$366,13,0)),70)</f>
        <v>69.884000000000015</v>
      </c>
      <c r="D87" s="168">
        <f>IFERROR(VLOOKUP(A87,'Opponents stats vs'!$B$2:$D$366,3,0)/C87,1.05)</f>
        <v>1.0746379714956209</v>
      </c>
      <c r="E87" s="169">
        <f>IFERROR(VLOOKUP(A87,SOS!A:C,3,0),200)</f>
        <v>289</v>
      </c>
      <c r="F87">
        <f>IFERROR(VLOOKUP(A87,SOS!A:D,4,0),200)</f>
        <v>333</v>
      </c>
      <c r="G87">
        <f>B87*((366-F87)/365)^'Enhanced Matchup Model'!$F$14</f>
        <v>0.89331773863105046</v>
      </c>
      <c r="H87">
        <f>D87*(2-((366-F87)/365)^'Enhanced Matchup Model'!$F$14)</f>
        <v>1.1963190939686299</v>
      </c>
    </row>
    <row r="88" spans="1:8" ht="15" customHeight="1" x14ac:dyDescent="0.25">
      <c r="A88" s="170" t="s">
        <v>257</v>
      </c>
      <c r="B88" s="168">
        <f>IFERROR(VLOOKUP(A88,'Team Stats'!$B$2:$T$366,3,0)/(VLOOKUP(A88,'Team Stats'!$B$2:$T$366,5,0)+0.44*VLOOKUP(A88,'Team Stats'!$B$2:$T$366,11,0)+VLOOKUP(A88,'Team Stats'!$B$2:$T$366,19,0)-VLOOKUP(A88,'Team Stats'!$B$2:$T$366,13,0)),1)</f>
        <v>1.1287128712871286</v>
      </c>
      <c r="C88" s="168">
        <f>IFERROR((VLOOKUP(A88,'Team Stats'!$B$2:$T$366,5,0)+0.44*VLOOKUP(A88,'Team Stats'!$B$2:$T$366,11,0)+VLOOKUP(A88,'Team Stats'!$B$2:$T$366,19,0)-VLOOKUP(A88,'Team Stats'!$B$2:$T$366,13,0)),70)</f>
        <v>70.7</v>
      </c>
      <c r="D88" s="168">
        <f>IFERROR(VLOOKUP(A88,'Opponents stats vs'!$B$2:$D$366,3,0)/C88,1.05)</f>
        <v>1.0523338048090525</v>
      </c>
      <c r="E88" s="169">
        <f>IFERROR(VLOOKUP(A88,SOS!A:C,3,0),200)</f>
        <v>91</v>
      </c>
      <c r="F88">
        <f>IFERROR(VLOOKUP(A88,SOS!A:D,4,0),200)</f>
        <v>108</v>
      </c>
      <c r="G88">
        <f>B88*((366-F88)/365)^'Enhanced Matchup Model'!$F$14</f>
        <v>1.1093020603688271</v>
      </c>
      <c r="H88">
        <f>D88*(2-((366-F88)/365)^'Enhanced Matchup Model'!$F$14)</f>
        <v>1.0704311022065669</v>
      </c>
    </row>
    <row r="89" spans="1:8" ht="15" customHeight="1" x14ac:dyDescent="0.25">
      <c r="A89" s="167" t="s">
        <v>61</v>
      </c>
      <c r="B89" s="168">
        <f>IFERROR(VLOOKUP(A89,'Team Stats'!$B$2:$T$366,3,0)/(VLOOKUP(A89,'Team Stats'!$B$2:$T$366,5,0)+0.44*VLOOKUP(A89,'Team Stats'!$B$2:$T$366,11,0)+VLOOKUP(A89,'Team Stats'!$B$2:$T$366,19,0)-VLOOKUP(A89,'Team Stats'!$B$2:$T$366,13,0)),1)</f>
        <v>1.2268052761010508</v>
      </c>
      <c r="C89" s="168">
        <f>IFERROR((VLOOKUP(A89,'Team Stats'!$B$2:$T$366,5,0)+0.44*VLOOKUP(A89,'Team Stats'!$B$2:$T$366,11,0)+VLOOKUP(A89,'Team Stats'!$B$2:$T$366,19,0)-VLOOKUP(A89,'Team Stats'!$B$2:$T$366,13,0)),70)</f>
        <v>71.567999999999998</v>
      </c>
      <c r="D89" s="168">
        <f>IFERROR(VLOOKUP(A89,'Opponents stats vs'!$B$2:$D$366,3,0)/C89,1.05)</f>
        <v>0.99904985468365748</v>
      </c>
      <c r="E89" s="169">
        <f>IFERROR(VLOOKUP(A89,SOS!A:C,3,0),200)</f>
        <v>6</v>
      </c>
      <c r="F89">
        <f>IFERROR(VLOOKUP(A89,SOS!A:D,4,0),200)</f>
        <v>6</v>
      </c>
      <c r="G89">
        <f>B89*((366-F89)/365)^'Enhanced Matchup Model'!$F$14</f>
        <v>1.22595948177407</v>
      </c>
      <c r="H89">
        <f>D89*(2-((366-F89)/365)^'Enhanced Matchup Model'!$F$14)</f>
        <v>0.99973862796815782</v>
      </c>
    </row>
    <row r="90" spans="1:8" ht="15" customHeight="1" x14ac:dyDescent="0.25">
      <c r="A90" s="170" t="s">
        <v>258</v>
      </c>
      <c r="B90" s="168">
        <f>IFERROR(VLOOKUP(A90,'Team Stats'!$B$2:$T$366,3,0)/(VLOOKUP(A90,'Team Stats'!$B$2:$T$366,5,0)+0.44*VLOOKUP(A90,'Team Stats'!$B$2:$T$366,11,0)+VLOOKUP(A90,'Team Stats'!$B$2:$T$366,19,0)-VLOOKUP(A90,'Team Stats'!$B$2:$T$366,13,0)),1)</f>
        <v>1.1185875316310099</v>
      </c>
      <c r="C90" s="168">
        <f>IFERROR((VLOOKUP(A90,'Team Stats'!$B$2:$T$366,5,0)+0.44*VLOOKUP(A90,'Team Stats'!$B$2:$T$366,11,0)+VLOOKUP(A90,'Team Stats'!$B$2:$T$366,19,0)-VLOOKUP(A90,'Team Stats'!$B$2:$T$366,13,0)),70)</f>
        <v>69.551999999999992</v>
      </c>
      <c r="D90" s="168">
        <f>IFERROR(VLOOKUP(A90,'Opponents stats vs'!$B$2:$D$366,3,0)/C90,1.05)</f>
        <v>1.1113986657464918</v>
      </c>
      <c r="E90" s="169">
        <f>IFERROR(VLOOKUP(A90,SOS!A:C,3,0),200)</f>
        <v>281</v>
      </c>
      <c r="F90">
        <f>IFERROR(VLOOKUP(A90,SOS!A:D,4,0),200)</f>
        <v>292</v>
      </c>
      <c r="G90">
        <f>B90*((366-F90)/365)^'Enhanced Matchup Model'!$F$14</f>
        <v>1.0328016353044858</v>
      </c>
      <c r="H90">
        <f>D90*(2-((366-F90)/365)^'Enhanced Matchup Model'!$F$14)</f>
        <v>1.1966332388318428</v>
      </c>
    </row>
    <row r="91" spans="1:8" ht="15" customHeight="1" x14ac:dyDescent="0.25">
      <c r="A91" s="167" t="s">
        <v>259</v>
      </c>
      <c r="B91" s="168">
        <f>IFERROR(VLOOKUP(A91,'Team Stats'!$B$2:$T$366,3,0)/(VLOOKUP(A91,'Team Stats'!$B$2:$T$366,5,0)+0.44*VLOOKUP(A91,'Team Stats'!$B$2:$T$366,11,0)+VLOOKUP(A91,'Team Stats'!$B$2:$T$366,19,0)-VLOOKUP(A91,'Team Stats'!$B$2:$T$366,13,0)),1)</f>
        <v>1.1052226920753474</v>
      </c>
      <c r="C91" s="168">
        <f>IFERROR((VLOOKUP(A91,'Team Stats'!$B$2:$T$366,5,0)+0.44*VLOOKUP(A91,'Team Stats'!$B$2:$T$366,11,0)+VLOOKUP(A91,'Team Stats'!$B$2:$T$366,19,0)-VLOOKUP(A91,'Team Stats'!$B$2:$T$366,13,0)),70)</f>
        <v>72.835999999999999</v>
      </c>
      <c r="D91" s="168">
        <f>IFERROR(VLOOKUP(A91,'Opponents stats vs'!$B$2:$D$366,3,0)/C91,1.05)</f>
        <v>1.0750178483167665</v>
      </c>
      <c r="E91" s="169">
        <f>IFERROR(VLOOKUP(A91,SOS!A:C,3,0),200)</f>
        <v>182</v>
      </c>
      <c r="F91">
        <f>IFERROR(VLOOKUP(A91,SOS!A:D,4,0),200)</f>
        <v>157</v>
      </c>
      <c r="G91">
        <f>B91*((366-F91)/365)^'Enhanced Matchup Model'!$F$14</f>
        <v>1.0748366439044765</v>
      </c>
      <c r="H91">
        <f>D91*(2-((366-F91)/365)^'Enhanced Matchup Model'!$F$14)</f>
        <v>1.104573470326446</v>
      </c>
    </row>
    <row r="92" spans="1:8" ht="15" customHeight="1" x14ac:dyDescent="0.25">
      <c r="A92" s="170" t="s">
        <v>260</v>
      </c>
      <c r="B92" s="168">
        <f>IFERROR(VLOOKUP(A92,'Team Stats'!$B$2:$T$366,3,0)/(VLOOKUP(A92,'Team Stats'!$B$2:$T$366,5,0)+0.44*VLOOKUP(A92,'Team Stats'!$B$2:$T$366,11,0)+VLOOKUP(A92,'Team Stats'!$B$2:$T$366,19,0)-VLOOKUP(A92,'Team Stats'!$B$2:$T$366,13,0)),1)</f>
        <v>1.1187946252881318</v>
      </c>
      <c r="C92" s="168">
        <f>IFERROR((VLOOKUP(A92,'Team Stats'!$B$2:$T$366,5,0)+0.44*VLOOKUP(A92,'Team Stats'!$B$2:$T$366,11,0)+VLOOKUP(A92,'Team Stats'!$B$2:$T$366,19,0)-VLOOKUP(A92,'Team Stats'!$B$2:$T$366,13,0)),70)</f>
        <v>71.147999999999996</v>
      </c>
      <c r="D92" s="168">
        <f>IFERROR(VLOOKUP(A92,'Opponents stats vs'!$B$2:$D$366,3,0)/C92,1.05)</f>
        <v>1.0892786866812842</v>
      </c>
      <c r="E92" s="169">
        <f>IFERROR(VLOOKUP(A92,SOS!A:C,3,0),200)</f>
        <v>79</v>
      </c>
      <c r="F92">
        <f>IFERROR(VLOOKUP(A92,SOS!A:D,4,0),200)</f>
        <v>69</v>
      </c>
      <c r="G92">
        <f>B92*((366-F92)/365)^'Enhanced Matchup Model'!$F$14</f>
        <v>1.1073210365481307</v>
      </c>
      <c r="H92">
        <f>D92*(2-((366-F92)/365)^'Enhanced Matchup Model'!$F$14)</f>
        <v>1.1004495802409584</v>
      </c>
    </row>
    <row r="93" spans="1:8" ht="15" customHeight="1" x14ac:dyDescent="0.25">
      <c r="A93" s="167" t="s">
        <v>261</v>
      </c>
      <c r="B93" s="168">
        <f>IFERROR(VLOOKUP(A93,'Team Stats'!$B$2:$T$366,3,0)/(VLOOKUP(A93,'Team Stats'!$B$2:$T$366,5,0)+0.44*VLOOKUP(A93,'Team Stats'!$B$2:$T$366,11,0)+VLOOKUP(A93,'Team Stats'!$B$2:$T$366,19,0)-VLOOKUP(A93,'Team Stats'!$B$2:$T$366,13,0)),1)</f>
        <v>1.0740876357866473</v>
      </c>
      <c r="C93" s="168">
        <f>IFERROR((VLOOKUP(A93,'Team Stats'!$B$2:$T$366,5,0)+0.44*VLOOKUP(A93,'Team Stats'!$B$2:$T$366,11,0)+VLOOKUP(A93,'Team Stats'!$B$2:$T$366,19,0)-VLOOKUP(A93,'Team Stats'!$B$2:$T$366,13,0)),70)</f>
        <v>65.543999999999997</v>
      </c>
      <c r="D93" s="168">
        <f>IFERROR(VLOOKUP(A93,'Opponents stats vs'!$B$2:$D$366,3,0)/C93,1.05)</f>
        <v>1.0069571585499817</v>
      </c>
      <c r="E93" s="169">
        <f>IFERROR(VLOOKUP(A93,SOS!A:C,3,0),200)</f>
        <v>175</v>
      </c>
      <c r="F93">
        <f>IFERROR(VLOOKUP(A93,SOS!A:D,4,0),200)</f>
        <v>178</v>
      </c>
      <c r="G93">
        <f>B93*((366-F93)/365)^'Enhanced Matchup Model'!$F$14</f>
        <v>1.0390416737436203</v>
      </c>
      <c r="H93">
        <f>D93*(2-((366-F93)/365)^'Enhanced Matchup Model'!$F$14)</f>
        <v>1.0398127479653196</v>
      </c>
    </row>
    <row r="94" spans="1:8" ht="15" customHeight="1" x14ac:dyDescent="0.25">
      <c r="A94" s="170" t="s">
        <v>262</v>
      </c>
      <c r="B94" s="168">
        <f>IFERROR(VLOOKUP(A94,'Team Stats'!$B$2:$T$366,3,0)/(VLOOKUP(A94,'Team Stats'!$B$2:$T$366,5,0)+0.44*VLOOKUP(A94,'Team Stats'!$B$2:$T$366,11,0)+VLOOKUP(A94,'Team Stats'!$B$2:$T$366,19,0)-VLOOKUP(A94,'Team Stats'!$B$2:$T$366,13,0)),1)</f>
        <v>1.0690837255243737</v>
      </c>
      <c r="C94" s="168">
        <f>IFERROR((VLOOKUP(A94,'Team Stats'!$B$2:$T$366,5,0)+0.44*VLOOKUP(A94,'Team Stats'!$B$2:$T$366,11,0)+VLOOKUP(A94,'Team Stats'!$B$2:$T$366,19,0)-VLOOKUP(A94,'Team Stats'!$B$2:$T$366,13,0)),70)</f>
        <v>68.844000000000008</v>
      </c>
      <c r="D94" s="168">
        <f>IFERROR(VLOOKUP(A94,'Opponents stats vs'!$B$2:$D$366,3,0)/C94,1.05)</f>
        <v>1.0545581314275752</v>
      </c>
      <c r="E94" s="169">
        <f>IFERROR(VLOOKUP(A94,SOS!A:C,3,0),200)</f>
        <v>160</v>
      </c>
      <c r="F94">
        <f>IFERROR(VLOOKUP(A94,SOS!A:D,4,0),200)</f>
        <v>102</v>
      </c>
      <c r="G94">
        <f>B94*((366-F94)/365)^'Enhanced Matchup Model'!$F$14</f>
        <v>1.051906821638005</v>
      </c>
      <c r="H94">
        <f>D94*(2-((366-F94)/365)^'Enhanced Matchup Model'!$F$14)</f>
        <v>1.0715016534676618</v>
      </c>
    </row>
    <row r="95" spans="1:8" ht="15" customHeight="1" x14ac:dyDescent="0.25">
      <c r="A95" s="167" t="s">
        <v>263</v>
      </c>
      <c r="B95" s="168">
        <f>IFERROR(VLOOKUP(A95,'Team Stats'!$B$2:$T$366,3,0)/(VLOOKUP(A95,'Team Stats'!$B$2:$T$366,5,0)+0.44*VLOOKUP(A95,'Team Stats'!$B$2:$T$366,11,0)+VLOOKUP(A95,'Team Stats'!$B$2:$T$366,19,0)-VLOOKUP(A95,'Team Stats'!$B$2:$T$366,13,0)),1)</f>
        <v>1.1332458547059523</v>
      </c>
      <c r="C95" s="168">
        <f>IFERROR((VLOOKUP(A95,'Team Stats'!$B$2:$T$366,5,0)+0.44*VLOOKUP(A95,'Team Stats'!$B$2:$T$366,11,0)+VLOOKUP(A95,'Team Stats'!$B$2:$T$366,19,0)-VLOOKUP(A95,'Team Stats'!$B$2:$T$366,13,0)),70)</f>
        <v>67.064000000000007</v>
      </c>
      <c r="D95" s="168">
        <f>IFERROR(VLOOKUP(A95,'Opponents stats vs'!$B$2:$D$366,3,0)/C95,1.05)</f>
        <v>1.048252415603006</v>
      </c>
      <c r="E95" s="169">
        <f>IFERROR(VLOOKUP(A95,SOS!A:C,3,0),200)</f>
        <v>219</v>
      </c>
      <c r="F95">
        <f>IFERROR(VLOOKUP(A95,SOS!A:D,4,0),200)</f>
        <v>280</v>
      </c>
      <c r="G95">
        <f>B95*((366-F95)/365)^'Enhanced Matchup Model'!$F$14</f>
        <v>1.0542276885527477</v>
      </c>
      <c r="H95">
        <f>D95*(2-((366-F95)/365)^'Enhanced Matchup Model'!$F$14)</f>
        <v>1.1213442192947201</v>
      </c>
    </row>
    <row r="96" spans="1:8" ht="15" customHeight="1" x14ac:dyDescent="0.25">
      <c r="A96" s="170" t="s">
        <v>264</v>
      </c>
      <c r="B96" s="168">
        <f>IFERROR(VLOOKUP(A96,'Team Stats'!$B$2:$T$366,3,0)/(VLOOKUP(A96,'Team Stats'!$B$2:$T$366,5,0)+0.44*VLOOKUP(A96,'Team Stats'!$B$2:$T$366,11,0)+VLOOKUP(A96,'Team Stats'!$B$2:$T$366,19,0)-VLOOKUP(A96,'Team Stats'!$B$2:$T$366,13,0)),1)</f>
        <v>0.97175654941183154</v>
      </c>
      <c r="C96" s="168">
        <f>IFERROR((VLOOKUP(A96,'Team Stats'!$B$2:$T$366,5,0)+0.44*VLOOKUP(A96,'Team Stats'!$B$2:$T$366,11,0)+VLOOKUP(A96,'Team Stats'!$B$2:$T$366,19,0)-VLOOKUP(A96,'Team Stats'!$B$2:$T$366,13,0)),70)</f>
        <v>70.388000000000005</v>
      </c>
      <c r="D96" s="168">
        <f>IFERROR(VLOOKUP(A96,'Opponents stats vs'!$B$2:$D$366,3,0)/C96,1.05)</f>
        <v>1.2161163834744557</v>
      </c>
      <c r="E96" s="169">
        <f>IFERROR(VLOOKUP(A96,SOS!A:C,3,0),200)</f>
        <v>354</v>
      </c>
      <c r="F96">
        <f>IFERROR(VLOOKUP(A96,SOS!A:D,4,0),200)</f>
        <v>160</v>
      </c>
      <c r="G96">
        <f>B96*((366-F96)/365)^'Enhanced Matchup Model'!$F$14</f>
        <v>0.94435697890414338</v>
      </c>
      <c r="H96">
        <f>D96*(2-((366-F96)/365)^'Enhanced Matchup Model'!$F$14)</f>
        <v>1.2504059044606852</v>
      </c>
    </row>
    <row r="97" spans="1:8" ht="15" customHeight="1" x14ac:dyDescent="0.25">
      <c r="A97" s="167" t="s">
        <v>265</v>
      </c>
      <c r="B97" s="168">
        <f>IFERROR(VLOOKUP(A97,'Team Stats'!$B$2:$T$366,3,0)/(VLOOKUP(A97,'Team Stats'!$B$2:$T$366,5,0)+0.44*VLOOKUP(A97,'Team Stats'!$B$2:$T$366,11,0)+VLOOKUP(A97,'Team Stats'!$B$2:$T$366,19,0)-VLOOKUP(A97,'Team Stats'!$B$2:$T$366,13,0)),1)</f>
        <v>1.1403835412399925</v>
      </c>
      <c r="C97" s="168">
        <f>IFERROR((VLOOKUP(A97,'Team Stats'!$B$2:$T$366,5,0)+0.44*VLOOKUP(A97,'Team Stats'!$B$2:$T$366,11,0)+VLOOKUP(A97,'Team Stats'!$B$2:$T$366,19,0)-VLOOKUP(A97,'Team Stats'!$B$2:$T$366,13,0)),70)</f>
        <v>64.451999999999998</v>
      </c>
      <c r="D97" s="168">
        <f>IFERROR(VLOOKUP(A97,'Opponents stats vs'!$B$2:$D$366,3,0)/C97,1.05)</f>
        <v>1.0550487184261157</v>
      </c>
      <c r="E97" s="169">
        <f>IFERROR(VLOOKUP(A97,SOS!A:C,3,0),200)</f>
        <v>64</v>
      </c>
      <c r="F97">
        <f>IFERROR(VLOOKUP(A97,SOS!A:D,4,0),200)</f>
        <v>118</v>
      </c>
      <c r="G97">
        <f>B97*((366-F97)/365)^'Enhanced Matchup Model'!$F$14</f>
        <v>1.1185589612553926</v>
      </c>
      <c r="H97">
        <f>D97*(2-((366-F97)/365)^'Enhanced Matchup Model'!$F$14)</f>
        <v>1.0752401665751334</v>
      </c>
    </row>
    <row r="98" spans="1:8" ht="15" customHeight="1" x14ac:dyDescent="0.25">
      <c r="A98" s="170" t="s">
        <v>266</v>
      </c>
      <c r="B98" s="168">
        <f>IFERROR(VLOOKUP(A98,'Team Stats'!$B$2:$T$366,3,0)/(VLOOKUP(A98,'Team Stats'!$B$2:$T$366,5,0)+0.44*VLOOKUP(A98,'Team Stats'!$B$2:$T$366,11,0)+VLOOKUP(A98,'Team Stats'!$B$2:$T$366,19,0)-VLOOKUP(A98,'Team Stats'!$B$2:$T$366,13,0)),1)</f>
        <v>1.1824324324324325</v>
      </c>
      <c r="C98" s="168">
        <f>IFERROR((VLOOKUP(A98,'Team Stats'!$B$2:$T$366,5,0)+0.44*VLOOKUP(A98,'Team Stats'!$B$2:$T$366,11,0)+VLOOKUP(A98,'Team Stats'!$B$2:$T$366,19,0)-VLOOKUP(A98,'Team Stats'!$B$2:$T$366,13,0)),70)</f>
        <v>70.447999999999993</v>
      </c>
      <c r="D98" s="168">
        <f>IFERROR(VLOOKUP(A98,'Opponents stats vs'!$B$2:$D$366,3,0)/C98,1.05)</f>
        <v>1.0475811946400182</v>
      </c>
      <c r="E98" s="169">
        <f>IFERROR(VLOOKUP(A98,SOS!A:C,3,0),200)</f>
        <v>95</v>
      </c>
      <c r="F98">
        <f>IFERROR(VLOOKUP(A98,SOS!A:D,4,0),200)</f>
        <v>106</v>
      </c>
      <c r="G98">
        <f>B98*((366-F98)/365)^'Enhanced Matchup Model'!$F$14</f>
        <v>1.1625465655114213</v>
      </c>
      <c r="H98">
        <f>D98*(2-((366-F98)/365)^'Enhanced Matchup Model'!$F$14)</f>
        <v>1.065199165573639</v>
      </c>
    </row>
    <row r="99" spans="1:8" ht="15" customHeight="1" x14ac:dyDescent="0.25">
      <c r="A99" s="167" t="s">
        <v>267</v>
      </c>
      <c r="B99" s="168">
        <f>IFERROR(VLOOKUP(A99,'Team Stats'!$B$2:$T$366,3,0)/(VLOOKUP(A99,'Team Stats'!$B$2:$T$366,5,0)+0.44*VLOOKUP(A99,'Team Stats'!$B$2:$T$366,11,0)+VLOOKUP(A99,'Team Stats'!$B$2:$T$366,19,0)-VLOOKUP(A99,'Team Stats'!$B$2:$T$366,13,0)),1)</f>
        <v>1.1062210063042706</v>
      </c>
      <c r="C99" s="168">
        <f>IFERROR((VLOOKUP(A99,'Team Stats'!$B$2:$T$366,5,0)+0.44*VLOOKUP(A99,'Team Stats'!$B$2:$T$366,11,0)+VLOOKUP(A99,'Team Stats'!$B$2:$T$366,19,0)-VLOOKUP(A99,'Team Stats'!$B$2:$T$366,13,0)),70)</f>
        <v>67.255999999999986</v>
      </c>
      <c r="D99" s="168">
        <f>IFERROR(VLOOKUP(A99,'Opponents stats vs'!$B$2:$D$366,3,0)/C99,1.05)</f>
        <v>1.0972998691566553</v>
      </c>
      <c r="E99" s="169">
        <f>IFERROR(VLOOKUP(A99,SOS!A:C,3,0),200)</f>
        <v>107</v>
      </c>
      <c r="F99">
        <f>IFERROR(VLOOKUP(A99,SOS!A:D,4,0),200)</f>
        <v>39</v>
      </c>
      <c r="G99">
        <f>B99*((366-F99)/365)^'Enhanced Matchup Model'!$F$14</f>
        <v>1.1001569471696973</v>
      </c>
      <c r="H99">
        <f>D99*(2-((366-F99)/365)^'Enhanced Matchup Model'!$F$14)</f>
        <v>1.1033150245885304</v>
      </c>
    </row>
    <row r="100" spans="1:8" ht="15" customHeight="1" x14ac:dyDescent="0.25">
      <c r="A100" s="170" t="s">
        <v>87</v>
      </c>
      <c r="B100" s="168">
        <f>IFERROR(VLOOKUP(A100,'Team Stats'!$B$2:$T$366,3,0)/(VLOOKUP(A100,'Team Stats'!$B$2:$T$366,5,0)+0.44*VLOOKUP(A100,'Team Stats'!$B$2:$T$366,11,0)+VLOOKUP(A100,'Team Stats'!$B$2:$T$366,19,0)-VLOOKUP(A100,'Team Stats'!$B$2:$T$366,13,0)),1)</f>
        <v>1.2211006186909803</v>
      </c>
      <c r="C100" s="168">
        <f>IFERROR((VLOOKUP(A100,'Team Stats'!$B$2:$T$366,5,0)+0.44*VLOOKUP(A100,'Team Stats'!$B$2:$T$366,11,0)+VLOOKUP(A100,'Team Stats'!$B$2:$T$366,19,0)-VLOOKUP(A100,'Team Stats'!$B$2:$T$366,13,0)),70)</f>
        <v>73.703999999999994</v>
      </c>
      <c r="D100" s="168">
        <f>IFERROR(VLOOKUP(A100,'Opponents stats vs'!$B$2:$D$366,3,0)/C100,1.05)</f>
        <v>1.0677846521220016</v>
      </c>
      <c r="E100" s="169">
        <f>IFERROR(VLOOKUP(A100,SOS!A:C,3,0),200)</f>
        <v>36</v>
      </c>
      <c r="F100">
        <f>IFERROR(VLOOKUP(A100,SOS!A:D,4,0),200)</f>
        <v>63</v>
      </c>
      <c r="G100">
        <f>B100*((366-F100)/365)^'Enhanced Matchup Model'!$F$14</f>
        <v>1.2097870726656368</v>
      </c>
      <c r="H100">
        <f>D100*(2-((366-F100)/365)^'Enhanced Matchup Model'!$F$14)</f>
        <v>1.0776777195908296</v>
      </c>
    </row>
    <row r="101" spans="1:8" ht="15" customHeight="1" x14ac:dyDescent="0.25">
      <c r="A101" s="167" t="s">
        <v>268</v>
      </c>
      <c r="B101" s="168">
        <f>IFERROR(VLOOKUP(A101,'Team Stats'!$B$2:$T$366,3,0)/(VLOOKUP(A101,'Team Stats'!$B$2:$T$366,5,0)+0.44*VLOOKUP(A101,'Team Stats'!$B$2:$T$366,11,0)+VLOOKUP(A101,'Team Stats'!$B$2:$T$366,19,0)-VLOOKUP(A101,'Team Stats'!$B$2:$T$366,13,0)),1)</f>
        <v>1.128093158660844</v>
      </c>
      <c r="C101" s="168">
        <f>IFERROR((VLOOKUP(A101,'Team Stats'!$B$2:$T$366,5,0)+0.44*VLOOKUP(A101,'Team Stats'!$B$2:$T$366,11,0)+VLOOKUP(A101,'Team Stats'!$B$2:$T$366,19,0)-VLOOKUP(A101,'Team Stats'!$B$2:$T$366,13,0)),70)</f>
        <v>71.448000000000008</v>
      </c>
      <c r="D101" s="168">
        <f>IFERROR(VLOOKUP(A101,'Opponents stats vs'!$B$2:$D$366,3,0)/C101,1.05)</f>
        <v>1.1182958235359981</v>
      </c>
      <c r="E101" s="169">
        <f>IFERROR(VLOOKUP(A101,SOS!A:C,3,0),200)</f>
        <v>274</v>
      </c>
      <c r="F101">
        <f>IFERROR(VLOOKUP(A101,SOS!A:D,4,0),200)</f>
        <v>293</v>
      </c>
      <c r="G101">
        <f>B101*((366-F101)/365)^'Enhanced Matchup Model'!$F$14</f>
        <v>1.0408699371291206</v>
      </c>
      <c r="H101">
        <f>D101*(2-((366-F101)/365)^'Enhanced Matchup Model'!$F$14)</f>
        <v>1.2047615232926321</v>
      </c>
    </row>
    <row r="102" spans="1:8" ht="15" customHeight="1" x14ac:dyDescent="0.25">
      <c r="A102" s="170" t="s">
        <v>269</v>
      </c>
      <c r="B102" s="168">
        <f>IFERROR(VLOOKUP(A102,'Team Stats'!$B$2:$T$366,3,0)/(VLOOKUP(A102,'Team Stats'!$B$2:$T$366,5,0)+0.44*VLOOKUP(A102,'Team Stats'!$B$2:$T$366,11,0)+VLOOKUP(A102,'Team Stats'!$B$2:$T$366,19,0)-VLOOKUP(A102,'Team Stats'!$B$2:$T$366,13,0)),1)</f>
        <v>1.0225424122705091</v>
      </c>
      <c r="C102" s="168">
        <f>IFERROR((VLOOKUP(A102,'Team Stats'!$B$2:$T$366,5,0)+0.44*VLOOKUP(A102,'Team Stats'!$B$2:$T$366,11,0)+VLOOKUP(A102,'Team Stats'!$B$2:$T$366,19,0)-VLOOKUP(A102,'Team Stats'!$B$2:$T$366,13,0)),70)</f>
        <v>68.847999999999999</v>
      </c>
      <c r="D102" s="168">
        <f>IFERROR(VLOOKUP(A102,'Opponents stats vs'!$B$2:$D$366,3,0)/C102,1.05)</f>
        <v>1.0849988380199862</v>
      </c>
      <c r="E102" s="169">
        <f>IFERROR(VLOOKUP(A102,SOS!A:C,3,0),200)</f>
        <v>287</v>
      </c>
      <c r="F102">
        <f>IFERROR(VLOOKUP(A102,SOS!A:D,4,0),200)</f>
        <v>210</v>
      </c>
      <c r="G102">
        <f>B102*((366-F102)/365)^'Enhanced Matchup Model'!$F$14</f>
        <v>0.97999287255317102</v>
      </c>
      <c r="H102">
        <f>D102*(2-((366-F102)/365)^'Enhanced Matchup Model'!$F$14)</f>
        <v>1.1301472842825595</v>
      </c>
    </row>
    <row r="103" spans="1:8" ht="15" customHeight="1" x14ac:dyDescent="0.25">
      <c r="A103" s="167" t="s">
        <v>270</v>
      </c>
      <c r="B103" s="168">
        <f>IFERROR(VLOOKUP(A103,'Team Stats'!$B$2:$T$366,3,0)/(VLOOKUP(A103,'Team Stats'!$B$2:$T$366,5,0)+0.44*VLOOKUP(A103,'Team Stats'!$B$2:$T$366,11,0)+VLOOKUP(A103,'Team Stats'!$B$2:$T$366,19,0)-VLOOKUP(A103,'Team Stats'!$B$2:$T$366,13,0)),1)</f>
        <v>1.0334866502131479</v>
      </c>
      <c r="C103" s="168">
        <f>IFERROR((VLOOKUP(A103,'Team Stats'!$B$2:$T$366,5,0)+0.44*VLOOKUP(A103,'Team Stats'!$B$2:$T$366,11,0)+VLOOKUP(A103,'Team Stats'!$B$2:$T$366,19,0)-VLOOKUP(A103,'Team Stats'!$B$2:$T$366,13,0)),70)</f>
        <v>71.311999999999998</v>
      </c>
      <c r="D103" s="168">
        <f>IFERROR(VLOOKUP(A103,'Opponents stats vs'!$B$2:$D$366,3,0)/C103,1.05)</f>
        <v>1.0853713260040387</v>
      </c>
      <c r="E103" s="169">
        <f>IFERROR(VLOOKUP(A103,SOS!A:C,3,0),200)</f>
        <v>185</v>
      </c>
      <c r="F103">
        <f>IFERROR(VLOOKUP(A103,SOS!A:D,4,0),200)</f>
        <v>84</v>
      </c>
      <c r="G103">
        <f>B103*((366-F103)/365)^'Enhanced Matchup Model'!$F$14</f>
        <v>1.0202407908111479</v>
      </c>
      <c r="H103">
        <f>D103*(2-((366-F103)/365)^'Enhanced Matchup Model'!$F$14)</f>
        <v>1.0992821742769667</v>
      </c>
    </row>
    <row r="104" spans="1:8" ht="15" customHeight="1" x14ac:dyDescent="0.25">
      <c r="A104" s="170" t="s">
        <v>27</v>
      </c>
      <c r="B104" s="168">
        <f>IFERROR(VLOOKUP(A104,'Team Stats'!$B$2:$T$366,3,0)/(VLOOKUP(A104,'Team Stats'!$B$2:$T$366,5,0)+0.44*VLOOKUP(A104,'Team Stats'!$B$2:$T$366,11,0)+VLOOKUP(A104,'Team Stats'!$B$2:$T$366,19,0)-VLOOKUP(A104,'Team Stats'!$B$2:$T$366,13,0)),1)</f>
        <v>1.2213827188547406</v>
      </c>
      <c r="C104" s="168">
        <f>IFERROR((VLOOKUP(A104,'Team Stats'!$B$2:$T$366,5,0)+0.44*VLOOKUP(A104,'Team Stats'!$B$2:$T$366,11,0)+VLOOKUP(A104,'Team Stats'!$B$2:$T$366,19,0)-VLOOKUP(A104,'Team Stats'!$B$2:$T$366,13,0)),70)</f>
        <v>70.412000000000006</v>
      </c>
      <c r="D104" s="168">
        <f>IFERROR(VLOOKUP(A104,'Opponents stats vs'!$B$2:$D$366,3,0)/C104,1.05)</f>
        <v>0.94160086348917782</v>
      </c>
      <c r="E104" s="169">
        <f>IFERROR(VLOOKUP(A104,SOS!A:C,3,0),200)</f>
        <v>13</v>
      </c>
      <c r="F104">
        <f>IFERROR(VLOOKUP(A104,SOS!A:D,4,0),200)</f>
        <v>87</v>
      </c>
      <c r="G104">
        <f>B104*((366-F104)/365)^'Enhanced Matchup Model'!$F$14</f>
        <v>1.2050840487156855</v>
      </c>
      <c r="H104">
        <f>D104*(2-((366-F104)/365)^'Enhanced Matchup Model'!$F$14)</f>
        <v>0.95416600104986782</v>
      </c>
    </row>
    <row r="105" spans="1:8" ht="15" customHeight="1" x14ac:dyDescent="0.25">
      <c r="A105" s="167" t="s">
        <v>271</v>
      </c>
      <c r="B105" s="168">
        <f>IFERROR(VLOOKUP(A105,'Team Stats'!$B$2:$T$366,3,0)/(VLOOKUP(A105,'Team Stats'!$B$2:$T$366,5,0)+0.44*VLOOKUP(A105,'Team Stats'!$B$2:$T$366,11,0)+VLOOKUP(A105,'Team Stats'!$B$2:$T$366,19,0)-VLOOKUP(A105,'Team Stats'!$B$2:$T$366,13,0)),1)</f>
        <v>1.0158959537572254</v>
      </c>
      <c r="C105" s="168">
        <f>IFERROR((VLOOKUP(A105,'Team Stats'!$B$2:$T$366,5,0)+0.44*VLOOKUP(A105,'Team Stats'!$B$2:$T$366,11,0)+VLOOKUP(A105,'Team Stats'!$B$2:$T$366,19,0)-VLOOKUP(A105,'Team Stats'!$B$2:$T$366,13,0)),70)</f>
        <v>69.2</v>
      </c>
      <c r="D105" s="168">
        <f>IFERROR(VLOOKUP(A105,'Opponents stats vs'!$B$2:$D$366,3,0)/C105,1.05)</f>
        <v>1.023121387283237</v>
      </c>
      <c r="E105" s="169">
        <f>IFERROR(VLOOKUP(A105,SOS!A:C,3,0),200)</f>
        <v>333</v>
      </c>
      <c r="F105">
        <f>IFERROR(VLOOKUP(A105,SOS!A:D,4,0),200)</f>
        <v>342</v>
      </c>
      <c r="G105">
        <f>B105*((366-F105)/365)^'Enhanced Matchup Model'!$F$14</f>
        <v>0.88663556818182809</v>
      </c>
      <c r="H105">
        <f>D105*(2-((366-F105)/365)^'Enhanced Matchup Model'!$F$14)</f>
        <v>1.1533011212624422</v>
      </c>
    </row>
    <row r="106" spans="1:8" ht="15" customHeight="1" x14ac:dyDescent="0.25">
      <c r="A106" s="170" t="s">
        <v>272</v>
      </c>
      <c r="B106" s="168">
        <f>IFERROR(VLOOKUP(A106,'Team Stats'!$B$2:$T$366,3,0)/(VLOOKUP(A106,'Team Stats'!$B$2:$T$366,5,0)+0.44*VLOOKUP(A106,'Team Stats'!$B$2:$T$366,11,0)+VLOOKUP(A106,'Team Stats'!$B$2:$T$366,19,0)-VLOOKUP(A106,'Team Stats'!$B$2:$T$366,13,0)),1)</f>
        <v>1.0983233043173455</v>
      </c>
      <c r="C106" s="168">
        <f>IFERROR((VLOOKUP(A106,'Team Stats'!$B$2:$T$366,5,0)+0.44*VLOOKUP(A106,'Team Stats'!$B$2:$T$366,11,0)+VLOOKUP(A106,'Team Stats'!$B$2:$T$366,19,0)-VLOOKUP(A106,'Team Stats'!$B$2:$T$366,13,0)),70)</f>
        <v>68.467999999999989</v>
      </c>
      <c r="D106" s="168">
        <f>IFERROR(VLOOKUP(A106,'Opponents stats vs'!$B$2:$D$366,3,0)/C106,1.05)</f>
        <v>0.99900683530992607</v>
      </c>
      <c r="E106" s="169">
        <f>IFERROR(VLOOKUP(A106,SOS!A:C,3,0),200)</f>
        <v>70</v>
      </c>
      <c r="F106">
        <f>IFERROR(VLOOKUP(A106,SOS!A:D,4,0),200)</f>
        <v>97</v>
      </c>
      <c r="G106">
        <f>B106*((366-F106)/365)^'Enhanced Matchup Model'!$F$14</f>
        <v>1.0816908832212029</v>
      </c>
      <c r="H106">
        <f>D106*(2-((366-F106)/365)^'Enhanced Matchup Model'!$F$14)</f>
        <v>1.0141352608814176</v>
      </c>
    </row>
    <row r="107" spans="1:8" ht="15" customHeight="1" x14ac:dyDescent="0.25">
      <c r="A107" s="167" t="s">
        <v>273</v>
      </c>
      <c r="B107" s="168">
        <f>IFERROR(VLOOKUP(A107,'Team Stats'!$B$2:$T$366,3,0)/(VLOOKUP(A107,'Team Stats'!$B$2:$T$366,5,0)+0.44*VLOOKUP(A107,'Team Stats'!$B$2:$T$366,11,0)+VLOOKUP(A107,'Team Stats'!$B$2:$T$366,19,0)-VLOOKUP(A107,'Team Stats'!$B$2:$T$366,13,0)),1)</f>
        <v>1.1519034125908587</v>
      </c>
      <c r="C107" s="168">
        <f>IFERROR((VLOOKUP(A107,'Team Stats'!$B$2:$T$366,5,0)+0.44*VLOOKUP(A107,'Team Stats'!$B$2:$T$366,11,0)+VLOOKUP(A107,'Team Stats'!$B$2:$T$366,19,0)-VLOOKUP(A107,'Team Stats'!$B$2:$T$366,13,0)),70)</f>
        <v>64.935999999999993</v>
      </c>
      <c r="D107" s="168">
        <f>IFERROR(VLOOKUP(A107,'Opponents stats vs'!$B$2:$D$366,3,0)/C107,1.05)</f>
        <v>1.142663545644943</v>
      </c>
      <c r="E107" s="169">
        <f>IFERROR(VLOOKUP(A107,SOS!A:C,3,0),200)</f>
        <v>145</v>
      </c>
      <c r="F107">
        <f>IFERROR(VLOOKUP(A107,SOS!A:D,4,0),200)</f>
        <v>194</v>
      </c>
      <c r="G107">
        <f>B107*((366-F107)/365)^'Enhanced Matchup Model'!$F$14</f>
        <v>1.1093736443461997</v>
      </c>
      <c r="H107">
        <f>D107*(2-((366-F107)/365)^'Enhanced Matchup Model'!$F$14)</f>
        <v>1.1848521660159816</v>
      </c>
    </row>
    <row r="108" spans="1:8" ht="15" customHeight="1" x14ac:dyDescent="0.25">
      <c r="A108" s="170" t="s">
        <v>274</v>
      </c>
      <c r="B108" s="168">
        <f>IFERROR(VLOOKUP(A108,'Team Stats'!$B$2:$T$366,3,0)/(VLOOKUP(A108,'Team Stats'!$B$2:$T$366,5,0)+0.44*VLOOKUP(A108,'Team Stats'!$B$2:$T$366,11,0)+VLOOKUP(A108,'Team Stats'!$B$2:$T$366,19,0)-VLOOKUP(A108,'Team Stats'!$B$2:$T$366,13,0)),1)</f>
        <v>1.0605417853463426</v>
      </c>
      <c r="C108" s="168">
        <f>IFERROR((VLOOKUP(A108,'Team Stats'!$B$2:$T$366,5,0)+0.44*VLOOKUP(A108,'Team Stats'!$B$2:$T$366,11,0)+VLOOKUP(A108,'Team Stats'!$B$2:$T$366,19,0)-VLOOKUP(A108,'Team Stats'!$B$2:$T$366,13,0)),70)</f>
        <v>66.004000000000005</v>
      </c>
      <c r="D108" s="168">
        <f>IFERROR(VLOOKUP(A108,'Opponents stats vs'!$B$2:$D$366,3,0)/C108,1.05)</f>
        <v>1.069632143506454</v>
      </c>
      <c r="E108" s="169">
        <f>IFERROR(VLOOKUP(A108,SOS!A:C,3,0),200)</f>
        <v>268</v>
      </c>
      <c r="F108">
        <f>IFERROR(VLOOKUP(A108,SOS!A:D,4,0),200)</f>
        <v>235</v>
      </c>
      <c r="G108">
        <f>B108*((366-F108)/365)^'Enhanced Matchup Model'!$F$14</f>
        <v>1.0075734287125295</v>
      </c>
      <c r="H108">
        <f>D108*(2-((366-F108)/365)^'Enhanced Matchup Model'!$F$14)</f>
        <v>1.1230545146256998</v>
      </c>
    </row>
    <row r="109" spans="1:8" ht="15" customHeight="1" x14ac:dyDescent="0.25">
      <c r="A109" s="167" t="s">
        <v>275</v>
      </c>
      <c r="B109" s="168">
        <f>IFERROR(VLOOKUP(A109,'Team Stats'!$B$2:$T$366,3,0)/(VLOOKUP(A109,'Team Stats'!$B$2:$T$366,5,0)+0.44*VLOOKUP(A109,'Team Stats'!$B$2:$T$366,11,0)+VLOOKUP(A109,'Team Stats'!$B$2:$T$366,19,0)-VLOOKUP(A109,'Team Stats'!$B$2:$T$366,13,0)),1)</f>
        <v>1.0962164870959659</v>
      </c>
      <c r="C109" s="168">
        <f>IFERROR((VLOOKUP(A109,'Team Stats'!$B$2:$T$366,5,0)+0.44*VLOOKUP(A109,'Team Stats'!$B$2:$T$366,11,0)+VLOOKUP(A109,'Team Stats'!$B$2:$T$366,19,0)-VLOOKUP(A109,'Team Stats'!$B$2:$T$366,13,0)),70)</f>
        <v>63.856000000000009</v>
      </c>
      <c r="D109" s="168">
        <f>IFERROR(VLOOKUP(A109,'Opponents stats vs'!$B$2:$D$366,3,0)/C109,1.05)</f>
        <v>1.044537709847156</v>
      </c>
      <c r="E109" s="169">
        <f>IFERROR(VLOOKUP(A109,SOS!A:C,3,0),200)</f>
        <v>138</v>
      </c>
      <c r="F109">
        <f>IFERROR(VLOOKUP(A109,SOS!A:D,4,0),200)</f>
        <v>184</v>
      </c>
      <c r="G109">
        <f>B109*((366-F109)/365)^'Enhanced Matchup Model'!$F$14</f>
        <v>1.0587300887350231</v>
      </c>
      <c r="H109">
        <f>D109*(2-((366-F109)/365)^'Enhanced Matchup Model'!$F$14)</f>
        <v>1.0802568922853688</v>
      </c>
    </row>
    <row r="110" spans="1:8" ht="15" customHeight="1" x14ac:dyDescent="0.25">
      <c r="A110" s="170" t="s">
        <v>58</v>
      </c>
      <c r="B110" s="168">
        <f>IFERROR(VLOOKUP(A110,'Team Stats'!$B$2:$T$366,3,0)/(VLOOKUP(A110,'Team Stats'!$B$2:$T$366,5,0)+0.44*VLOOKUP(A110,'Team Stats'!$B$2:$T$366,11,0)+VLOOKUP(A110,'Team Stats'!$B$2:$T$366,19,0)-VLOOKUP(A110,'Team Stats'!$B$2:$T$366,13,0)),1)</f>
        <v>1.1168432794199665</v>
      </c>
      <c r="C110" s="168">
        <f>IFERROR((VLOOKUP(A110,'Team Stats'!$B$2:$T$366,5,0)+0.44*VLOOKUP(A110,'Team Stats'!$B$2:$T$366,11,0)+VLOOKUP(A110,'Team Stats'!$B$2:$T$366,19,0)-VLOOKUP(A110,'Team Stats'!$B$2:$T$366,13,0)),70)</f>
        <v>71.72</v>
      </c>
      <c r="D110" s="168">
        <f>IFERROR(VLOOKUP(A110,'Opponents stats vs'!$B$2:$D$366,3,0)/C110,1.05)</f>
        <v>0.97183491355270502</v>
      </c>
      <c r="E110" s="169">
        <f>IFERROR(VLOOKUP(A110,SOS!A:C,3,0),200)</f>
        <v>223</v>
      </c>
      <c r="F110">
        <f>IFERROR(VLOOKUP(A110,SOS!A:D,4,0),200)</f>
        <v>307</v>
      </c>
      <c r="G110">
        <f>B110*((366-F110)/365)^'Enhanced Matchup Model'!$F$14</f>
        <v>1.0195773817847389</v>
      </c>
      <c r="H110">
        <f>D110*(2-((366-F110)/365)^'Enhanced Matchup Model'!$F$14)</f>
        <v>1.0564720304712492</v>
      </c>
    </row>
    <row r="111" spans="1:8" ht="15" customHeight="1" x14ac:dyDescent="0.25">
      <c r="A111" s="167" t="s">
        <v>73</v>
      </c>
      <c r="B111" s="168">
        <f>IFERROR(VLOOKUP(A111,'Team Stats'!$B$2:$T$366,3,0)/(VLOOKUP(A111,'Team Stats'!$B$2:$T$366,5,0)+0.44*VLOOKUP(A111,'Team Stats'!$B$2:$T$366,11,0)+VLOOKUP(A111,'Team Stats'!$B$2:$T$366,19,0)-VLOOKUP(A111,'Team Stats'!$B$2:$T$366,13,0)),1)</f>
        <v>1.2696679545327287</v>
      </c>
      <c r="C111" s="168">
        <f>IFERROR((VLOOKUP(A111,'Team Stats'!$B$2:$T$366,5,0)+0.44*VLOOKUP(A111,'Team Stats'!$B$2:$T$366,11,0)+VLOOKUP(A111,'Team Stats'!$B$2:$T$366,19,0)-VLOOKUP(A111,'Team Stats'!$B$2:$T$366,13,0)),70)</f>
        <v>71.435999999999993</v>
      </c>
      <c r="D111" s="168">
        <f>IFERROR(VLOOKUP(A111,'Opponents stats vs'!$B$2:$D$366,3,0)/C111,1.05)</f>
        <v>0.98549750825914118</v>
      </c>
      <c r="E111" s="169">
        <f>IFERROR(VLOOKUP(A111,SOS!A:C,3,0),200)</f>
        <v>259</v>
      </c>
      <c r="F111">
        <f>IFERROR(VLOOKUP(A111,SOS!A:D,4,0),200)</f>
        <v>347</v>
      </c>
      <c r="G111">
        <f>B111*((366-F111)/365)^'Enhanced Matchup Model'!$F$14</f>
        <v>1.0952498321301301</v>
      </c>
      <c r="H111">
        <f>D111*(2-((366-F111)/365)^'Enhanced Matchup Model'!$F$14)</f>
        <v>1.1208782780181592</v>
      </c>
    </row>
    <row r="112" spans="1:8" ht="15" customHeight="1" x14ac:dyDescent="0.25">
      <c r="A112" s="170" t="s">
        <v>276</v>
      </c>
      <c r="B112" s="168">
        <f>IFERROR(VLOOKUP(A112,'Team Stats'!$B$2:$T$366,3,0)/(VLOOKUP(A112,'Team Stats'!$B$2:$T$366,5,0)+0.44*VLOOKUP(A112,'Team Stats'!$B$2:$T$366,11,0)+VLOOKUP(A112,'Team Stats'!$B$2:$T$366,19,0)-VLOOKUP(A112,'Team Stats'!$B$2:$T$366,13,0)),1)</f>
        <v>1.1494603329471309</v>
      </c>
      <c r="C112" s="168">
        <f>IFERROR((VLOOKUP(A112,'Team Stats'!$B$2:$T$366,5,0)+0.44*VLOOKUP(A112,'Team Stats'!$B$2:$T$366,11,0)+VLOOKUP(A112,'Team Stats'!$B$2:$T$366,19,0)-VLOOKUP(A112,'Team Stats'!$B$2:$T$366,13,0)),70)</f>
        <v>65.596000000000004</v>
      </c>
      <c r="D112" s="168">
        <f>IFERROR(VLOOKUP(A112,'Opponents stats vs'!$B$2:$D$366,3,0)/C112,1.05)</f>
        <v>1.0092078785291787</v>
      </c>
      <c r="E112" s="169">
        <f>IFERROR(VLOOKUP(A112,SOS!A:C,3,0),200)</f>
        <v>82</v>
      </c>
      <c r="F112">
        <f>IFERROR(VLOOKUP(A112,SOS!A:D,4,0),200)</f>
        <v>163</v>
      </c>
      <c r="G112">
        <f>B112*((366-F112)/365)^'Enhanced Matchup Model'!$F$14</f>
        <v>1.1162311741527708</v>
      </c>
      <c r="H112">
        <f>D112*(2-((366-F112)/365)^'Enhanced Matchup Model'!$F$14)</f>
        <v>1.0383825511045983</v>
      </c>
    </row>
    <row r="113" spans="1:8" ht="15" customHeight="1" x14ac:dyDescent="0.25">
      <c r="A113" s="167" t="s">
        <v>277</v>
      </c>
      <c r="B113" s="168">
        <f>IFERROR(VLOOKUP(A113,'Team Stats'!$B$2:$T$366,3,0)/(VLOOKUP(A113,'Team Stats'!$B$2:$T$366,5,0)+0.44*VLOOKUP(A113,'Team Stats'!$B$2:$T$366,11,0)+VLOOKUP(A113,'Team Stats'!$B$2:$T$366,19,0)-VLOOKUP(A113,'Team Stats'!$B$2:$T$366,13,0)),1)</f>
        <v>1.0389372981536773</v>
      </c>
      <c r="C113" s="168">
        <f>IFERROR((VLOOKUP(A113,'Team Stats'!$B$2:$T$366,5,0)+0.44*VLOOKUP(A113,'Team Stats'!$B$2:$T$366,11,0)+VLOOKUP(A113,'Team Stats'!$B$2:$T$366,19,0)-VLOOKUP(A113,'Team Stats'!$B$2:$T$366,13,0)),70)</f>
        <v>65.644000000000005</v>
      </c>
      <c r="D113" s="168">
        <f>IFERROR(VLOOKUP(A113,'Opponents stats vs'!$B$2:$D$366,3,0)/C113,1.05)</f>
        <v>1.1166290902443481</v>
      </c>
      <c r="E113" s="169">
        <f>IFERROR(VLOOKUP(A113,SOS!A:C,3,0),200)</f>
        <v>338</v>
      </c>
      <c r="F113">
        <f>IFERROR(VLOOKUP(A113,SOS!A:D,4,0),200)</f>
        <v>303</v>
      </c>
      <c r="G113">
        <f>B113*((366-F113)/365)^'Enhanced Matchup Model'!$F$14</f>
        <v>0.95157214824208702</v>
      </c>
      <c r="H113">
        <f>D113*(2-((366-F113)/365)^'Enhanced Matchup Model'!$F$14)</f>
        <v>1.2105274111903828</v>
      </c>
    </row>
    <row r="114" spans="1:8" ht="15" customHeight="1" x14ac:dyDescent="0.25">
      <c r="A114" s="170" t="s">
        <v>278</v>
      </c>
      <c r="B114" s="168">
        <f>IFERROR(VLOOKUP(A114,'Team Stats'!$B$2:$T$366,3,0)/(VLOOKUP(A114,'Team Stats'!$B$2:$T$366,5,0)+0.44*VLOOKUP(A114,'Team Stats'!$B$2:$T$366,11,0)+VLOOKUP(A114,'Team Stats'!$B$2:$T$366,19,0)-VLOOKUP(A114,'Team Stats'!$B$2:$T$366,13,0)),1)</f>
        <v>1.044641748416739</v>
      </c>
      <c r="C114" s="168">
        <f>IFERROR((VLOOKUP(A114,'Team Stats'!$B$2:$T$366,5,0)+0.44*VLOOKUP(A114,'Team Stats'!$B$2:$T$366,11,0)+VLOOKUP(A114,'Team Stats'!$B$2:$T$366,19,0)-VLOOKUP(A114,'Team Stats'!$B$2:$T$366,13,0)),70)</f>
        <v>64.424000000000007</v>
      </c>
      <c r="D114" s="168">
        <f>IFERROR(VLOOKUP(A114,'Opponents stats vs'!$B$2:$D$366,3,0)/C114,1.05)</f>
        <v>1.1191481435489878</v>
      </c>
      <c r="E114" s="169">
        <f>IFERROR(VLOOKUP(A114,SOS!A:C,3,0),200)</f>
        <v>257</v>
      </c>
      <c r="F114">
        <f>IFERROR(VLOOKUP(A114,SOS!A:D,4,0),200)</f>
        <v>212</v>
      </c>
      <c r="G114">
        <f>B114*((366-F114)/365)^'Enhanced Matchup Model'!$F$14</f>
        <v>1.0005269033638309</v>
      </c>
      <c r="H114">
        <f>D114*(2-((366-F114)/365)^'Enhanced Matchup Model'!$F$14)</f>
        <v>1.1664093668523261</v>
      </c>
    </row>
    <row r="115" spans="1:8" ht="15" customHeight="1" x14ac:dyDescent="0.25">
      <c r="A115" s="167" t="s">
        <v>80</v>
      </c>
      <c r="B115" s="168">
        <f>IFERROR(VLOOKUP(A115,'Team Stats'!$B$2:$T$366,3,0)/(VLOOKUP(A115,'Team Stats'!$B$2:$T$366,5,0)+0.44*VLOOKUP(A115,'Team Stats'!$B$2:$T$366,11,0)+VLOOKUP(A115,'Team Stats'!$B$2:$T$366,19,0)-VLOOKUP(A115,'Team Stats'!$B$2:$T$366,13,0)),1)</f>
        <v>1.1987996535082293</v>
      </c>
      <c r="C115" s="168">
        <f>IFERROR((VLOOKUP(A115,'Team Stats'!$B$2:$T$366,5,0)+0.44*VLOOKUP(A115,'Team Stats'!$B$2:$T$366,11,0)+VLOOKUP(A115,'Team Stats'!$B$2:$T$366,19,0)-VLOOKUP(A115,'Team Stats'!$B$2:$T$366,13,0)),70)</f>
        <v>64.647999999999996</v>
      </c>
      <c r="D115" s="168">
        <f>IFERROR(VLOOKUP(A115,'Opponents stats vs'!$B$2:$D$366,3,0)/C115,1.05)</f>
        <v>0.96368023759435717</v>
      </c>
      <c r="E115" s="169">
        <f>IFERROR(VLOOKUP(A115,SOS!A:C,3,0),200)</f>
        <v>7</v>
      </c>
      <c r="F115">
        <f>IFERROR(VLOOKUP(A115,SOS!A:D,4,0),200)</f>
        <v>35</v>
      </c>
      <c r="G115">
        <f>B115*((366-F115)/365)^'Enhanced Matchup Model'!$F$14</f>
        <v>1.1929530866771403</v>
      </c>
      <c r="H115">
        <f>D115*(2-((366-F115)/365)^'Enhanced Matchup Model'!$F$14)</f>
        <v>0.96838012293083242</v>
      </c>
    </row>
    <row r="116" spans="1:8" ht="15" customHeight="1" x14ac:dyDescent="0.25">
      <c r="A116" s="170" t="s">
        <v>12</v>
      </c>
      <c r="B116" s="168">
        <f>IFERROR(VLOOKUP(A116,'Team Stats'!$B$2:$T$366,3,0)/(VLOOKUP(A116,'Team Stats'!$B$2:$T$366,5,0)+0.44*VLOOKUP(A116,'Team Stats'!$B$2:$T$366,11,0)+VLOOKUP(A116,'Team Stats'!$B$2:$T$366,19,0)-VLOOKUP(A116,'Team Stats'!$B$2:$T$366,13,0)),1)</f>
        <v>1.1210180055401664</v>
      </c>
      <c r="C116" s="168">
        <f>IFERROR((VLOOKUP(A116,'Team Stats'!$B$2:$T$366,5,0)+0.44*VLOOKUP(A116,'Team Stats'!$B$2:$T$366,11,0)+VLOOKUP(A116,'Team Stats'!$B$2:$T$366,19,0)-VLOOKUP(A116,'Team Stats'!$B$2:$T$366,13,0)),70)</f>
        <v>69.311999999999998</v>
      </c>
      <c r="D116" s="168">
        <f>IFERROR(VLOOKUP(A116,'Opponents stats vs'!$B$2:$D$366,3,0)/C116,1.05)</f>
        <v>0.98251385041551242</v>
      </c>
      <c r="E116" s="169">
        <f>IFERROR(VLOOKUP(A116,SOS!A:C,3,0),200)</f>
        <v>314</v>
      </c>
      <c r="F116">
        <f>IFERROR(VLOOKUP(A116,SOS!A:D,4,0),200)</f>
        <v>364</v>
      </c>
      <c r="G116">
        <f>B116*((366-F116)/365)^'Enhanced Matchup Model'!$F$14</f>
        <v>0.86407103021860365</v>
      </c>
      <c r="H116">
        <f>D116*(2-((366-F116)/365)^'Enhanced Matchup Model'!$F$14)</f>
        <v>1.2077144812958012</v>
      </c>
    </row>
    <row r="117" spans="1:8" ht="15" customHeight="1" x14ac:dyDescent="0.25">
      <c r="A117" s="167" t="s">
        <v>279</v>
      </c>
      <c r="B117" s="168">
        <f>IFERROR(VLOOKUP(A117,'Team Stats'!$B$2:$T$366,3,0)/(VLOOKUP(A117,'Team Stats'!$B$2:$T$366,5,0)+0.44*VLOOKUP(A117,'Team Stats'!$B$2:$T$366,11,0)+VLOOKUP(A117,'Team Stats'!$B$2:$T$366,19,0)-VLOOKUP(A117,'Team Stats'!$B$2:$T$366,13,0)),1)</f>
        <v>1.0983373671472165</v>
      </c>
      <c r="C117" s="168">
        <f>IFERROR((VLOOKUP(A117,'Team Stats'!$B$2:$T$366,5,0)+0.44*VLOOKUP(A117,'Team Stats'!$B$2:$T$366,11,0)+VLOOKUP(A117,'Team Stats'!$B$2:$T$366,19,0)-VLOOKUP(A117,'Team Stats'!$B$2:$T$366,13,0)),70)</f>
        <v>76.024000000000015</v>
      </c>
      <c r="D117" s="168">
        <f>IFERROR(VLOOKUP(A117,'Opponents stats vs'!$B$2:$D$366,3,0)/C117,1.05)</f>
        <v>1.1614753235820265</v>
      </c>
      <c r="E117" s="169">
        <f>IFERROR(VLOOKUP(A117,SOS!A:C,3,0),200)</f>
        <v>350</v>
      </c>
      <c r="F117">
        <f>IFERROR(VLOOKUP(A117,SOS!A:D,4,0),200)</f>
        <v>248</v>
      </c>
      <c r="G117">
        <f>B117*((366-F117)/365)^'Enhanced Matchup Model'!$F$14</f>
        <v>1.0380426945947154</v>
      </c>
      <c r="H117">
        <f>D117*(2-((366-F117)/365)^'Enhanced Matchup Model'!$F$14)</f>
        <v>1.2252360371914379</v>
      </c>
    </row>
    <row r="118" spans="1:8" ht="15" customHeight="1" x14ac:dyDescent="0.25">
      <c r="A118" s="170" t="s">
        <v>280</v>
      </c>
      <c r="B118" s="168">
        <f>IFERROR(VLOOKUP(A118,'Team Stats'!$B$2:$T$366,3,0)/(VLOOKUP(A118,'Team Stats'!$B$2:$T$366,5,0)+0.44*VLOOKUP(A118,'Team Stats'!$B$2:$T$366,11,0)+VLOOKUP(A118,'Team Stats'!$B$2:$T$366,19,0)-VLOOKUP(A118,'Team Stats'!$B$2:$T$366,13,0)),1)</f>
        <v>1.1324942235193967</v>
      </c>
      <c r="C118" s="168">
        <f>IFERROR((VLOOKUP(A118,'Team Stats'!$B$2:$T$366,5,0)+0.44*VLOOKUP(A118,'Team Stats'!$B$2:$T$366,11,0)+VLOOKUP(A118,'Team Stats'!$B$2:$T$366,19,0)-VLOOKUP(A118,'Team Stats'!$B$2:$T$366,13,0)),70)</f>
        <v>65.784000000000006</v>
      </c>
      <c r="D118" s="168">
        <f>IFERROR(VLOOKUP(A118,'Opponents stats vs'!$B$2:$D$366,3,0)/C118,1.05)</f>
        <v>1.1583363735862824</v>
      </c>
      <c r="E118" s="169">
        <f>IFERROR(VLOOKUP(A118,SOS!A:C,3,0),200)</f>
        <v>255</v>
      </c>
      <c r="F118">
        <f>IFERROR(VLOOKUP(A118,SOS!A:D,4,0),200)</f>
        <v>222</v>
      </c>
      <c r="G118">
        <f>B118*((366-F118)/365)^'Enhanced Matchup Model'!$F$14</f>
        <v>1.0810343075490405</v>
      </c>
      <c r="H118">
        <f>D118*(2-((366-F118)/365)^'Enhanced Matchup Model'!$F$14)</f>
        <v>1.2109705426727408</v>
      </c>
    </row>
    <row r="119" spans="1:8" ht="15" customHeight="1" x14ac:dyDescent="0.25">
      <c r="A119" s="167" t="s">
        <v>281</v>
      </c>
      <c r="B119" s="168">
        <f>IFERROR(VLOOKUP(A119,'Team Stats'!$B$2:$T$366,3,0)/(VLOOKUP(A119,'Team Stats'!$B$2:$T$366,5,0)+0.44*VLOOKUP(A119,'Team Stats'!$B$2:$T$366,11,0)+VLOOKUP(A119,'Team Stats'!$B$2:$T$366,19,0)-VLOOKUP(A119,'Team Stats'!$B$2:$T$366,13,0)),1)</f>
        <v>1.14805557170261</v>
      </c>
      <c r="C119" s="168">
        <f>IFERROR((VLOOKUP(A119,'Team Stats'!$B$2:$T$366,5,0)+0.44*VLOOKUP(A119,'Team Stats'!$B$2:$T$366,11,0)+VLOOKUP(A119,'Team Stats'!$B$2:$T$366,19,0)-VLOOKUP(A119,'Team Stats'!$B$2:$T$366,13,0)),70)</f>
        <v>68.811999999999998</v>
      </c>
      <c r="D119" s="168">
        <f>IFERROR(VLOOKUP(A119,'Opponents stats vs'!$B$2:$D$366,3,0)/C119,1.05)</f>
        <v>1.0724873568563622</v>
      </c>
      <c r="E119" s="169">
        <f>IFERROR(VLOOKUP(A119,SOS!A:C,3,0),200)</f>
        <v>232</v>
      </c>
      <c r="F119">
        <f>IFERROR(VLOOKUP(A119,SOS!A:D,4,0),200)</f>
        <v>272</v>
      </c>
      <c r="G119">
        <f>B119*((366-F119)/365)^'Enhanced Matchup Model'!$F$14</f>
        <v>1.0727651587909686</v>
      </c>
      <c r="H119">
        <f>D119*(2-((366-F119)/365)^'Enhanced Matchup Model'!$F$14)</f>
        <v>1.1428219451206552</v>
      </c>
    </row>
    <row r="120" spans="1:8" ht="15" customHeight="1" x14ac:dyDescent="0.25">
      <c r="A120" s="170" t="s">
        <v>39</v>
      </c>
      <c r="B120" s="168">
        <f>IFERROR(VLOOKUP(A120,'Team Stats'!$B$2:$T$366,3,0)/(VLOOKUP(A120,'Team Stats'!$B$2:$T$366,5,0)+0.44*VLOOKUP(A120,'Team Stats'!$B$2:$T$366,11,0)+VLOOKUP(A120,'Team Stats'!$B$2:$T$366,19,0)-VLOOKUP(A120,'Team Stats'!$B$2:$T$366,13,0)),1)</f>
        <v>1.2692261475606827</v>
      </c>
      <c r="C120" s="168">
        <f>IFERROR((VLOOKUP(A120,'Team Stats'!$B$2:$T$366,5,0)+0.44*VLOOKUP(A120,'Team Stats'!$B$2:$T$366,11,0)+VLOOKUP(A120,'Team Stats'!$B$2:$T$366,19,0)-VLOOKUP(A120,'Team Stats'!$B$2:$T$366,13,0)),70)</f>
        <v>66.575999999999993</v>
      </c>
      <c r="D120" s="168">
        <f>IFERROR(VLOOKUP(A120,'Opponents stats vs'!$B$2:$D$366,3,0)/C120,1.05)</f>
        <v>1.0364095169430427</v>
      </c>
      <c r="E120" s="169">
        <f>IFERROR(VLOOKUP(A120,SOS!A:C,3,0),200)</f>
        <v>9</v>
      </c>
      <c r="F120">
        <f>IFERROR(VLOOKUP(A120,SOS!A:D,4,0),200)</f>
        <v>12</v>
      </c>
      <c r="G120">
        <f>B120*((366-F120)/365)^'Enhanced Matchup Model'!$F$14</f>
        <v>1.2672856884545924</v>
      </c>
      <c r="H120">
        <f>D120*(2-((366-F120)/365)^'Enhanced Matchup Model'!$F$14)</f>
        <v>1.0379940338462408</v>
      </c>
    </row>
    <row r="121" spans="1:8" ht="15" customHeight="1" x14ac:dyDescent="0.25">
      <c r="A121" s="167" t="s">
        <v>282</v>
      </c>
      <c r="B121" s="168">
        <f>IFERROR(VLOOKUP(A121,'Team Stats'!$B$2:$T$366,3,0)/(VLOOKUP(A121,'Team Stats'!$B$2:$T$366,5,0)+0.44*VLOOKUP(A121,'Team Stats'!$B$2:$T$366,11,0)+VLOOKUP(A121,'Team Stats'!$B$2:$T$366,19,0)-VLOOKUP(A121,'Team Stats'!$B$2:$T$366,13,0)),1)</f>
        <v>1.1255783604223515</v>
      </c>
      <c r="C121" s="168">
        <f>IFERROR((VLOOKUP(A121,'Team Stats'!$B$2:$T$366,5,0)+0.44*VLOOKUP(A121,'Team Stats'!$B$2:$T$366,11,0)+VLOOKUP(A121,'Team Stats'!$B$2:$T$366,19,0)-VLOOKUP(A121,'Team Stats'!$B$2:$T$366,13,0)),70)</f>
        <v>67.432000000000002</v>
      </c>
      <c r="D121" s="168">
        <f>IFERROR(VLOOKUP(A121,'Opponents stats vs'!$B$2:$D$366,3,0)/C121,1.05)</f>
        <v>1.0128722268359236</v>
      </c>
      <c r="E121" s="169">
        <f>IFERROR(VLOOKUP(A121,SOS!A:C,3,0),200)</f>
        <v>85</v>
      </c>
      <c r="F121">
        <f>IFERROR(VLOOKUP(A121,SOS!A:D,4,0),200)</f>
        <v>128</v>
      </c>
      <c r="G121">
        <f>B121*((366-F121)/365)^'Enhanced Matchup Model'!$F$14</f>
        <v>1.1017674551314518</v>
      </c>
      <c r="H121">
        <f>D121*(2-((366-F121)/365)^'Enhanced Matchup Model'!$F$14)</f>
        <v>1.0342989044560613</v>
      </c>
    </row>
    <row r="122" spans="1:8" ht="15" customHeight="1" x14ac:dyDescent="0.25">
      <c r="A122" s="170" t="s">
        <v>283</v>
      </c>
      <c r="B122" s="168">
        <f>IFERROR(VLOOKUP(A122,'Team Stats'!$B$2:$T$366,3,0)/(VLOOKUP(A122,'Team Stats'!$B$2:$T$366,5,0)+0.44*VLOOKUP(A122,'Team Stats'!$B$2:$T$366,11,0)+VLOOKUP(A122,'Team Stats'!$B$2:$T$366,19,0)-VLOOKUP(A122,'Team Stats'!$B$2:$T$366,13,0)),1)</f>
        <v>1.1266452356402012</v>
      </c>
      <c r="C122" s="168">
        <f>IFERROR((VLOOKUP(A122,'Team Stats'!$B$2:$T$366,5,0)+0.44*VLOOKUP(A122,'Team Stats'!$B$2:$T$366,11,0)+VLOOKUP(A122,'Team Stats'!$B$2:$T$366,19,0)-VLOOKUP(A122,'Team Stats'!$B$2:$T$366,13,0)),70)</f>
        <v>65.948000000000008</v>
      </c>
      <c r="D122" s="168">
        <f>IFERROR(VLOOKUP(A122,'Opponents stats vs'!$B$2:$D$366,3,0)/C122,1.05)</f>
        <v>1.1175471583671983</v>
      </c>
      <c r="E122" s="169">
        <f>IFERROR(VLOOKUP(A122,SOS!A:C,3,0),200)</f>
        <v>237</v>
      </c>
      <c r="F122">
        <f>IFERROR(VLOOKUP(A122,SOS!A:D,4,0),200)</f>
        <v>202</v>
      </c>
      <c r="G122">
        <f>B122*((366-F122)/365)^'Enhanced Matchup Model'!$F$14</f>
        <v>1.0824671702671886</v>
      </c>
      <c r="H122">
        <f>D122*(2-((366-F122)/365)^'Enhanced Matchup Model'!$F$14)</f>
        <v>1.1613684695110884</v>
      </c>
    </row>
    <row r="123" spans="1:8" ht="15" customHeight="1" x14ac:dyDescent="0.25">
      <c r="A123" s="167" t="s">
        <v>93</v>
      </c>
      <c r="B123" s="168">
        <f>IFERROR(VLOOKUP(A123,'Team Stats'!$B$2:$T$366,3,0)/(VLOOKUP(A123,'Team Stats'!$B$2:$T$366,5,0)+0.44*VLOOKUP(A123,'Team Stats'!$B$2:$T$366,11,0)+VLOOKUP(A123,'Team Stats'!$B$2:$T$366,19,0)-VLOOKUP(A123,'Team Stats'!$B$2:$T$366,13,0)),1)</f>
        <v>1.1767344497607657</v>
      </c>
      <c r="C123" s="168">
        <f>IFERROR((VLOOKUP(A123,'Team Stats'!$B$2:$T$366,5,0)+0.44*VLOOKUP(A123,'Team Stats'!$B$2:$T$366,11,0)+VLOOKUP(A123,'Team Stats'!$B$2:$T$366,19,0)-VLOOKUP(A123,'Team Stats'!$B$2:$T$366,13,0)),70)</f>
        <v>66.88</v>
      </c>
      <c r="D123" s="168">
        <f>IFERROR(VLOOKUP(A123,'Opponents stats vs'!$B$2:$D$366,3,0)/C123,1.05)</f>
        <v>1.069078947368421</v>
      </c>
      <c r="E123" s="169">
        <f>IFERROR(VLOOKUP(A123,SOS!A:C,3,0),200)</f>
        <v>53</v>
      </c>
      <c r="F123">
        <f>IFERROR(VLOOKUP(A123,SOS!A:D,4,0),200)</f>
        <v>44</v>
      </c>
      <c r="G123">
        <f>B123*((366-F123)/365)^'Enhanced Matchup Model'!$F$14</f>
        <v>1.1693825754682481</v>
      </c>
      <c r="H123">
        <f>D123*(2-((366-F123)/365)^'Enhanced Matchup Model'!$F$14)</f>
        <v>1.0757582232504415</v>
      </c>
    </row>
    <row r="124" spans="1:8" ht="15" customHeight="1" x14ac:dyDescent="0.25">
      <c r="A124" s="170" t="s">
        <v>284</v>
      </c>
      <c r="B124" s="168">
        <f>IFERROR(VLOOKUP(A124,'Team Stats'!$B$2:$T$366,3,0)/(VLOOKUP(A124,'Team Stats'!$B$2:$T$366,5,0)+0.44*VLOOKUP(A124,'Team Stats'!$B$2:$T$366,11,0)+VLOOKUP(A124,'Team Stats'!$B$2:$T$366,19,0)-VLOOKUP(A124,'Team Stats'!$B$2:$T$366,13,0)),1)</f>
        <v>1.05269180159048</v>
      </c>
      <c r="C124" s="168">
        <f>IFERROR((VLOOKUP(A124,'Team Stats'!$B$2:$T$366,5,0)+0.44*VLOOKUP(A124,'Team Stats'!$B$2:$T$366,11,0)+VLOOKUP(A124,'Team Stats'!$B$2:$T$366,19,0)-VLOOKUP(A124,'Team Stats'!$B$2:$T$366,13,0)),70)</f>
        <v>69.915999999999997</v>
      </c>
      <c r="D124" s="168">
        <f>IFERROR(VLOOKUP(A124,'Opponents stats vs'!$B$2:$D$366,3,0)/C124,1.05)</f>
        <v>1.065564391555581</v>
      </c>
      <c r="E124" s="169">
        <f>IFERROR(VLOOKUP(A124,SOS!A:C,3,0),200)</f>
        <v>226</v>
      </c>
      <c r="F124">
        <f>IFERROR(VLOOKUP(A124,SOS!A:D,4,0),200)</f>
        <v>131</v>
      </c>
      <c r="G124">
        <f>B124*((366-F124)/365)^'Enhanced Matchup Model'!$F$14</f>
        <v>1.0297694191633147</v>
      </c>
      <c r="H124">
        <f>D124*(2-((366-F124)/365)^'Enhanced Matchup Model'!$F$14)</f>
        <v>1.0887670748548179</v>
      </c>
    </row>
    <row r="125" spans="1:8" ht="15" customHeight="1" x14ac:dyDescent="0.25">
      <c r="A125" s="167" t="s">
        <v>285</v>
      </c>
      <c r="B125" s="168">
        <f>IFERROR(VLOOKUP(A125,'Team Stats'!$B$2:$T$366,3,0)/(VLOOKUP(A125,'Team Stats'!$B$2:$T$366,5,0)+0.44*VLOOKUP(A125,'Team Stats'!$B$2:$T$366,11,0)+VLOOKUP(A125,'Team Stats'!$B$2:$T$366,19,0)-VLOOKUP(A125,'Team Stats'!$B$2:$T$366,13,0)),1)</f>
        <v>1.0686978683966635</v>
      </c>
      <c r="C125" s="168">
        <f>IFERROR((VLOOKUP(A125,'Team Stats'!$B$2:$T$366,5,0)+0.44*VLOOKUP(A125,'Team Stats'!$B$2:$T$366,11,0)+VLOOKUP(A125,'Team Stats'!$B$2:$T$366,19,0)-VLOOKUP(A125,'Team Stats'!$B$2:$T$366,13,0)),70)</f>
        <v>69.055999999999997</v>
      </c>
      <c r="D125" s="168">
        <f>IFERROR(VLOOKUP(A125,'Opponents stats vs'!$B$2:$D$366,3,0)/C125,1.05)</f>
        <v>1.0585611677479148</v>
      </c>
      <c r="E125" s="169">
        <f>IFERROR(VLOOKUP(A125,SOS!A:C,3,0),200)</f>
        <v>283</v>
      </c>
      <c r="F125">
        <f>IFERROR(VLOOKUP(A125,SOS!A:D,4,0),200)</f>
        <v>327</v>
      </c>
      <c r="G125">
        <f>B125*((366-F125)/365)^'Enhanced Matchup Model'!$F$14</f>
        <v>0.95563826311291278</v>
      </c>
      <c r="H125">
        <f>D125*(2-((366-F125)/365)^'Enhanced Matchup Model'!$F$14)</f>
        <v>1.1705483919517385</v>
      </c>
    </row>
    <row r="126" spans="1:8" ht="15" customHeight="1" x14ac:dyDescent="0.25">
      <c r="A126" s="170" t="s">
        <v>69</v>
      </c>
      <c r="B126" s="168">
        <f>IFERROR(VLOOKUP(A126,'Team Stats'!$B$2:$T$366,3,0)/(VLOOKUP(A126,'Team Stats'!$B$2:$T$366,5,0)+0.44*VLOOKUP(A126,'Team Stats'!$B$2:$T$366,11,0)+VLOOKUP(A126,'Team Stats'!$B$2:$T$366,19,0)-VLOOKUP(A126,'Team Stats'!$B$2:$T$366,13,0)),1)</f>
        <v>1.2047807746388854</v>
      </c>
      <c r="C126" s="168">
        <f>IFERROR((VLOOKUP(A126,'Team Stats'!$B$2:$T$366,5,0)+0.44*VLOOKUP(A126,'Team Stats'!$B$2:$T$366,11,0)+VLOOKUP(A126,'Team Stats'!$B$2:$T$366,19,0)-VLOOKUP(A126,'Team Stats'!$B$2:$T$366,13,0)),70)</f>
        <v>62.584000000000003</v>
      </c>
      <c r="D126" s="168">
        <f>IFERROR(VLOOKUP(A126,'Opponents stats vs'!$B$2:$D$366,3,0)/C126,1.05)</f>
        <v>1.0417998210405215</v>
      </c>
      <c r="E126" s="169">
        <f>IFERROR(VLOOKUP(A126,SOS!A:C,3,0),200)</f>
        <v>44</v>
      </c>
      <c r="F126">
        <f>IFERROR(VLOOKUP(A126,SOS!A:D,4,0),200)</f>
        <v>58</v>
      </c>
      <c r="G126">
        <f>B126*((366-F126)/365)^'Enhanced Matchup Model'!$F$14</f>
        <v>1.1945956287093007</v>
      </c>
      <c r="H126">
        <f>D126*(2-((366-F126)/365)^'Enhanced Matchup Model'!$F$14)</f>
        <v>1.0506071355578812</v>
      </c>
    </row>
    <row r="127" spans="1:8" ht="15" customHeight="1" x14ac:dyDescent="0.25">
      <c r="A127" s="167" t="s">
        <v>33</v>
      </c>
      <c r="B127" s="168">
        <f>IFERROR(VLOOKUP(A127,'Team Stats'!$B$2:$T$366,3,0)/(VLOOKUP(A127,'Team Stats'!$B$2:$T$366,5,0)+0.44*VLOOKUP(A127,'Team Stats'!$B$2:$T$366,11,0)+VLOOKUP(A127,'Team Stats'!$B$2:$T$366,19,0)-VLOOKUP(A127,'Team Stats'!$B$2:$T$366,13,0)),1)</f>
        <v>1.2071720220131368</v>
      </c>
      <c r="C127" s="168">
        <f>IFERROR((VLOOKUP(A127,'Team Stats'!$B$2:$T$366,5,0)+0.44*VLOOKUP(A127,'Team Stats'!$B$2:$T$366,11,0)+VLOOKUP(A127,'Team Stats'!$B$2:$T$366,19,0)-VLOOKUP(A127,'Team Stats'!$B$2:$T$366,13,0)),70)</f>
        <v>67.596000000000004</v>
      </c>
      <c r="D127" s="168">
        <f>IFERROR(VLOOKUP(A127,'Opponents stats vs'!$B$2:$D$366,3,0)/C127,1.05)</f>
        <v>0.97343038049588726</v>
      </c>
      <c r="E127" s="169">
        <f>IFERROR(VLOOKUP(A127,SOS!A:C,3,0),200)</f>
        <v>19</v>
      </c>
      <c r="F127">
        <f>IFERROR(VLOOKUP(A127,SOS!A:D,4,0),200)</f>
        <v>51</v>
      </c>
      <c r="G127">
        <f>B127*((366-F127)/365)^'Enhanced Matchup Model'!$F$14</f>
        <v>1.1983123794919108</v>
      </c>
      <c r="H127">
        <f>D127*(2-((366-F127)/365)^'Enhanced Matchup Model'!$F$14)</f>
        <v>0.98057455301913077</v>
      </c>
    </row>
    <row r="128" spans="1:8" ht="15" customHeight="1" x14ac:dyDescent="0.25">
      <c r="A128" s="170" t="s">
        <v>286</v>
      </c>
      <c r="B128" s="168">
        <f>IFERROR(VLOOKUP(A128,'Team Stats'!$B$2:$T$366,3,0)/(VLOOKUP(A128,'Team Stats'!$B$2:$T$366,5,0)+0.44*VLOOKUP(A128,'Team Stats'!$B$2:$T$366,11,0)+VLOOKUP(A128,'Team Stats'!$B$2:$T$366,19,0)-VLOOKUP(A128,'Team Stats'!$B$2:$T$366,13,0)),1)</f>
        <v>0.99588105851153841</v>
      </c>
      <c r="C128" s="168">
        <f>IFERROR((VLOOKUP(A128,'Team Stats'!$B$2:$T$366,5,0)+0.44*VLOOKUP(A128,'Team Stats'!$B$2:$T$366,11,0)+VLOOKUP(A128,'Team Stats'!$B$2:$T$366,19,0)-VLOOKUP(A128,'Team Stats'!$B$2:$T$366,13,0)),70)</f>
        <v>70.89200000000001</v>
      </c>
      <c r="D128" s="168">
        <f>IFERROR(VLOOKUP(A128,'Opponents stats vs'!$B$2:$D$366,3,0)/C128,1.05)</f>
        <v>1.1961857473339725</v>
      </c>
      <c r="E128" s="169">
        <f>IFERROR(VLOOKUP(A128,SOS!A:C,3,0),200)</f>
        <v>240</v>
      </c>
      <c r="F128">
        <f>IFERROR(VLOOKUP(A128,SOS!A:D,4,0),200)</f>
        <v>214</v>
      </c>
      <c r="G128">
        <f>B128*((366-F128)/365)^'Enhanced Matchup Model'!$F$14</f>
        <v>0.95320213939025744</v>
      </c>
      <c r="H128">
        <f>D128*(2-((366-F128)/365)^'Enhanced Matchup Model'!$F$14)</f>
        <v>1.2474488116609503</v>
      </c>
    </row>
    <row r="129" spans="1:8" ht="15" customHeight="1" x14ac:dyDescent="0.25">
      <c r="A129" s="167" t="s">
        <v>287</v>
      </c>
      <c r="B129" s="168">
        <f>IFERROR(VLOOKUP(A129,'Team Stats'!$B$2:$T$366,3,0)/(VLOOKUP(A129,'Team Stats'!$B$2:$T$366,5,0)+0.44*VLOOKUP(A129,'Team Stats'!$B$2:$T$366,11,0)+VLOOKUP(A129,'Team Stats'!$B$2:$T$366,19,0)-VLOOKUP(A129,'Team Stats'!$B$2:$T$366,13,0)),1)</f>
        <v>1.1077100254576311</v>
      </c>
      <c r="C129" s="168">
        <f>IFERROR((VLOOKUP(A129,'Team Stats'!$B$2:$T$366,5,0)+0.44*VLOOKUP(A129,'Team Stats'!$B$2:$T$366,11,0)+VLOOKUP(A129,'Team Stats'!$B$2:$T$366,19,0)-VLOOKUP(A129,'Team Stats'!$B$2:$T$366,13,0)),70)</f>
        <v>65.992000000000004</v>
      </c>
      <c r="D129" s="168">
        <f>IFERROR(VLOOKUP(A129,'Opponents stats vs'!$B$2:$D$366,3,0)/C129,1.05)</f>
        <v>1.1122560310340648</v>
      </c>
      <c r="E129" s="169">
        <f>IFERROR(VLOOKUP(A129,SOS!A:C,3,0),200)</f>
        <v>272</v>
      </c>
      <c r="F129">
        <f>IFERROR(VLOOKUP(A129,SOS!A:D,4,0),200)</f>
        <v>245</v>
      </c>
      <c r="G129">
        <f>B129*((366-F129)/365)^'Enhanced Matchup Model'!$F$14</f>
        <v>1.0482158241785922</v>
      </c>
      <c r="H129">
        <f>D129*(2-((366-F129)/365)^'Enhanced Matchup Model'!$F$14)</f>
        <v>1.1719943945618547</v>
      </c>
    </row>
    <row r="130" spans="1:8" ht="15" customHeight="1" x14ac:dyDescent="0.25">
      <c r="A130" s="170" t="s">
        <v>288</v>
      </c>
      <c r="B130" s="168">
        <f>IFERROR(VLOOKUP(A130,'Team Stats'!$B$2:$T$366,3,0)/(VLOOKUP(A130,'Team Stats'!$B$2:$T$366,5,0)+0.44*VLOOKUP(A130,'Team Stats'!$B$2:$T$366,11,0)+VLOOKUP(A130,'Team Stats'!$B$2:$T$366,19,0)-VLOOKUP(A130,'Team Stats'!$B$2:$T$366,13,0)),1)</f>
        <v>1.1010635101844619</v>
      </c>
      <c r="C130" s="168">
        <f>IFERROR((VLOOKUP(A130,'Team Stats'!$B$2:$T$366,5,0)+0.44*VLOOKUP(A130,'Team Stats'!$B$2:$T$366,11,0)+VLOOKUP(A130,'Team Stats'!$B$2:$T$366,19,0)-VLOOKUP(A130,'Team Stats'!$B$2:$T$366,13,0)),70)</f>
        <v>66.572000000000003</v>
      </c>
      <c r="D130" s="168">
        <f>IFERROR(VLOOKUP(A130,'Opponents stats vs'!$B$2:$D$366,3,0)/C130,1.05)</f>
        <v>1.030463257826113</v>
      </c>
      <c r="E130" s="169">
        <f>IFERROR(VLOOKUP(A130,SOS!A:C,3,0),200)</f>
        <v>215</v>
      </c>
      <c r="F130">
        <f>IFERROR(VLOOKUP(A130,SOS!A:D,4,0),200)</f>
        <v>200</v>
      </c>
      <c r="G130">
        <f>B130*((366-F130)/365)^'Enhanced Matchup Model'!$F$14</f>
        <v>1.058529903379805</v>
      </c>
      <c r="H130">
        <f>D130*(2-((366-F130)/365)^'Enhanced Matchup Model'!$F$14)</f>
        <v>1.0702696074413853</v>
      </c>
    </row>
    <row r="131" spans="1:8" ht="15" customHeight="1" x14ac:dyDescent="0.25">
      <c r="A131" s="167" t="s">
        <v>289</v>
      </c>
      <c r="B131" s="168">
        <f>IFERROR(VLOOKUP(A131,'Team Stats'!$B$2:$T$366,3,0)/(VLOOKUP(A131,'Team Stats'!$B$2:$T$366,5,0)+0.44*VLOOKUP(A131,'Team Stats'!$B$2:$T$366,11,0)+VLOOKUP(A131,'Team Stats'!$B$2:$T$366,19,0)-VLOOKUP(A131,'Team Stats'!$B$2:$T$366,13,0)),1)</f>
        <v>1.1140020336144505</v>
      </c>
      <c r="C131" s="168">
        <f>IFERROR((VLOOKUP(A131,'Team Stats'!$B$2:$T$366,5,0)+0.44*VLOOKUP(A131,'Team Stats'!$B$2:$T$366,11,0)+VLOOKUP(A131,'Team Stats'!$B$2:$T$366,19,0)-VLOOKUP(A131,'Team Stats'!$B$2:$T$366,13,0)),70)</f>
        <v>66.876000000000005</v>
      </c>
      <c r="D131" s="168">
        <f>IFERROR(VLOOKUP(A131,'Opponents stats vs'!$B$2:$D$366,3,0)/C131,1.05)</f>
        <v>1.103534900412704</v>
      </c>
      <c r="E131" s="169">
        <f>IFERROR(VLOOKUP(A131,SOS!A:C,3,0),200)</f>
        <v>192</v>
      </c>
      <c r="F131">
        <f>IFERROR(VLOOKUP(A131,SOS!A:D,4,0),200)</f>
        <v>228</v>
      </c>
      <c r="G131">
        <f>B131*((366-F131)/365)^'Enhanced Matchup Model'!$F$14</f>
        <v>1.0611219413252364</v>
      </c>
      <c r="H131">
        <f>D131*(2-((366-F131)/365)^'Enhanced Matchup Model'!$F$14)</f>
        <v>1.1559181327743684</v>
      </c>
    </row>
    <row r="132" spans="1:8" ht="15" customHeight="1" x14ac:dyDescent="0.25">
      <c r="A132" s="170" t="s">
        <v>290</v>
      </c>
      <c r="B132" s="168">
        <f>IFERROR(VLOOKUP(A132,'Team Stats'!$B$2:$T$366,3,0)/(VLOOKUP(A132,'Team Stats'!$B$2:$T$366,5,0)+0.44*VLOOKUP(A132,'Team Stats'!$B$2:$T$366,11,0)+VLOOKUP(A132,'Team Stats'!$B$2:$T$366,19,0)-VLOOKUP(A132,'Team Stats'!$B$2:$T$366,13,0)),1)</f>
        <v>0.97156796769851961</v>
      </c>
      <c r="C132" s="168">
        <f>IFERROR((VLOOKUP(A132,'Team Stats'!$B$2:$T$366,5,0)+0.44*VLOOKUP(A132,'Team Stats'!$B$2:$T$366,11,0)+VLOOKUP(A132,'Team Stats'!$B$2:$T$366,19,0)-VLOOKUP(A132,'Team Stats'!$B$2:$T$366,13,0)),70)</f>
        <v>71.327999999999989</v>
      </c>
      <c r="D132" s="168">
        <f>IFERROR(VLOOKUP(A132,'Opponents stats vs'!$B$2:$D$366,3,0)/C132,1.05)</f>
        <v>1.1762561686855095</v>
      </c>
      <c r="E132" s="169">
        <f>IFERROR(VLOOKUP(A132,SOS!A:C,3,0),200)</f>
        <v>360</v>
      </c>
      <c r="F132">
        <f>IFERROR(VLOOKUP(A132,SOS!A:D,4,0),200)</f>
        <v>232</v>
      </c>
      <c r="G132">
        <f>B132*((366-F132)/365)^'Enhanced Matchup Model'!$F$14</f>
        <v>0.92408896575645927</v>
      </c>
      <c r="H132">
        <f>D132*(2-((366-F132)/365)^'Enhanced Matchup Model'!$F$14)</f>
        <v>1.2337379618015105</v>
      </c>
    </row>
    <row r="133" spans="1:8" ht="15" customHeight="1" x14ac:dyDescent="0.25">
      <c r="A133" s="167" t="s">
        <v>53</v>
      </c>
      <c r="B133" s="168">
        <f>IFERROR(VLOOKUP(A133,'Team Stats'!$B$2:$T$366,3,0)/(VLOOKUP(A133,'Team Stats'!$B$2:$T$366,5,0)+0.44*VLOOKUP(A133,'Team Stats'!$B$2:$T$366,11,0)+VLOOKUP(A133,'Team Stats'!$B$2:$T$366,19,0)-VLOOKUP(A133,'Team Stats'!$B$2:$T$366,13,0)),1)</f>
        <v>1.1155049282889686</v>
      </c>
      <c r="C133" s="168">
        <f>IFERROR((VLOOKUP(A133,'Team Stats'!$B$2:$T$366,5,0)+0.44*VLOOKUP(A133,'Team Stats'!$B$2:$T$366,11,0)+VLOOKUP(A133,'Team Stats'!$B$2:$T$366,19,0)-VLOOKUP(A133,'Team Stats'!$B$2:$T$366,13,0)),70)</f>
        <v>67.772000000000006</v>
      </c>
      <c r="D133" s="168">
        <f>IFERROR(VLOOKUP(A133,'Opponents stats vs'!$B$2:$D$366,3,0)/C133,1.05)</f>
        <v>1.0151685061677387</v>
      </c>
      <c r="E133" s="169">
        <f>IFERROR(VLOOKUP(A133,SOS!A:C,3,0),200)</f>
        <v>17</v>
      </c>
      <c r="F133">
        <f>IFERROR(VLOOKUP(A133,SOS!A:D,4,0),200)</f>
        <v>3</v>
      </c>
      <c r="G133">
        <f>B133*((366-F133)/365)^'Enhanced Matchup Model'!$F$14</f>
        <v>1.1151985122122519</v>
      </c>
      <c r="H133">
        <f>D133*(2-((366-F133)/365)^'Enhanced Matchup Model'!$F$14)</f>
        <v>1.0154473610100418</v>
      </c>
    </row>
    <row r="134" spans="1:8" ht="15" customHeight="1" x14ac:dyDescent="0.25">
      <c r="A134" s="170" t="s">
        <v>291</v>
      </c>
      <c r="B134" s="168">
        <f>IFERROR(VLOOKUP(A134,'Team Stats'!$B$2:$T$366,3,0)/(VLOOKUP(A134,'Team Stats'!$B$2:$T$366,5,0)+0.44*VLOOKUP(A134,'Team Stats'!$B$2:$T$366,11,0)+VLOOKUP(A134,'Team Stats'!$B$2:$T$366,19,0)-VLOOKUP(A134,'Team Stats'!$B$2:$T$366,13,0)),1)</f>
        <v>1.0829632066677632</v>
      </c>
      <c r="C134" s="168">
        <f>IFERROR((VLOOKUP(A134,'Team Stats'!$B$2:$T$366,5,0)+0.44*VLOOKUP(A134,'Team Stats'!$B$2:$T$366,11,0)+VLOOKUP(A134,'Team Stats'!$B$2:$T$366,19,0)-VLOOKUP(A134,'Team Stats'!$B$2:$T$366,13,0)),70)</f>
        <v>72.948000000000008</v>
      </c>
      <c r="D134" s="168">
        <f>IFERROR(VLOOKUP(A134,'Opponents stats vs'!$B$2:$D$366,3,0)/C134,1.05)</f>
        <v>1.1007841201952073</v>
      </c>
      <c r="E134" s="169">
        <f>IFERROR(VLOOKUP(A134,SOS!A:C,3,0),200)</f>
        <v>117</v>
      </c>
      <c r="F134">
        <f>IFERROR(VLOOKUP(A134,SOS!A:D,4,0),200)</f>
        <v>34</v>
      </c>
      <c r="G134">
        <f>B134*((366-F134)/365)^'Enhanced Matchup Model'!$F$14</f>
        <v>1.0778441348324843</v>
      </c>
      <c r="H134">
        <f>D134*(2-((366-F134)/365)^'Enhanced Matchup Model'!$F$14)</f>
        <v>1.1059874299214467</v>
      </c>
    </row>
    <row r="135" spans="1:8" ht="15" customHeight="1" x14ac:dyDescent="0.25">
      <c r="A135" s="167" t="s">
        <v>292</v>
      </c>
      <c r="B135" s="168">
        <f>IFERROR(VLOOKUP(A135,'Team Stats'!$B$2:$T$366,3,0)/(VLOOKUP(A135,'Team Stats'!$B$2:$T$366,5,0)+0.44*VLOOKUP(A135,'Team Stats'!$B$2:$T$366,11,0)+VLOOKUP(A135,'Team Stats'!$B$2:$T$366,19,0)-VLOOKUP(A135,'Team Stats'!$B$2:$T$366,13,0)),1)</f>
        <v>1.1585095781198096</v>
      </c>
      <c r="C135" s="168">
        <f>IFERROR((VLOOKUP(A135,'Team Stats'!$B$2:$T$366,5,0)+0.44*VLOOKUP(A135,'Team Stats'!$B$2:$T$366,11,0)+VLOOKUP(A135,'Team Stats'!$B$2:$T$366,19,0)-VLOOKUP(A135,'Team Stats'!$B$2:$T$366,13,0)),70)</f>
        <v>72.248000000000005</v>
      </c>
      <c r="D135" s="168">
        <f>IFERROR(VLOOKUP(A135,'Opponents stats vs'!$B$2:$D$366,3,0)/C135,1.05)</f>
        <v>1.0547004761377476</v>
      </c>
      <c r="E135" s="169">
        <f>IFERROR(VLOOKUP(A135,SOS!A:C,3,0),200)</f>
        <v>167</v>
      </c>
      <c r="F135">
        <f>IFERROR(VLOOKUP(A135,SOS!A:D,4,0),200)</f>
        <v>201</v>
      </c>
      <c r="G135">
        <f>B135*((366-F135)/365)^'Enhanced Matchup Model'!$F$14</f>
        <v>1.1134204219424704</v>
      </c>
      <c r="H135">
        <f>D135*(2-((366-F135)/365)^'Enhanced Matchup Model'!$F$14)</f>
        <v>1.0957493853457911</v>
      </c>
    </row>
    <row r="136" spans="1:8" ht="15" customHeight="1" x14ac:dyDescent="0.25">
      <c r="A136" s="170" t="s">
        <v>293</v>
      </c>
      <c r="B136" s="168">
        <f>IFERROR(VLOOKUP(A136,'Team Stats'!$B$2:$T$366,3,0)/(VLOOKUP(A136,'Team Stats'!$B$2:$T$366,5,0)+0.44*VLOOKUP(A136,'Team Stats'!$B$2:$T$366,11,0)+VLOOKUP(A136,'Team Stats'!$B$2:$T$366,19,0)-VLOOKUP(A136,'Team Stats'!$B$2:$T$366,13,0)),1)</f>
        <v>1.1605206073752712</v>
      </c>
      <c r="C136" s="168">
        <f>IFERROR((VLOOKUP(A136,'Team Stats'!$B$2:$T$366,5,0)+0.44*VLOOKUP(A136,'Team Stats'!$B$2:$T$366,11,0)+VLOOKUP(A136,'Team Stats'!$B$2:$T$366,19,0)-VLOOKUP(A136,'Team Stats'!$B$2:$T$366,13,0)),70)</f>
        <v>73.759999999999991</v>
      </c>
      <c r="D136" s="168">
        <f>IFERROR(VLOOKUP(A136,'Opponents stats vs'!$B$2:$D$366,3,0)/C136,1.05)</f>
        <v>1.0845986984815619</v>
      </c>
      <c r="E136" s="169">
        <f>IFERROR(VLOOKUP(A136,SOS!A:C,3,0),200)</f>
        <v>120</v>
      </c>
      <c r="F136">
        <f>IFERROR(VLOOKUP(A136,SOS!A:D,4,0),200)</f>
        <v>209</v>
      </c>
      <c r="G136">
        <f>B136*((366-F136)/365)^'Enhanced Matchup Model'!$F$14</f>
        <v>1.1125849887113604</v>
      </c>
      <c r="H136">
        <f>D136*(2-((366-F136)/365)^'Enhanced Matchup Model'!$F$14)</f>
        <v>1.1293983420926934</v>
      </c>
    </row>
    <row r="137" spans="1:8" ht="15" customHeight="1" x14ac:dyDescent="0.25">
      <c r="A137" s="167" t="s">
        <v>94</v>
      </c>
      <c r="B137" s="168">
        <f>IFERROR(VLOOKUP(A137,'Team Stats'!$B$2:$T$366,3,0)/(VLOOKUP(A137,'Team Stats'!$B$2:$T$366,5,0)+0.44*VLOOKUP(A137,'Team Stats'!$B$2:$T$366,11,0)+VLOOKUP(A137,'Team Stats'!$B$2:$T$366,19,0)-VLOOKUP(A137,'Team Stats'!$B$2:$T$366,13,0)),1)</f>
        <v>1.1808739047176928</v>
      </c>
      <c r="C137" s="168">
        <f>IFERROR((VLOOKUP(A137,'Team Stats'!$B$2:$T$366,5,0)+0.44*VLOOKUP(A137,'Team Stats'!$B$2:$T$366,11,0)+VLOOKUP(A137,'Team Stats'!$B$2:$T$366,19,0)-VLOOKUP(A137,'Team Stats'!$B$2:$T$366,13,0)),70)</f>
        <v>68.932000000000002</v>
      </c>
      <c r="D137" s="168">
        <f>IFERROR(VLOOKUP(A137,'Opponents stats vs'!$B$2:$D$366,3,0)/C137,1.05)</f>
        <v>1.0648175013056347</v>
      </c>
      <c r="E137" s="169">
        <f>IFERROR(VLOOKUP(A137,SOS!A:C,3,0),200)</f>
        <v>27</v>
      </c>
      <c r="F137">
        <f>IFERROR(VLOOKUP(A137,SOS!A:D,4,0),200)</f>
        <v>15</v>
      </c>
      <c r="G137">
        <f>B137*((366-F137)/365)^'Enhanced Matchup Model'!$F$14</f>
        <v>1.1785668955493553</v>
      </c>
      <c r="H137">
        <f>D137*(2-((366-F137)/365)^'Enhanced Matchup Model'!$F$14)</f>
        <v>1.066897777386175</v>
      </c>
    </row>
    <row r="138" spans="1:8" ht="15" customHeight="1" x14ac:dyDescent="0.25">
      <c r="A138" s="170" t="s">
        <v>294</v>
      </c>
      <c r="B138" s="168">
        <f>IFERROR(VLOOKUP(A138,'Team Stats'!$B$2:$T$366,3,0)/(VLOOKUP(A138,'Team Stats'!$B$2:$T$366,5,0)+0.44*VLOOKUP(A138,'Team Stats'!$B$2:$T$366,11,0)+VLOOKUP(A138,'Team Stats'!$B$2:$T$366,19,0)-VLOOKUP(A138,'Team Stats'!$B$2:$T$366,13,0)),1)</f>
        <v>1.1721008209041506</v>
      </c>
      <c r="C138" s="168">
        <f>IFERROR((VLOOKUP(A138,'Team Stats'!$B$2:$T$366,5,0)+0.44*VLOOKUP(A138,'Team Stats'!$B$2:$T$366,11,0)+VLOOKUP(A138,'Team Stats'!$B$2:$T$366,19,0)-VLOOKUP(A138,'Team Stats'!$B$2:$T$366,13,0)),70)</f>
        <v>69.192000000000007</v>
      </c>
      <c r="D138" s="168">
        <f>IFERROR(VLOOKUP(A138,'Opponents stats vs'!$B$2:$D$366,3,0)/C138,1.05)</f>
        <v>1.1229621921609434</v>
      </c>
      <c r="E138" s="169">
        <f>IFERROR(VLOOKUP(A138,SOS!A:C,3,0),200)</f>
        <v>96</v>
      </c>
      <c r="F138">
        <f>IFERROR(VLOOKUP(A138,SOS!A:D,4,0),200)</f>
        <v>67</v>
      </c>
      <c r="G138">
        <f>B138*((366-F138)/365)^'Enhanced Matchup Model'!$F$14</f>
        <v>1.1604699160233773</v>
      </c>
      <c r="H138">
        <f>D138*(2-((366-F138)/365)^'Enhanced Matchup Model'!$F$14)</f>
        <v>1.1341054882057779</v>
      </c>
    </row>
    <row r="139" spans="1:8" ht="15" customHeight="1" x14ac:dyDescent="0.25">
      <c r="A139" s="167" t="s">
        <v>295</v>
      </c>
      <c r="B139" s="168">
        <f>IFERROR(VLOOKUP(A139,'Team Stats'!$B$2:$T$366,3,0)/(VLOOKUP(A139,'Team Stats'!$B$2:$T$366,5,0)+0.44*VLOOKUP(A139,'Team Stats'!$B$2:$T$366,11,0)+VLOOKUP(A139,'Team Stats'!$B$2:$T$366,19,0)-VLOOKUP(A139,'Team Stats'!$B$2:$T$366,13,0)),1)</f>
        <v>1.011393407664656</v>
      </c>
      <c r="C139" s="168">
        <f>IFERROR((VLOOKUP(A139,'Team Stats'!$B$2:$T$366,5,0)+0.44*VLOOKUP(A139,'Team Stats'!$B$2:$T$366,11,0)+VLOOKUP(A139,'Team Stats'!$B$2:$T$366,19,0)-VLOOKUP(A139,'Team Stats'!$B$2:$T$366,13,0)),70)</f>
        <v>65.652000000000015</v>
      </c>
      <c r="D139" s="168">
        <f>IFERROR(VLOOKUP(A139,'Opponents stats vs'!$B$2:$D$366,3,0)/C139,1.05)</f>
        <v>1.108877109608237</v>
      </c>
      <c r="E139" s="169">
        <f>IFERROR(VLOOKUP(A139,SOS!A:C,3,0),200)</f>
        <v>206</v>
      </c>
      <c r="F139">
        <f>IFERROR(VLOOKUP(A139,SOS!A:D,4,0),200)</f>
        <v>82</v>
      </c>
      <c r="G139">
        <f>B139*((366-F139)/365)^'Enhanced Matchup Model'!$F$14</f>
        <v>0.99878357628548453</v>
      </c>
      <c r="H139">
        <f>D139*(2-((366-F139)/365)^'Enhanced Matchup Model'!$F$14)</f>
        <v>1.1227023464215455</v>
      </c>
    </row>
    <row r="140" spans="1:8" ht="15" customHeight="1" x14ac:dyDescent="0.25">
      <c r="A140" s="170" t="s">
        <v>296</v>
      </c>
      <c r="B140" s="168">
        <f>IFERROR(VLOOKUP(A140,'Team Stats'!$B$2:$T$366,3,0)/(VLOOKUP(A140,'Team Stats'!$B$2:$T$366,5,0)+0.44*VLOOKUP(A140,'Team Stats'!$B$2:$T$366,11,0)+VLOOKUP(A140,'Team Stats'!$B$2:$T$366,19,0)-VLOOKUP(A140,'Team Stats'!$B$2:$T$366,13,0)),1)</f>
        <v>1.0384868617944574</v>
      </c>
      <c r="C140" s="168">
        <f>IFERROR((VLOOKUP(A140,'Team Stats'!$B$2:$T$366,5,0)+0.44*VLOOKUP(A140,'Team Stats'!$B$2:$T$366,11,0)+VLOOKUP(A140,'Team Stats'!$B$2:$T$366,19,0)-VLOOKUP(A140,'Team Stats'!$B$2:$T$366,13,0)),70)</f>
        <v>66.828000000000003</v>
      </c>
      <c r="D140" s="168">
        <f>IFERROR(VLOOKUP(A140,'Opponents stats vs'!$B$2:$D$366,3,0)/C140,1.05)</f>
        <v>1.113305799964087</v>
      </c>
      <c r="E140" s="169">
        <f>IFERROR(VLOOKUP(A140,SOS!A:C,3,0),200)</f>
        <v>329</v>
      </c>
      <c r="F140">
        <f>IFERROR(VLOOKUP(A140,SOS!A:D,4,0),200)</f>
        <v>302</v>
      </c>
      <c r="G140">
        <f>B140*((366-F140)/365)^'Enhanced Matchup Model'!$F$14</f>
        <v>0.95190884445903245</v>
      </c>
      <c r="H140">
        <f>D140*(2-((366-F140)/365)^'Enhanced Matchup Model'!$F$14)</f>
        <v>1.2061214266176259</v>
      </c>
    </row>
    <row r="141" spans="1:8" ht="15" customHeight="1" x14ac:dyDescent="0.25">
      <c r="A141" s="167" t="s">
        <v>297</v>
      </c>
      <c r="B141" s="168">
        <f>IFERROR(VLOOKUP(A141,'Team Stats'!$B$2:$T$366,3,0)/(VLOOKUP(A141,'Team Stats'!$B$2:$T$366,5,0)+0.44*VLOOKUP(A141,'Team Stats'!$B$2:$T$366,11,0)+VLOOKUP(A141,'Team Stats'!$B$2:$T$366,19,0)-VLOOKUP(A141,'Team Stats'!$B$2:$T$366,13,0)),1)</f>
        <v>1.0590267256529911</v>
      </c>
      <c r="C141" s="168">
        <f>IFERROR((VLOOKUP(A141,'Team Stats'!$B$2:$T$366,5,0)+0.44*VLOOKUP(A141,'Team Stats'!$B$2:$T$366,11,0)+VLOOKUP(A141,'Team Stats'!$B$2:$T$366,19,0)-VLOOKUP(A141,'Team Stats'!$B$2:$T$366,13,0)),70)</f>
        <v>66.003999999999991</v>
      </c>
      <c r="D141" s="168">
        <f>IFERROR(VLOOKUP(A141,'Opponents stats vs'!$B$2:$D$366,3,0)/C141,1.05)</f>
        <v>1.0469062481061755</v>
      </c>
      <c r="E141" s="169">
        <f>IFERROR(VLOOKUP(A141,SOS!A:C,3,0),200)</f>
        <v>288</v>
      </c>
      <c r="F141">
        <f>IFERROR(VLOOKUP(A141,SOS!A:D,4,0),200)</f>
        <v>249</v>
      </c>
      <c r="G141">
        <f>B141*((366-F141)/365)^'Enhanced Matchup Model'!$F$14</f>
        <v>1.0004642397759151</v>
      </c>
      <c r="H141">
        <f>D141*(2-((366-F141)/365)^'Enhanced Matchup Model'!$F$14)</f>
        <v>1.104798490940309</v>
      </c>
    </row>
    <row r="142" spans="1:8" ht="15" customHeight="1" x14ac:dyDescent="0.25">
      <c r="A142" s="170" t="s">
        <v>298</v>
      </c>
      <c r="B142" s="168">
        <f>IFERROR(VLOOKUP(A142,'Team Stats'!$B$2:$T$366,3,0)/(VLOOKUP(A142,'Team Stats'!$B$2:$T$366,5,0)+0.44*VLOOKUP(A142,'Team Stats'!$B$2:$T$366,11,0)+VLOOKUP(A142,'Team Stats'!$B$2:$T$366,19,0)-VLOOKUP(A142,'Team Stats'!$B$2:$T$366,13,0)),1)</f>
        <v>1.05975262760583</v>
      </c>
      <c r="C142" s="168">
        <f>IFERROR((VLOOKUP(A142,'Team Stats'!$B$2:$T$366,5,0)+0.44*VLOOKUP(A142,'Team Stats'!$B$2:$T$366,11,0)+VLOOKUP(A142,'Team Stats'!$B$2:$T$366,19,0)-VLOOKUP(A142,'Team Stats'!$B$2:$T$366,13,0)),70)</f>
        <v>68.884</v>
      </c>
      <c r="D142" s="168">
        <f>IFERROR(VLOOKUP(A142,'Opponents stats vs'!$B$2:$D$366,3,0)/C142,1.05)</f>
        <v>1.0626560594622845</v>
      </c>
      <c r="E142" s="169">
        <f>IFERROR(VLOOKUP(A142,SOS!A:C,3,0),200)</f>
        <v>327</v>
      </c>
      <c r="F142">
        <f>IFERROR(VLOOKUP(A142,SOS!A:D,4,0),200)</f>
        <v>345</v>
      </c>
      <c r="G142">
        <f>B142*((366-F142)/365)^'Enhanced Matchup Model'!$F$14</f>
        <v>0.91875734393608666</v>
      </c>
      <c r="H142">
        <f>D142*(2-((366-F142)/365)^'Enhanced Matchup Model'!$F$14)</f>
        <v>1.204037631580438</v>
      </c>
    </row>
    <row r="143" spans="1:8" ht="15" customHeight="1" x14ac:dyDescent="0.25">
      <c r="A143" s="167" t="s">
        <v>299</v>
      </c>
      <c r="B143" s="168">
        <f>IFERROR(VLOOKUP(A143,'Team Stats'!$B$2:$T$366,3,0)/(VLOOKUP(A143,'Team Stats'!$B$2:$T$366,5,0)+0.44*VLOOKUP(A143,'Team Stats'!$B$2:$T$366,11,0)+VLOOKUP(A143,'Team Stats'!$B$2:$T$366,19,0)-VLOOKUP(A143,'Team Stats'!$B$2:$T$366,13,0)),1)</f>
        <v>1.0604653861776823</v>
      </c>
      <c r="C143" s="168">
        <f>IFERROR((VLOOKUP(A143,'Team Stats'!$B$2:$T$366,5,0)+0.44*VLOOKUP(A143,'Team Stats'!$B$2:$T$366,11,0)+VLOOKUP(A143,'Team Stats'!$B$2:$T$366,19,0)-VLOOKUP(A143,'Team Stats'!$B$2:$T$366,13,0)),70)</f>
        <v>68.932000000000002</v>
      </c>
      <c r="D143" s="168">
        <f>IFERROR(VLOOKUP(A143,'Opponents stats vs'!$B$2:$D$366,3,0)/C143,1.05)</f>
        <v>1.0822259618174432</v>
      </c>
      <c r="E143" s="169">
        <f>IFERROR(VLOOKUP(A143,SOS!A:C,3,0),200)</f>
        <v>295</v>
      </c>
      <c r="F143">
        <f>IFERROR(VLOOKUP(A143,SOS!A:D,4,0),200)</f>
        <v>318</v>
      </c>
      <c r="G143">
        <f>B143*((366-F143)/365)^'Enhanced Matchup Model'!$F$14</f>
        <v>0.95817297218062358</v>
      </c>
      <c r="H143">
        <f>D143*(2-((366-F143)/365)^'Enhanced Matchup Model'!$F$14)</f>
        <v>1.1866173993575333</v>
      </c>
    </row>
    <row r="144" spans="1:8" ht="15" customHeight="1" x14ac:dyDescent="0.25">
      <c r="A144" s="170" t="s">
        <v>25</v>
      </c>
      <c r="B144" s="168">
        <f>IFERROR(VLOOKUP(A144,'Team Stats'!$B$2:$T$366,3,0)/(VLOOKUP(A144,'Team Stats'!$B$2:$T$366,5,0)+0.44*VLOOKUP(A144,'Team Stats'!$B$2:$T$366,11,0)+VLOOKUP(A144,'Team Stats'!$B$2:$T$366,19,0)-VLOOKUP(A144,'Team Stats'!$B$2:$T$366,13,0)),1)</f>
        <v>1.208608250601221</v>
      </c>
      <c r="C144" s="168">
        <f>IFERROR((VLOOKUP(A144,'Team Stats'!$B$2:$T$366,5,0)+0.44*VLOOKUP(A144,'Team Stats'!$B$2:$T$366,11,0)+VLOOKUP(A144,'Team Stats'!$B$2:$T$366,19,0)-VLOOKUP(A144,'Team Stats'!$B$2:$T$366,13,0)),70)</f>
        <v>64.867999999999995</v>
      </c>
      <c r="D144" s="168">
        <f>IFERROR(VLOOKUP(A144,'Opponents stats vs'!$B$2:$D$366,3,0)/C144,1.05)</f>
        <v>1.0806561016217548</v>
      </c>
      <c r="E144" s="169">
        <f>IFERROR(VLOOKUP(A144,SOS!A:C,3,0),200)</f>
        <v>74</v>
      </c>
      <c r="F144">
        <f>IFERROR(VLOOKUP(A144,SOS!A:D,4,0),200)</f>
        <v>175</v>
      </c>
      <c r="G144">
        <f>B144*((366-F144)/365)^'Enhanced Matchup Model'!$F$14</f>
        <v>1.1700989234847023</v>
      </c>
      <c r="H144">
        <f>D144*(2-((366-F144)/365)^'Enhanced Matchup Model'!$F$14)</f>
        <v>1.11508854844405</v>
      </c>
    </row>
    <row r="145" spans="1:8" ht="15" customHeight="1" x14ac:dyDescent="0.25">
      <c r="A145" s="167" t="s">
        <v>300</v>
      </c>
      <c r="B145" s="168">
        <f>IFERROR(VLOOKUP(A145,'Team Stats'!$B$2:$T$366,3,0)/(VLOOKUP(A145,'Team Stats'!$B$2:$T$366,5,0)+0.44*VLOOKUP(A145,'Team Stats'!$B$2:$T$366,11,0)+VLOOKUP(A145,'Team Stats'!$B$2:$T$366,19,0)-VLOOKUP(A145,'Team Stats'!$B$2:$T$366,13,0)),1)</f>
        <v>1.0683878055479263</v>
      </c>
      <c r="C145" s="168">
        <f>IFERROR((VLOOKUP(A145,'Team Stats'!$B$2:$T$366,5,0)+0.44*VLOOKUP(A145,'Team Stats'!$B$2:$T$366,11,0)+VLOOKUP(A145,'Team Stats'!$B$2:$T$366,19,0)-VLOOKUP(A145,'Team Stats'!$B$2:$T$366,13,0)),70)</f>
        <v>72.820000000000007</v>
      </c>
      <c r="D145" s="168">
        <f>IFERROR(VLOOKUP(A145,'Opponents stats vs'!$B$2:$D$366,3,0)/C145,1.05)</f>
        <v>0.99835210107113426</v>
      </c>
      <c r="E145" s="169">
        <f>IFERROR(VLOOKUP(A145,SOS!A:C,3,0),200)</f>
        <v>324</v>
      </c>
      <c r="F145">
        <f>IFERROR(VLOOKUP(A145,SOS!A:D,4,0),200)</f>
        <v>350</v>
      </c>
      <c r="G145">
        <f>B145*((366-F145)/365)^'Enhanced Matchup Model'!$F$14</f>
        <v>0.91373503727260974</v>
      </c>
      <c r="H145">
        <f>D145*(2-((366-F145)/365)^'Enhanced Matchup Model'!$F$14)</f>
        <v>1.1428669629427988</v>
      </c>
    </row>
    <row r="146" spans="1:8" ht="15" customHeight="1" x14ac:dyDescent="0.25">
      <c r="A146" s="170" t="s">
        <v>301</v>
      </c>
      <c r="B146" s="168">
        <f>IFERROR(VLOOKUP(A146,'Team Stats'!$B$2:$T$366,3,0)/(VLOOKUP(A146,'Team Stats'!$B$2:$T$366,5,0)+0.44*VLOOKUP(A146,'Team Stats'!$B$2:$T$366,11,0)+VLOOKUP(A146,'Team Stats'!$B$2:$T$366,19,0)-VLOOKUP(A146,'Team Stats'!$B$2:$T$366,13,0)),1)</f>
        <v>1.137970031099802</v>
      </c>
      <c r="C146" s="168">
        <f>IFERROR((VLOOKUP(A146,'Team Stats'!$B$2:$T$366,5,0)+0.44*VLOOKUP(A146,'Team Stats'!$B$2:$T$366,11,0)+VLOOKUP(A146,'Team Stats'!$B$2:$T$366,19,0)-VLOOKUP(A146,'Team Stats'!$B$2:$T$366,13,0)),70)</f>
        <v>70.740000000000009</v>
      </c>
      <c r="D146" s="168">
        <f>IFERROR(VLOOKUP(A146,'Opponents stats vs'!$B$2:$D$366,3,0)/C146,1.05)</f>
        <v>1.0701159174441617</v>
      </c>
      <c r="E146" s="169">
        <f>IFERROR(VLOOKUP(A146,SOS!A:C,3,0),200)</f>
        <v>183</v>
      </c>
      <c r="F146">
        <f>IFERROR(VLOOKUP(A146,SOS!A:D,4,0),200)</f>
        <v>267</v>
      </c>
      <c r="G146">
        <f>B146*((366-F146)/365)^'Enhanced Matchup Model'!$F$14</f>
        <v>1.0660999952030783</v>
      </c>
      <c r="H146">
        <f>D146*(2-((366-F146)/365)^'Enhanced Matchup Model'!$F$14)</f>
        <v>1.1377005350513911</v>
      </c>
    </row>
    <row r="147" spans="1:8" ht="15" customHeight="1" x14ac:dyDescent="0.25">
      <c r="A147" s="167" t="s">
        <v>302</v>
      </c>
      <c r="B147" s="168">
        <f>IFERROR(VLOOKUP(A147,'Team Stats'!$B$2:$T$366,3,0)/(VLOOKUP(A147,'Team Stats'!$B$2:$T$366,5,0)+0.44*VLOOKUP(A147,'Team Stats'!$B$2:$T$366,11,0)+VLOOKUP(A147,'Team Stats'!$B$2:$T$366,19,0)-VLOOKUP(A147,'Team Stats'!$B$2:$T$366,13,0)),1)</f>
        <v>1.0360333881965671</v>
      </c>
      <c r="C147" s="168">
        <f>IFERROR((VLOOKUP(A147,'Team Stats'!$B$2:$T$366,5,0)+0.44*VLOOKUP(A147,'Team Stats'!$B$2:$T$366,11,0)+VLOOKUP(A147,'Team Stats'!$B$2:$T$366,19,0)-VLOOKUP(A147,'Team Stats'!$B$2:$T$366,13,0)),70)</f>
        <v>68.048000000000002</v>
      </c>
      <c r="D147" s="168">
        <f>IFERROR(VLOOKUP(A147,'Opponents stats vs'!$B$2:$D$366,3,0)/C147,1.05)</f>
        <v>1.0889372207853278</v>
      </c>
      <c r="E147" s="169">
        <f>IFERROR(VLOOKUP(A147,SOS!A:C,3,0),200)</f>
        <v>312</v>
      </c>
      <c r="F147">
        <f>IFERROR(VLOOKUP(A147,SOS!A:D,4,0),200)</f>
        <v>310</v>
      </c>
      <c r="G147">
        <f>B147*((366-F147)/365)^'Enhanced Matchup Model'!$F$14</f>
        <v>0.94334056417852696</v>
      </c>
      <c r="H147">
        <f>D147*(2-((366-F147)/365)^'Enhanced Matchup Model'!$F$14)</f>
        <v>1.1863632953915233</v>
      </c>
    </row>
    <row r="148" spans="1:8" ht="15" customHeight="1" x14ac:dyDescent="0.25">
      <c r="A148" s="170" t="s">
        <v>303</v>
      </c>
      <c r="B148" s="168">
        <f>IFERROR(VLOOKUP(A148,'Team Stats'!$B$2:$T$366,3,0)/(VLOOKUP(A148,'Team Stats'!$B$2:$T$366,5,0)+0.44*VLOOKUP(A148,'Team Stats'!$B$2:$T$366,11,0)+VLOOKUP(A148,'Team Stats'!$B$2:$T$366,19,0)-VLOOKUP(A148,'Team Stats'!$B$2:$T$366,13,0)),1)</f>
        <v>1.0458139404474849</v>
      </c>
      <c r="C148" s="168">
        <f>IFERROR((VLOOKUP(A148,'Team Stats'!$B$2:$T$366,5,0)+0.44*VLOOKUP(A148,'Team Stats'!$B$2:$T$366,11,0)+VLOOKUP(A148,'Team Stats'!$B$2:$T$366,19,0)-VLOOKUP(A148,'Team Stats'!$B$2:$T$366,13,0)),70)</f>
        <v>71.332000000000008</v>
      </c>
      <c r="D148" s="168">
        <f>IFERROR(VLOOKUP(A148,'Opponents stats vs'!$B$2:$D$366,3,0)/C148,1.05)</f>
        <v>1.0920764874109796</v>
      </c>
      <c r="E148" s="169">
        <f>IFERROR(VLOOKUP(A148,SOS!A:C,3,0),200)</f>
        <v>280</v>
      </c>
      <c r="F148">
        <f>IFERROR(VLOOKUP(A148,SOS!A:D,4,0),200)</f>
        <v>180</v>
      </c>
      <c r="G148">
        <f>B148*((366-F148)/365)^'Enhanced Matchup Model'!$F$14</f>
        <v>1.0111496376449205</v>
      </c>
      <c r="H148">
        <f>D148*(2-((366-F148)/365)^'Enhanced Matchup Model'!$F$14)</f>
        <v>1.1282741977101722</v>
      </c>
    </row>
    <row r="149" spans="1:8" ht="15" customHeight="1" x14ac:dyDescent="0.25">
      <c r="A149" s="167" t="s">
        <v>65</v>
      </c>
      <c r="B149" s="168">
        <f>IFERROR(VLOOKUP(A149,'Team Stats'!$B$2:$T$366,3,0)/(VLOOKUP(A149,'Team Stats'!$B$2:$T$366,5,0)+0.44*VLOOKUP(A149,'Team Stats'!$B$2:$T$366,11,0)+VLOOKUP(A149,'Team Stats'!$B$2:$T$366,19,0)-VLOOKUP(A149,'Team Stats'!$B$2:$T$366,13,0)),1)</f>
        <v>1.0969056336364709</v>
      </c>
      <c r="C149" s="168">
        <f>IFERROR((VLOOKUP(A149,'Team Stats'!$B$2:$T$366,5,0)+0.44*VLOOKUP(A149,'Team Stats'!$B$2:$T$366,11,0)+VLOOKUP(A149,'Team Stats'!$B$2:$T$366,19,0)-VLOOKUP(A149,'Team Stats'!$B$2:$T$366,13,0)),70)</f>
        <v>67.736000000000004</v>
      </c>
      <c r="D149" s="168">
        <f>IFERROR(VLOOKUP(A149,'Opponents stats vs'!$B$2:$D$366,3,0)/C149,1.05)</f>
        <v>1.057044998228416</v>
      </c>
      <c r="E149" s="169">
        <f>IFERROR(VLOOKUP(A149,SOS!A:C,3,0),200)</f>
        <v>217</v>
      </c>
      <c r="F149">
        <f>IFERROR(VLOOKUP(A149,SOS!A:D,4,0),200)</f>
        <v>330</v>
      </c>
      <c r="G149">
        <f>B149*((366-F149)/365)^'Enhanced Matchup Model'!$F$14</f>
        <v>0.97694417734556149</v>
      </c>
      <c r="H149">
        <f>D149*(2-((366-F149)/365)^'Enhanced Matchup Model'!$F$14)</f>
        <v>1.1726471553001405</v>
      </c>
    </row>
    <row r="150" spans="1:8" ht="15" customHeight="1" x14ac:dyDescent="0.25">
      <c r="A150" s="170" t="s">
        <v>304</v>
      </c>
      <c r="B150" s="168">
        <f>IFERROR(VLOOKUP(A150,'Team Stats'!$B$2:$T$366,3,0)/(VLOOKUP(A150,'Team Stats'!$B$2:$T$366,5,0)+0.44*VLOOKUP(A150,'Team Stats'!$B$2:$T$366,11,0)+VLOOKUP(A150,'Team Stats'!$B$2:$T$366,19,0)-VLOOKUP(A150,'Team Stats'!$B$2:$T$366,13,0)),1)</f>
        <v>1.0971121177802945</v>
      </c>
      <c r="C150" s="168">
        <f>IFERROR((VLOOKUP(A150,'Team Stats'!$B$2:$T$366,5,0)+0.44*VLOOKUP(A150,'Team Stats'!$B$2:$T$366,11,0)+VLOOKUP(A150,'Team Stats'!$B$2:$T$366,19,0)-VLOOKUP(A150,'Team Stats'!$B$2:$T$366,13,0)),70)</f>
        <v>70.64</v>
      </c>
      <c r="D150" s="168">
        <f>IFERROR(VLOOKUP(A150,'Opponents stats vs'!$B$2:$D$366,3,0)/C150,1.05)</f>
        <v>1.0433182332955833</v>
      </c>
      <c r="E150" s="169">
        <f>IFERROR(VLOOKUP(A150,SOS!A:C,3,0),200)</f>
        <v>316</v>
      </c>
      <c r="F150">
        <f>IFERROR(VLOOKUP(A150,SOS!A:D,4,0),200)</f>
        <v>323</v>
      </c>
      <c r="G150">
        <f>B150*((366-F150)/365)^'Enhanced Matchup Model'!$F$14</f>
        <v>0.985847618129151</v>
      </c>
      <c r="H150">
        <f>D150*(2-((366-F150)/365)^'Enhanced Matchup Model'!$F$14)</f>
        <v>1.1491271832864127</v>
      </c>
    </row>
    <row r="151" spans="1:8" ht="15" customHeight="1" x14ac:dyDescent="0.25">
      <c r="A151" s="167" t="s">
        <v>305</v>
      </c>
      <c r="B151" s="168">
        <f>IFERROR(VLOOKUP(A151,'Team Stats'!$B$2:$T$366,3,0)/(VLOOKUP(A151,'Team Stats'!$B$2:$T$366,5,0)+0.44*VLOOKUP(A151,'Team Stats'!$B$2:$T$366,11,0)+VLOOKUP(A151,'Team Stats'!$B$2:$T$366,19,0)-VLOOKUP(A151,'Team Stats'!$B$2:$T$366,13,0)),1)</f>
        <v>1.0009428032683847</v>
      </c>
      <c r="C151" s="168">
        <f>IFERROR((VLOOKUP(A151,'Team Stats'!$B$2:$T$366,5,0)+0.44*VLOOKUP(A151,'Team Stats'!$B$2:$T$366,11,0)+VLOOKUP(A151,'Team Stats'!$B$2:$T$366,19,0)-VLOOKUP(A151,'Team Stats'!$B$2:$T$366,13,0)),70)</f>
        <v>63.64</v>
      </c>
      <c r="D151" s="168">
        <f>IFERROR(VLOOKUP(A151,'Opponents stats vs'!$B$2:$D$366,3,0)/C151,1.05)</f>
        <v>1.1109365179132622</v>
      </c>
      <c r="E151" s="169">
        <f>IFERROR(VLOOKUP(A151,SOS!A:C,3,0),200)</f>
        <v>258</v>
      </c>
      <c r="F151">
        <f>IFERROR(VLOOKUP(A151,SOS!A:D,4,0),200)</f>
        <v>187</v>
      </c>
      <c r="G151">
        <f>B151*((366-F151)/365)^'Enhanced Matchup Model'!$F$14</f>
        <v>0.96591135085825119</v>
      </c>
      <c r="H151">
        <f>D151*(2-((366-F151)/365)^'Enhanced Matchup Model'!$F$14)</f>
        <v>1.1498175804783555</v>
      </c>
    </row>
    <row r="152" spans="1:8" ht="15" customHeight="1" x14ac:dyDescent="0.25">
      <c r="A152" s="170" t="s">
        <v>306</v>
      </c>
      <c r="B152" s="168">
        <f>IFERROR(VLOOKUP(A152,'Team Stats'!$B$2:$T$366,3,0)/(VLOOKUP(A152,'Team Stats'!$B$2:$T$366,5,0)+0.44*VLOOKUP(A152,'Team Stats'!$B$2:$T$366,11,0)+VLOOKUP(A152,'Team Stats'!$B$2:$T$366,19,0)-VLOOKUP(A152,'Team Stats'!$B$2:$T$366,13,0)),1)</f>
        <v>1.053349499848439</v>
      </c>
      <c r="C152" s="168">
        <f>IFERROR((VLOOKUP(A152,'Team Stats'!$B$2:$T$366,5,0)+0.44*VLOOKUP(A152,'Team Stats'!$B$2:$T$366,11,0)+VLOOKUP(A152,'Team Stats'!$B$2:$T$366,19,0)-VLOOKUP(A152,'Team Stats'!$B$2:$T$366,13,0)),70)</f>
        <v>65.98</v>
      </c>
      <c r="D152" s="168">
        <f>IFERROR(VLOOKUP(A152,'Opponents stats vs'!$B$2:$D$366,3,0)/C152,1.05)</f>
        <v>0.99272506820248552</v>
      </c>
      <c r="E152" s="169">
        <f>IFERROR(VLOOKUP(A152,SOS!A:C,3,0),200)</f>
        <v>191</v>
      </c>
      <c r="F152">
        <f>IFERROR(VLOOKUP(A152,SOS!A:D,4,0),200)</f>
        <v>217</v>
      </c>
      <c r="G152">
        <f>B152*((366-F152)/365)^'Enhanced Matchup Model'!$F$14</f>
        <v>1.007203354626657</v>
      </c>
      <c r="H152">
        <f>D152*(2-((366-F152)/365)^'Enhanced Matchup Model'!$F$14)</f>
        <v>1.0362153201740929</v>
      </c>
    </row>
    <row r="153" spans="1:8" ht="15" customHeight="1" x14ac:dyDescent="0.25">
      <c r="A153" s="167" t="s">
        <v>30</v>
      </c>
      <c r="B153" s="168">
        <f>IFERROR(VLOOKUP(A153,'Team Stats'!$B$2:$T$366,3,0)/(VLOOKUP(A153,'Team Stats'!$B$2:$T$366,5,0)+0.44*VLOOKUP(A153,'Team Stats'!$B$2:$T$366,11,0)+VLOOKUP(A153,'Team Stats'!$B$2:$T$366,19,0)-VLOOKUP(A153,'Team Stats'!$B$2:$T$366,13,0)),1)</f>
        <v>1.2059551953168974</v>
      </c>
      <c r="C153" s="168">
        <f>IFERROR((VLOOKUP(A153,'Team Stats'!$B$2:$T$366,5,0)+0.44*VLOOKUP(A153,'Team Stats'!$B$2:$T$366,11,0)+VLOOKUP(A153,'Team Stats'!$B$2:$T$366,19,0)-VLOOKUP(A153,'Team Stats'!$B$2:$T$366,13,0)),70)</f>
        <v>71.064000000000007</v>
      </c>
      <c r="D153" s="168">
        <f>IFERROR(VLOOKUP(A153,'Opponents stats vs'!$B$2:$D$366,3,0)/C153,1.05)</f>
        <v>1.0117640436789372</v>
      </c>
      <c r="E153" s="169">
        <f>IFERROR(VLOOKUP(A153,SOS!A:C,3,0),200)</f>
        <v>26</v>
      </c>
      <c r="F153">
        <f>IFERROR(VLOOKUP(A153,SOS!A:D,4,0),200)</f>
        <v>45</v>
      </c>
      <c r="G153">
        <f>B153*((366-F153)/365)^'Enhanced Matchup Model'!$F$14</f>
        <v>1.1982343935617379</v>
      </c>
      <c r="H153">
        <f>D153*(2-((366-F153)/365)^'Enhanced Matchup Model'!$F$14)</f>
        <v>1.0182415891421341</v>
      </c>
    </row>
    <row r="154" spans="1:8" ht="15" customHeight="1" x14ac:dyDescent="0.25">
      <c r="A154" s="170" t="s">
        <v>307</v>
      </c>
      <c r="B154" s="168">
        <f>IFERROR(VLOOKUP(A154,'Team Stats'!$B$2:$T$366,3,0)/(VLOOKUP(A154,'Team Stats'!$B$2:$T$366,5,0)+0.44*VLOOKUP(A154,'Team Stats'!$B$2:$T$366,11,0)+VLOOKUP(A154,'Team Stats'!$B$2:$T$366,19,0)-VLOOKUP(A154,'Team Stats'!$B$2:$T$366,13,0)),1)</f>
        <v>1.0149735224298497</v>
      </c>
      <c r="C154" s="168">
        <f>IFERROR((VLOOKUP(A154,'Team Stats'!$B$2:$T$366,5,0)+0.44*VLOOKUP(A154,'Team Stats'!$B$2:$T$366,11,0)+VLOOKUP(A154,'Team Stats'!$B$2:$T$366,19,0)-VLOOKUP(A154,'Team Stats'!$B$2:$T$366,13,0)),70)</f>
        <v>65.715999999999994</v>
      </c>
      <c r="D154" s="168">
        <f>IFERROR(VLOOKUP(A154,'Opponents stats vs'!$B$2:$D$366,3,0)/C154,1.05)</f>
        <v>1.1701868646904865</v>
      </c>
      <c r="E154" s="169">
        <f>IFERROR(VLOOKUP(A154,SOS!A:C,3,0),200)</f>
        <v>267</v>
      </c>
      <c r="F154">
        <f>IFERROR(VLOOKUP(A154,SOS!A:D,4,0),200)</f>
        <v>92</v>
      </c>
      <c r="G154">
        <f>B154*((366-F154)/365)^'Enhanced Matchup Model'!$F$14</f>
        <v>1.0005242008630435</v>
      </c>
      <c r="H154">
        <f>D154*(2-((366-F154)/365)^'Enhanced Matchup Model'!$F$14)</f>
        <v>1.1868458276363245</v>
      </c>
    </row>
    <row r="155" spans="1:8" ht="15" customHeight="1" x14ac:dyDescent="0.25">
      <c r="A155" s="167" t="s">
        <v>308</v>
      </c>
      <c r="B155" s="168">
        <f>IFERROR(VLOOKUP(A155,'Team Stats'!$B$2:$T$366,3,0)/(VLOOKUP(A155,'Team Stats'!$B$2:$T$366,5,0)+0.44*VLOOKUP(A155,'Team Stats'!$B$2:$T$366,11,0)+VLOOKUP(A155,'Team Stats'!$B$2:$T$366,19,0)-VLOOKUP(A155,'Team Stats'!$B$2:$T$366,13,0)),1)</f>
        <v>1.0883408590945931</v>
      </c>
      <c r="C155" s="168">
        <f>IFERROR((VLOOKUP(A155,'Team Stats'!$B$2:$T$366,5,0)+0.44*VLOOKUP(A155,'Team Stats'!$B$2:$T$366,11,0)+VLOOKUP(A155,'Team Stats'!$B$2:$T$366,19,0)-VLOOKUP(A155,'Team Stats'!$B$2:$T$366,13,0)),70)</f>
        <v>69.096000000000004</v>
      </c>
      <c r="D155" s="168">
        <f>IFERROR(VLOOKUP(A155,'Opponents stats vs'!$B$2:$D$366,3,0)/C155,1.05)</f>
        <v>1.1158388329280999</v>
      </c>
      <c r="E155" s="169">
        <f>IFERROR(VLOOKUP(A155,SOS!A:C,3,0),200)</f>
        <v>349</v>
      </c>
      <c r="F155">
        <f>IFERROR(VLOOKUP(A155,SOS!A:D,4,0),200)</f>
        <v>335</v>
      </c>
      <c r="G155">
        <f>B155*((366-F155)/365)^'Enhanced Matchup Model'!$F$14</f>
        <v>0.96209592564776281</v>
      </c>
      <c r="H155">
        <f>D155*(2-((366-F155)/365)^'Enhanced Matchup Model'!$F$14)</f>
        <v>1.2452734654912729</v>
      </c>
    </row>
    <row r="156" spans="1:8" ht="15" customHeight="1" x14ac:dyDescent="0.25">
      <c r="A156" s="170" t="s">
        <v>309</v>
      </c>
      <c r="B156" s="168">
        <f>IFERROR(VLOOKUP(A156,'Team Stats'!$B$2:$T$366,3,0)/(VLOOKUP(A156,'Team Stats'!$B$2:$T$366,5,0)+0.44*VLOOKUP(A156,'Team Stats'!$B$2:$T$366,11,0)+VLOOKUP(A156,'Team Stats'!$B$2:$T$366,19,0)-VLOOKUP(A156,'Team Stats'!$B$2:$T$366,13,0)),1)</f>
        <v>1.0751287839323955</v>
      </c>
      <c r="C156" s="168">
        <f>IFERROR((VLOOKUP(A156,'Team Stats'!$B$2:$T$366,5,0)+0.44*VLOOKUP(A156,'Team Stats'!$B$2:$T$366,11,0)+VLOOKUP(A156,'Team Stats'!$B$2:$T$366,19,0)-VLOOKUP(A156,'Team Stats'!$B$2:$T$366,13,0)),70)</f>
        <v>69.108000000000004</v>
      </c>
      <c r="D156" s="168">
        <f>IFERROR(VLOOKUP(A156,'Opponents stats vs'!$B$2:$D$366,3,0)/C156,1.05)</f>
        <v>1.0432945534525668</v>
      </c>
      <c r="E156" s="169">
        <f>IFERROR(VLOOKUP(A156,SOS!A:C,3,0),200)</f>
        <v>172</v>
      </c>
      <c r="F156">
        <f>IFERROR(VLOOKUP(A156,SOS!A:D,4,0),200)</f>
        <v>140</v>
      </c>
      <c r="G156">
        <f>B156*((366-F156)/365)^'Enhanced Matchup Model'!$F$14</f>
        <v>1.049666333129772</v>
      </c>
      <c r="H156">
        <f>D156*(2-((366-F156)/365)^'Enhanced Matchup Model'!$F$14)</f>
        <v>1.0680030689689752</v>
      </c>
    </row>
    <row r="157" spans="1:8" ht="15" customHeight="1" x14ac:dyDescent="0.25">
      <c r="A157" s="167" t="s">
        <v>310</v>
      </c>
      <c r="B157" s="168">
        <f>IFERROR(VLOOKUP(A157,'Team Stats'!$B$2:$T$366,3,0)/(VLOOKUP(A157,'Team Stats'!$B$2:$T$366,5,0)+0.44*VLOOKUP(A157,'Team Stats'!$B$2:$T$366,11,0)+VLOOKUP(A157,'Team Stats'!$B$2:$T$366,19,0)-VLOOKUP(A157,'Team Stats'!$B$2:$T$366,13,0)),1)</f>
        <v>0.97251520039707151</v>
      </c>
      <c r="C157" s="168">
        <f>IFERROR((VLOOKUP(A157,'Team Stats'!$B$2:$T$366,5,0)+0.44*VLOOKUP(A157,'Team Stats'!$B$2:$T$366,11,0)+VLOOKUP(A157,'Team Stats'!$B$2:$T$366,19,0)-VLOOKUP(A157,'Team Stats'!$B$2:$T$366,13,0)),70)</f>
        <v>64.472000000000008</v>
      </c>
      <c r="D157" s="168">
        <f>IFERROR(VLOOKUP(A157,'Opponents stats vs'!$B$2:$D$366,3,0)/C157,1.05)</f>
        <v>1.065578855937461</v>
      </c>
      <c r="E157" s="169">
        <f>IFERROR(VLOOKUP(A157,SOS!A:C,3,0),200)</f>
        <v>353</v>
      </c>
      <c r="F157">
        <f>IFERROR(VLOOKUP(A157,SOS!A:D,4,0),200)</f>
        <v>316</v>
      </c>
      <c r="G157">
        <f>B157*((366-F157)/365)^'Enhanced Matchup Model'!$F$14</f>
        <v>0.88050181405624095</v>
      </c>
      <c r="H157">
        <f>D157*(2-((366-F157)/365)^'Enhanced Matchup Model'!$F$14)</f>
        <v>1.1663973510190411</v>
      </c>
    </row>
    <row r="158" spans="1:8" ht="15" customHeight="1" x14ac:dyDescent="0.25">
      <c r="A158" s="170" t="s">
        <v>311</v>
      </c>
      <c r="B158" s="168">
        <f>IFERROR(VLOOKUP(A158,'Team Stats'!$B$2:$T$366,3,0)/(VLOOKUP(A158,'Team Stats'!$B$2:$T$366,5,0)+0.44*VLOOKUP(A158,'Team Stats'!$B$2:$T$366,11,0)+VLOOKUP(A158,'Team Stats'!$B$2:$T$366,19,0)-VLOOKUP(A158,'Team Stats'!$B$2:$T$366,13,0)),1)</f>
        <v>1.0822510822510822</v>
      </c>
      <c r="C158" s="168">
        <f>IFERROR((VLOOKUP(A158,'Team Stats'!$B$2:$T$366,5,0)+0.44*VLOOKUP(A158,'Team Stats'!$B$2:$T$366,11,0)+VLOOKUP(A158,'Team Stats'!$B$2:$T$366,19,0)-VLOOKUP(A158,'Team Stats'!$B$2:$T$366,13,0)),70)</f>
        <v>68.376000000000005</v>
      </c>
      <c r="D158" s="168">
        <f>IFERROR(VLOOKUP(A158,'Opponents stats vs'!$B$2:$D$366,3,0)/C158,1.05)</f>
        <v>1.1539136539136539</v>
      </c>
      <c r="E158" s="169">
        <f>IFERROR(VLOOKUP(A158,SOS!A:C,3,0),200)</f>
        <v>344</v>
      </c>
      <c r="F158">
        <f>IFERROR(VLOOKUP(A158,SOS!A:D,4,0),200)</f>
        <v>324</v>
      </c>
      <c r="G158">
        <f>B158*((366-F158)/365)^'Enhanced Matchup Model'!$F$14</f>
        <v>0.97135023610883575</v>
      </c>
      <c r="H158">
        <f>D158*(2-((366-F158)/365)^'Enhanced Matchup Model'!$F$14)</f>
        <v>1.2721579344626168</v>
      </c>
    </row>
    <row r="159" spans="1:8" ht="15" customHeight="1" x14ac:dyDescent="0.25">
      <c r="A159" s="167" t="s">
        <v>312</v>
      </c>
      <c r="B159" s="168">
        <f>IFERROR(VLOOKUP(A159,'Team Stats'!$B$2:$T$366,3,0)/(VLOOKUP(A159,'Team Stats'!$B$2:$T$366,5,0)+0.44*VLOOKUP(A159,'Team Stats'!$B$2:$T$366,11,0)+VLOOKUP(A159,'Team Stats'!$B$2:$T$366,19,0)-VLOOKUP(A159,'Team Stats'!$B$2:$T$366,13,0)),1)</f>
        <v>1.0628269067023475</v>
      </c>
      <c r="C159" s="168">
        <f>IFERROR((VLOOKUP(A159,'Team Stats'!$B$2:$T$366,5,0)+0.44*VLOOKUP(A159,'Team Stats'!$B$2:$T$366,11,0)+VLOOKUP(A159,'Team Stats'!$B$2:$T$366,19,0)-VLOOKUP(A159,'Team Stats'!$B$2:$T$366,13,0)),70)</f>
        <v>65.768000000000015</v>
      </c>
      <c r="D159" s="168">
        <f>IFERROR(VLOOKUP(A159,'Opponents stats vs'!$B$2:$D$366,3,0)/C159,1.05)</f>
        <v>0.96855613672302621</v>
      </c>
      <c r="E159" s="169">
        <f>IFERROR(VLOOKUP(A159,SOS!A:C,3,0),200)</f>
        <v>307</v>
      </c>
      <c r="F159">
        <f>IFERROR(VLOOKUP(A159,SOS!A:D,4,0),200)</f>
        <v>344</v>
      </c>
      <c r="G159">
        <f>B159*((366-F159)/365)^'Enhanced Matchup Model'!$F$14</f>
        <v>0.9235683283414956</v>
      </c>
      <c r="H159">
        <f>D159*(2-((366-F159)/365)^'Enhanced Matchup Model'!$F$14)</f>
        <v>1.0954627381763347</v>
      </c>
    </row>
    <row r="160" spans="1:8" ht="15" customHeight="1" x14ac:dyDescent="0.25">
      <c r="A160" s="170" t="s">
        <v>313</v>
      </c>
      <c r="B160" s="168">
        <f>IFERROR(VLOOKUP(A160,'Team Stats'!$B$2:$T$366,3,0)/(VLOOKUP(A160,'Team Stats'!$B$2:$T$366,5,0)+0.44*VLOOKUP(A160,'Team Stats'!$B$2:$T$366,11,0)+VLOOKUP(A160,'Team Stats'!$B$2:$T$366,19,0)-VLOOKUP(A160,'Team Stats'!$B$2:$T$366,13,0)),1)</f>
        <v>1.0705721137375814</v>
      </c>
      <c r="C160" s="168">
        <f>IFERROR((VLOOKUP(A160,'Team Stats'!$B$2:$T$366,5,0)+0.44*VLOOKUP(A160,'Team Stats'!$B$2:$T$366,11,0)+VLOOKUP(A160,'Team Stats'!$B$2:$T$366,19,0)-VLOOKUP(A160,'Team Stats'!$B$2:$T$366,13,0)),70)</f>
        <v>70.055999999999997</v>
      </c>
      <c r="D160" s="168">
        <f>IFERROR(VLOOKUP(A160,'Opponents stats vs'!$B$2:$D$366,3,0)/C160,1.05)</f>
        <v>1.0819915496174488</v>
      </c>
      <c r="E160" s="169">
        <f>IFERROR(VLOOKUP(A160,SOS!A:C,3,0),200)</f>
        <v>134</v>
      </c>
      <c r="F160">
        <f>IFERROR(VLOOKUP(A160,SOS!A:D,4,0),200)</f>
        <v>25</v>
      </c>
      <c r="G160">
        <f>B160*((366-F160)/365)^'Enhanced Matchup Model'!$F$14</f>
        <v>1.0669375558462884</v>
      </c>
      <c r="H160">
        <f>D160*(2-((366-F160)/365)^'Enhanced Matchup Model'!$F$14)</f>
        <v>1.0856648761262488</v>
      </c>
    </row>
    <row r="161" spans="1:8" ht="15" customHeight="1" x14ac:dyDescent="0.25">
      <c r="A161" s="167" t="s">
        <v>314</v>
      </c>
      <c r="B161" s="168">
        <f>IFERROR(VLOOKUP(A161,'Team Stats'!$B$2:$T$366,3,0)/(VLOOKUP(A161,'Team Stats'!$B$2:$T$366,5,0)+0.44*VLOOKUP(A161,'Team Stats'!$B$2:$T$366,11,0)+VLOOKUP(A161,'Team Stats'!$B$2:$T$366,19,0)-VLOOKUP(A161,'Team Stats'!$B$2:$T$366,13,0)),1)</f>
        <v>1.1620585036350108</v>
      </c>
      <c r="C161" s="168">
        <f>IFERROR((VLOOKUP(A161,'Team Stats'!$B$2:$T$366,5,0)+0.44*VLOOKUP(A161,'Team Stats'!$B$2:$T$366,11,0)+VLOOKUP(A161,'Team Stats'!$B$2:$T$366,19,0)-VLOOKUP(A161,'Team Stats'!$B$2:$T$366,13,0)),70)</f>
        <v>69.875999999999991</v>
      </c>
      <c r="D161" s="168">
        <f>IFERROR(VLOOKUP(A161,'Opponents stats vs'!$B$2:$D$366,3,0)/C161,1.05)</f>
        <v>1.1148319880931938</v>
      </c>
      <c r="E161" s="169">
        <f>IFERROR(VLOOKUP(A161,SOS!A:C,3,0),200)</f>
        <v>124</v>
      </c>
      <c r="F161">
        <f>IFERROR(VLOOKUP(A161,SOS!A:D,4,0),200)</f>
        <v>189</v>
      </c>
      <c r="G161">
        <f>B161*((366-F161)/365)^'Enhanced Matchup Model'!$F$14</f>
        <v>1.1207584274225511</v>
      </c>
      <c r="H161">
        <f>D161*(2-((366-F161)/365)^'Enhanced Matchup Model'!$F$14)</f>
        <v>1.1544536129324869</v>
      </c>
    </row>
    <row r="162" spans="1:8" ht="15" customHeight="1" x14ac:dyDescent="0.25">
      <c r="A162" s="170" t="s">
        <v>315</v>
      </c>
      <c r="B162" s="168">
        <f>IFERROR(VLOOKUP(A162,'Team Stats'!$B$2:$T$366,3,0)/(VLOOKUP(A162,'Team Stats'!$B$2:$T$366,5,0)+0.44*VLOOKUP(A162,'Team Stats'!$B$2:$T$366,11,0)+VLOOKUP(A162,'Team Stats'!$B$2:$T$366,19,0)-VLOOKUP(A162,'Team Stats'!$B$2:$T$366,13,0)),1)</f>
        <v>0.97069708184189774</v>
      </c>
      <c r="C162" s="168">
        <f>IFERROR((VLOOKUP(A162,'Team Stats'!$B$2:$T$366,5,0)+0.44*VLOOKUP(A162,'Team Stats'!$B$2:$T$366,11,0)+VLOOKUP(A162,'Team Stats'!$B$2:$T$366,19,0)-VLOOKUP(A162,'Team Stats'!$B$2:$T$366,13,0)),70)</f>
        <v>65.932000000000002</v>
      </c>
      <c r="D162" s="168">
        <f>IFERROR(VLOOKUP(A162,'Opponents stats vs'!$B$2:$D$366,3,0)/C162,1.05)</f>
        <v>1.0677667900260874</v>
      </c>
      <c r="E162" s="169">
        <f>IFERROR(VLOOKUP(A162,SOS!A:C,3,0),200)</f>
        <v>332</v>
      </c>
      <c r="F162">
        <f>IFERROR(VLOOKUP(A162,SOS!A:D,4,0),200)</f>
        <v>289</v>
      </c>
      <c r="G162">
        <f>B162*((366-F162)/365)^'Enhanced Matchup Model'!$F$14</f>
        <v>0.8980357317573564</v>
      </c>
      <c r="H162">
        <f>D162*(2-((366-F162)/365)^'Enhanced Matchup Model'!$F$14)</f>
        <v>1.1476942751190828</v>
      </c>
    </row>
    <row r="163" spans="1:8" ht="15" customHeight="1" x14ac:dyDescent="0.25">
      <c r="A163" s="167" t="s">
        <v>316</v>
      </c>
      <c r="B163" s="168">
        <f>IFERROR(VLOOKUP(A163,'Team Stats'!$B$2:$T$366,3,0)/(VLOOKUP(A163,'Team Stats'!$B$2:$T$366,5,0)+0.44*VLOOKUP(A163,'Team Stats'!$B$2:$T$366,11,0)+VLOOKUP(A163,'Team Stats'!$B$2:$T$366,19,0)-VLOOKUP(A163,'Team Stats'!$B$2:$T$366,13,0)),1)</f>
        <v>1.0474189675870347</v>
      </c>
      <c r="C163" s="168">
        <f>IFERROR((VLOOKUP(A163,'Team Stats'!$B$2:$T$366,5,0)+0.44*VLOOKUP(A163,'Team Stats'!$B$2:$T$366,11,0)+VLOOKUP(A163,'Team Stats'!$B$2:$T$366,19,0)-VLOOKUP(A163,'Team Stats'!$B$2:$T$366,13,0)),70)</f>
        <v>66.64</v>
      </c>
      <c r="D163" s="168">
        <f>IFERROR(VLOOKUP(A163,'Opponents stats vs'!$B$2:$D$366,3,0)/C163,1.05)</f>
        <v>1.1569627851140456</v>
      </c>
      <c r="E163" s="169">
        <f>IFERROR(VLOOKUP(A163,SOS!A:C,3,0),200)</f>
        <v>125</v>
      </c>
      <c r="F163">
        <f>IFERROR(VLOOKUP(A163,SOS!A:D,4,0),200)</f>
        <v>20</v>
      </c>
      <c r="G163">
        <f>B163*((366-F163)/365)^'Enhanced Matchup Model'!$F$14</f>
        <v>1.0446230294672616</v>
      </c>
      <c r="H163">
        <f>D163*(2-((366-F163)/365)^'Enhanced Matchup Model'!$F$14)</f>
        <v>1.1600511351002132</v>
      </c>
    </row>
    <row r="164" spans="1:8" ht="15" customHeight="1" x14ac:dyDescent="0.25">
      <c r="A164" s="170" t="s">
        <v>317</v>
      </c>
      <c r="B164" s="168">
        <f>IFERROR(VLOOKUP(A164,'Team Stats'!$B$2:$T$366,3,0)/(VLOOKUP(A164,'Team Stats'!$B$2:$T$366,5,0)+0.44*VLOOKUP(A164,'Team Stats'!$B$2:$T$366,11,0)+VLOOKUP(A164,'Team Stats'!$B$2:$T$366,19,0)-VLOOKUP(A164,'Team Stats'!$B$2:$T$366,13,0)),1)</f>
        <v>1.1127391352427294</v>
      </c>
      <c r="C164" s="168">
        <f>IFERROR((VLOOKUP(A164,'Team Stats'!$B$2:$T$366,5,0)+0.44*VLOOKUP(A164,'Team Stats'!$B$2:$T$366,11,0)+VLOOKUP(A164,'Team Stats'!$B$2:$T$366,19,0)-VLOOKUP(A164,'Team Stats'!$B$2:$T$366,13,0)),70)</f>
        <v>72.343999999999994</v>
      </c>
      <c r="D164" s="168">
        <f>IFERROR(VLOOKUP(A164,'Opponents stats vs'!$B$2:$D$366,3,0)/C164,1.05)</f>
        <v>1.0712705960411368</v>
      </c>
      <c r="E164" s="169">
        <f>IFERROR(VLOOKUP(A164,SOS!A:C,3,0),200)</f>
        <v>224</v>
      </c>
      <c r="F164">
        <f>IFERROR(VLOOKUP(A164,SOS!A:D,4,0),200)</f>
        <v>240</v>
      </c>
      <c r="G164">
        <f>B164*((366-F164)/365)^'Enhanced Matchup Model'!$F$14</f>
        <v>1.0551088032518408</v>
      </c>
      <c r="H164">
        <f>D164*(2-((366-F164)/365)^'Enhanced Matchup Model'!$F$14)</f>
        <v>1.1267532137963401</v>
      </c>
    </row>
    <row r="165" spans="1:8" ht="15" customHeight="1" x14ac:dyDescent="0.25">
      <c r="A165" s="167" t="s">
        <v>318</v>
      </c>
      <c r="B165" s="168">
        <f>IFERROR(VLOOKUP(A165,'Team Stats'!$B$2:$T$366,3,0)/(VLOOKUP(A165,'Team Stats'!$B$2:$T$366,5,0)+0.44*VLOOKUP(A165,'Team Stats'!$B$2:$T$366,11,0)+VLOOKUP(A165,'Team Stats'!$B$2:$T$366,19,0)-VLOOKUP(A165,'Team Stats'!$B$2:$T$366,13,0)),1)</f>
        <v>1.1972463334331038</v>
      </c>
      <c r="C165" s="168">
        <f>IFERROR((VLOOKUP(A165,'Team Stats'!$B$2:$T$366,5,0)+0.44*VLOOKUP(A165,'Team Stats'!$B$2:$T$366,11,0)+VLOOKUP(A165,'Team Stats'!$B$2:$T$366,19,0)-VLOOKUP(A165,'Team Stats'!$B$2:$T$366,13,0)),70)</f>
        <v>66.820000000000007</v>
      </c>
      <c r="D165" s="168">
        <f>IFERROR(VLOOKUP(A165,'Opponents stats vs'!$B$2:$D$366,3,0)/C165,1.05)</f>
        <v>0.99221789883268463</v>
      </c>
      <c r="E165" s="169">
        <f>IFERROR(VLOOKUP(A165,SOS!A:C,3,0),200)</f>
        <v>66</v>
      </c>
      <c r="F165">
        <f>IFERROR(VLOOKUP(A165,SOS!A:D,4,0),200)</f>
        <v>204</v>
      </c>
      <c r="G165">
        <f>B165*((366-F165)/365)^'Enhanced Matchup Model'!$F$14</f>
        <v>1.1495943566792841</v>
      </c>
      <c r="H165">
        <f>D165*(2-((366-F165)/365)^'Enhanced Matchup Model'!$F$14)</f>
        <v>1.0317094745674127</v>
      </c>
    </row>
    <row r="166" spans="1:8" ht="15" customHeight="1" x14ac:dyDescent="0.25">
      <c r="A166" s="170" t="s">
        <v>319</v>
      </c>
      <c r="B166" s="168">
        <f>IFERROR(VLOOKUP(A166,'Team Stats'!$B$2:$T$366,3,0)/(VLOOKUP(A166,'Team Stats'!$B$2:$T$366,5,0)+0.44*VLOOKUP(A166,'Team Stats'!$B$2:$T$366,11,0)+VLOOKUP(A166,'Team Stats'!$B$2:$T$366,19,0)-VLOOKUP(A166,'Team Stats'!$B$2:$T$366,13,0)),1)</f>
        <v>1.0482150875617424</v>
      </c>
      <c r="C166" s="168">
        <f>IFERROR((VLOOKUP(A166,'Team Stats'!$B$2:$T$366,5,0)+0.44*VLOOKUP(A166,'Team Stats'!$B$2:$T$366,11,0)+VLOOKUP(A166,'Team Stats'!$B$2:$T$366,19,0)-VLOOKUP(A166,'Team Stats'!$B$2:$T$366,13,0)),70)</f>
        <v>71.263999999999996</v>
      </c>
      <c r="D166" s="168">
        <f>IFERROR(VLOOKUP(A166,'Opponents stats vs'!$B$2:$D$366,3,0)/C166,1.05)</f>
        <v>1.0650538841490795</v>
      </c>
      <c r="E166" s="169">
        <f>IFERROR(VLOOKUP(A166,SOS!A:C,3,0),200)</f>
        <v>132</v>
      </c>
      <c r="F166">
        <f>IFERROR(VLOOKUP(A166,SOS!A:D,4,0),200)</f>
        <v>76</v>
      </c>
      <c r="G166">
        <f>B166*((366-F166)/365)^'Enhanced Matchup Model'!$F$14</f>
        <v>1.0362288110453894</v>
      </c>
      <c r="H166">
        <f>D166*(2-((366-F166)/365)^'Enhanced Matchup Model'!$F$14)</f>
        <v>1.0772327112922013</v>
      </c>
    </row>
    <row r="167" spans="1:8" ht="15" customHeight="1" x14ac:dyDescent="0.25">
      <c r="A167" s="167" t="s">
        <v>320</v>
      </c>
      <c r="B167" s="168">
        <f>IFERROR(VLOOKUP(A167,'Team Stats'!$B$2:$T$366,3,0)/(VLOOKUP(A167,'Team Stats'!$B$2:$T$366,5,0)+0.44*VLOOKUP(A167,'Team Stats'!$B$2:$T$366,11,0)+VLOOKUP(A167,'Team Stats'!$B$2:$T$366,19,0)-VLOOKUP(A167,'Team Stats'!$B$2:$T$366,13,0)),1)</f>
        <v>1.1814610260206115</v>
      </c>
      <c r="C167" s="168">
        <f>IFERROR((VLOOKUP(A167,'Team Stats'!$B$2:$T$366,5,0)+0.44*VLOOKUP(A167,'Team Stats'!$B$2:$T$366,11,0)+VLOOKUP(A167,'Team Stats'!$B$2:$T$366,19,0)-VLOOKUP(A167,'Team Stats'!$B$2:$T$366,13,0)),70)</f>
        <v>70.251999999999995</v>
      </c>
      <c r="D167" s="168">
        <f>IFERROR(VLOOKUP(A167,'Opponents stats vs'!$B$2:$D$366,3,0)/C167,1.05)</f>
        <v>1.0747024995729659</v>
      </c>
      <c r="E167" s="169">
        <f>IFERROR(VLOOKUP(A167,SOS!A:C,3,0),200)</f>
        <v>168</v>
      </c>
      <c r="F167">
        <f>IFERROR(VLOOKUP(A167,SOS!A:D,4,0),200)</f>
        <v>241</v>
      </c>
      <c r="G167">
        <f>B167*((366-F167)/365)^'Enhanced Matchup Model'!$F$14</f>
        <v>1.1198252534437489</v>
      </c>
      <c r="H167">
        <f>D167*(2-((366-F167)/365)^'Enhanced Matchup Model'!$F$14)</f>
        <v>1.1307687746278228</v>
      </c>
    </row>
    <row r="168" spans="1:8" ht="15" customHeight="1" x14ac:dyDescent="0.25">
      <c r="A168" s="170" t="s">
        <v>321</v>
      </c>
      <c r="B168" s="168">
        <f>IFERROR(VLOOKUP(A168,'Team Stats'!$B$2:$T$366,3,0)/(VLOOKUP(A168,'Team Stats'!$B$2:$T$366,5,0)+0.44*VLOOKUP(A168,'Team Stats'!$B$2:$T$366,11,0)+VLOOKUP(A168,'Team Stats'!$B$2:$T$366,19,0)-VLOOKUP(A168,'Team Stats'!$B$2:$T$366,13,0)),1)</f>
        <v>1.0710778296096244</v>
      </c>
      <c r="C168" s="168">
        <f>IFERROR((VLOOKUP(A168,'Team Stats'!$B$2:$T$366,5,0)+0.44*VLOOKUP(A168,'Team Stats'!$B$2:$T$366,11,0)+VLOOKUP(A168,'Team Stats'!$B$2:$T$366,19,0)-VLOOKUP(A168,'Team Stats'!$B$2:$T$366,13,0)),70)</f>
        <v>65.167999999999992</v>
      </c>
      <c r="D168" s="168">
        <f>IFERROR(VLOOKUP(A168,'Opponents stats vs'!$B$2:$D$366,3,0)/C168,1.05)</f>
        <v>1.0357844340780753</v>
      </c>
      <c r="E168" s="169">
        <f>IFERROR(VLOOKUP(A168,SOS!A:C,3,0),200)</f>
        <v>311</v>
      </c>
      <c r="F168">
        <f>IFERROR(VLOOKUP(A168,SOS!A:D,4,0),200)</f>
        <v>343</v>
      </c>
      <c r="G168">
        <f>B168*((366-F168)/365)^'Enhanced Matchup Model'!$F$14</f>
        <v>0.93280910917742677</v>
      </c>
      <c r="H168">
        <f>D168*(2-((366-F168)/365)^'Enhanced Matchup Model'!$F$14)</f>
        <v>1.1694970218885816</v>
      </c>
    </row>
    <row r="169" spans="1:8" ht="15" customHeight="1" x14ac:dyDescent="0.25">
      <c r="A169" s="167" t="s">
        <v>48</v>
      </c>
      <c r="B169" s="168">
        <f>IFERROR(VLOOKUP(A169,'Team Stats'!$B$2:$T$366,3,0)/(VLOOKUP(A169,'Team Stats'!$B$2:$T$366,5,0)+0.44*VLOOKUP(A169,'Team Stats'!$B$2:$T$366,11,0)+VLOOKUP(A169,'Team Stats'!$B$2:$T$366,19,0)-VLOOKUP(A169,'Team Stats'!$B$2:$T$366,13,0)),1)</f>
        <v>1.0823389766976945</v>
      </c>
      <c r="C169" s="168">
        <f>IFERROR((VLOOKUP(A169,'Team Stats'!$B$2:$T$366,5,0)+0.44*VLOOKUP(A169,'Team Stats'!$B$2:$T$366,11,0)+VLOOKUP(A169,'Team Stats'!$B$2:$T$366,19,0)-VLOOKUP(A169,'Team Stats'!$B$2:$T$366,13,0)),70)</f>
        <v>64.028000000000006</v>
      </c>
      <c r="D169" s="168">
        <f>IFERROR(VLOOKUP(A169,'Opponents stats vs'!$B$2:$D$366,3,0)/C169,1.05)</f>
        <v>1.054226276004248</v>
      </c>
      <c r="E169" s="169">
        <f>IFERROR(VLOOKUP(A169,SOS!A:C,3,0),200)</f>
        <v>144</v>
      </c>
      <c r="F169">
        <f>IFERROR(VLOOKUP(A169,SOS!A:D,4,0),200)</f>
        <v>256</v>
      </c>
      <c r="G169">
        <f>B169*((366-F169)/365)^'Enhanced Matchup Model'!$F$14</f>
        <v>1.019338175466783</v>
      </c>
      <c r="H169">
        <f>D169*(2-((366-F169)/365)^'Enhanced Matchup Model'!$F$14)</f>
        <v>1.1155906927876034</v>
      </c>
    </row>
    <row r="170" spans="1:8" ht="15" customHeight="1" x14ac:dyDescent="0.25">
      <c r="A170" s="170" t="s">
        <v>31</v>
      </c>
      <c r="B170" s="168">
        <f>IFERROR(VLOOKUP(A170,'Team Stats'!$B$2:$T$366,3,0)/(VLOOKUP(A170,'Team Stats'!$B$2:$T$366,5,0)+0.44*VLOOKUP(A170,'Team Stats'!$B$2:$T$366,11,0)+VLOOKUP(A170,'Team Stats'!$B$2:$T$366,19,0)-VLOOKUP(A170,'Team Stats'!$B$2:$T$366,13,0)),1)</f>
        <v>1.2522882343151938</v>
      </c>
      <c r="C170" s="168">
        <f>IFERROR((VLOOKUP(A170,'Team Stats'!$B$2:$T$366,5,0)+0.44*VLOOKUP(A170,'Team Stats'!$B$2:$T$366,11,0)+VLOOKUP(A170,'Team Stats'!$B$2:$T$366,19,0)-VLOOKUP(A170,'Team Stats'!$B$2:$T$366,13,0)),70)</f>
        <v>72.108000000000004</v>
      </c>
      <c r="D170" s="168">
        <f>IFERROR(VLOOKUP(A170,'Opponents stats vs'!$B$2:$D$366,3,0)/C170,1.05)</f>
        <v>1.0234648027958062</v>
      </c>
      <c r="E170" s="169">
        <f>IFERROR(VLOOKUP(A170,SOS!A:C,3,0),200)</f>
        <v>176</v>
      </c>
      <c r="F170">
        <f>IFERROR(VLOOKUP(A170,SOS!A:D,4,0),200)</f>
        <v>312</v>
      </c>
      <c r="G170">
        <f>B170*((366-F170)/365)^'Enhanced Matchup Model'!$F$14</f>
        <v>1.1381757938681585</v>
      </c>
      <c r="H170">
        <f>D170*(2-((366-F170)/365)^'Enhanced Matchup Model'!$F$14)</f>
        <v>1.1167261328621541</v>
      </c>
    </row>
    <row r="171" spans="1:8" ht="15" customHeight="1" x14ac:dyDescent="0.25">
      <c r="A171" s="167" t="s">
        <v>86</v>
      </c>
      <c r="B171" s="168">
        <f>IFERROR(VLOOKUP(A171,'Team Stats'!$B$2:$T$366,3,0)/(VLOOKUP(A171,'Team Stats'!$B$2:$T$366,5,0)+0.44*VLOOKUP(A171,'Team Stats'!$B$2:$T$366,11,0)+VLOOKUP(A171,'Team Stats'!$B$2:$T$366,19,0)-VLOOKUP(A171,'Team Stats'!$B$2:$T$366,13,0)),1)</f>
        <v>1.1946825764596849</v>
      </c>
      <c r="C171" s="168">
        <f>IFERROR((VLOOKUP(A171,'Team Stats'!$B$2:$T$366,5,0)+0.44*VLOOKUP(A171,'Team Stats'!$B$2:$T$366,11,0)+VLOOKUP(A171,'Team Stats'!$B$2:$T$366,19,0)-VLOOKUP(A171,'Team Stats'!$B$2:$T$366,13,0)),70)</f>
        <v>69.055999999999997</v>
      </c>
      <c r="D171" s="168">
        <f>IFERROR(VLOOKUP(A171,'Opponents stats vs'!$B$2:$D$366,3,0)/C171,1.05)</f>
        <v>1.0136700648748842</v>
      </c>
      <c r="E171" s="169">
        <f>IFERROR(VLOOKUP(A171,SOS!A:C,3,0),200)</f>
        <v>33</v>
      </c>
      <c r="F171">
        <f>IFERROR(VLOOKUP(A171,SOS!A:D,4,0),200)</f>
        <v>86</v>
      </c>
      <c r="G171">
        <f>B171*((366-F171)/365)^'Enhanced Matchup Model'!$F$14</f>
        <v>1.17895108976221</v>
      </c>
      <c r="H171">
        <f>D171*(2-((366-F171)/365)^'Enhanced Matchup Model'!$F$14)</f>
        <v>1.0270179929818326</v>
      </c>
    </row>
    <row r="172" spans="1:8" ht="15" customHeight="1" x14ac:dyDescent="0.25">
      <c r="A172" s="170" t="s">
        <v>99</v>
      </c>
      <c r="B172" s="168">
        <f>IFERROR(VLOOKUP(A172,'Team Stats'!$B$2:$T$366,3,0)/(VLOOKUP(A172,'Team Stats'!$B$2:$T$366,5,0)+0.44*VLOOKUP(A172,'Team Stats'!$B$2:$T$366,11,0)+VLOOKUP(A172,'Team Stats'!$B$2:$T$366,19,0)-VLOOKUP(A172,'Team Stats'!$B$2:$T$366,13,0)),1)</f>
        <v>1.1847413741193473</v>
      </c>
      <c r="C172" s="168">
        <f>IFERROR((VLOOKUP(A172,'Team Stats'!$B$2:$T$366,5,0)+0.44*VLOOKUP(A172,'Team Stats'!$B$2:$T$366,11,0)+VLOOKUP(A172,'Team Stats'!$B$2:$T$366,19,0)-VLOOKUP(A172,'Team Stats'!$B$2:$T$366,13,0)),70)</f>
        <v>66.427999999999997</v>
      </c>
      <c r="D172" s="168">
        <f>IFERROR(VLOOKUP(A172,'Opponents stats vs'!$B$2:$D$366,3,0)/C172,1.05)</f>
        <v>1.0086108267598002</v>
      </c>
      <c r="E172" s="169">
        <f>IFERROR(VLOOKUP(A172,SOS!A:C,3,0),200)</f>
        <v>5</v>
      </c>
      <c r="F172">
        <f>IFERROR(VLOOKUP(A172,SOS!A:D,4,0),200)</f>
        <v>16</v>
      </c>
      <c r="G172">
        <f>B172*((366-F172)/365)^'Enhanced Matchup Model'!$F$14</f>
        <v>1.1822581440541806</v>
      </c>
      <c r="H172">
        <f>D172*(2-((366-F172)/365)^'Enhanced Matchup Model'!$F$14)</f>
        <v>1.0107248853921531</v>
      </c>
    </row>
    <row r="173" spans="1:8" ht="15" customHeight="1" x14ac:dyDescent="0.25">
      <c r="A173" s="167" t="s">
        <v>67</v>
      </c>
      <c r="B173" s="168">
        <f>IFERROR(VLOOKUP(A173,'Team Stats'!$B$2:$T$366,3,0)/(VLOOKUP(A173,'Team Stats'!$B$2:$T$366,5,0)+0.44*VLOOKUP(A173,'Team Stats'!$B$2:$T$366,11,0)+VLOOKUP(A173,'Team Stats'!$B$2:$T$366,19,0)-VLOOKUP(A173,'Team Stats'!$B$2:$T$366,13,0)),1)</f>
        <v>1.233740858594317</v>
      </c>
      <c r="C173" s="168">
        <f>IFERROR((VLOOKUP(A173,'Team Stats'!$B$2:$T$366,5,0)+0.44*VLOOKUP(A173,'Team Stats'!$B$2:$T$366,11,0)+VLOOKUP(A173,'Team Stats'!$B$2:$T$366,19,0)-VLOOKUP(A173,'Team Stats'!$B$2:$T$366,13,0)),70)</f>
        <v>71.652000000000001</v>
      </c>
      <c r="D173" s="168">
        <f>IFERROR(VLOOKUP(A173,'Opponents stats vs'!$B$2:$D$366,3,0)/C173,1.05)</f>
        <v>0.95880087087590016</v>
      </c>
      <c r="E173" s="169">
        <f>IFERROR(VLOOKUP(A173,SOS!A:C,3,0),200)</f>
        <v>1</v>
      </c>
      <c r="F173">
        <f>IFERROR(VLOOKUP(A173,SOS!A:D,4,0),200)</f>
        <v>2</v>
      </c>
      <c r="G173">
        <f>B173*((366-F173)/365)^'Enhanced Matchup Model'!$F$14</f>
        <v>1.2335716326659938</v>
      </c>
      <c r="H173">
        <f>D173*(2-((366-F173)/365)^'Enhanced Matchup Model'!$F$14)</f>
        <v>0.95893238469123743</v>
      </c>
    </row>
    <row r="174" spans="1:8" ht="15" customHeight="1" x14ac:dyDescent="0.25">
      <c r="A174" s="170" t="s">
        <v>322</v>
      </c>
      <c r="B174" s="168">
        <f>IFERROR(VLOOKUP(A174,'Team Stats'!$B$2:$T$366,3,0)/(VLOOKUP(A174,'Team Stats'!$B$2:$T$366,5,0)+0.44*VLOOKUP(A174,'Team Stats'!$B$2:$T$366,11,0)+VLOOKUP(A174,'Team Stats'!$B$2:$T$366,19,0)-VLOOKUP(A174,'Team Stats'!$B$2:$T$366,13,0)),1)</f>
        <v>1.1102311392702098</v>
      </c>
      <c r="C174" s="168">
        <f>IFERROR((VLOOKUP(A174,'Team Stats'!$B$2:$T$366,5,0)+0.44*VLOOKUP(A174,'Team Stats'!$B$2:$T$366,11,0)+VLOOKUP(A174,'Team Stats'!$B$2:$T$366,19,0)-VLOOKUP(A174,'Team Stats'!$B$2:$T$366,13,0)),70)</f>
        <v>68.184000000000012</v>
      </c>
      <c r="D174" s="168">
        <f>IFERROR(VLOOKUP(A174,'Opponents stats vs'!$B$2:$D$366,3,0)/C174,1.05)</f>
        <v>1.0691657866948256</v>
      </c>
      <c r="E174" s="169">
        <f>IFERROR(VLOOKUP(A174,SOS!A:C,3,0),200)</f>
        <v>114</v>
      </c>
      <c r="F174">
        <f>IFERROR(VLOOKUP(A174,SOS!A:D,4,0),200)</f>
        <v>136</v>
      </c>
      <c r="G174">
        <f>B174*((366-F174)/365)^'Enhanced Matchup Model'!$F$14</f>
        <v>1.0848886174453261</v>
      </c>
      <c r="H174">
        <f>D174*(2-((366-F174)/365)^'Enhanced Matchup Model'!$F$14)</f>
        <v>1.0935709365103345</v>
      </c>
    </row>
    <row r="175" spans="1:8" ht="15" customHeight="1" x14ac:dyDescent="0.25">
      <c r="A175" s="167" t="s">
        <v>323</v>
      </c>
      <c r="B175" s="168">
        <f>IFERROR(VLOOKUP(A175,'Team Stats'!$B$2:$T$366,3,0)/(VLOOKUP(A175,'Team Stats'!$B$2:$T$366,5,0)+0.44*VLOOKUP(A175,'Team Stats'!$B$2:$T$366,11,0)+VLOOKUP(A175,'Team Stats'!$B$2:$T$366,19,0)-VLOOKUP(A175,'Team Stats'!$B$2:$T$366,13,0)),1)</f>
        <v>1.1145845506602778</v>
      </c>
      <c r="C175" s="168">
        <f>IFERROR((VLOOKUP(A175,'Team Stats'!$B$2:$T$366,5,0)+0.44*VLOOKUP(A175,'Team Stats'!$B$2:$T$366,11,0)+VLOOKUP(A175,'Team Stats'!$B$2:$T$366,19,0)-VLOOKUP(A175,'Team Stats'!$B$2:$T$366,13,0)),70)</f>
        <v>68.456000000000017</v>
      </c>
      <c r="D175" s="168">
        <f>IFERROR(VLOOKUP(A175,'Opponents stats vs'!$B$2:$D$366,3,0)/C175,1.05)</f>
        <v>1.1627906976744182</v>
      </c>
      <c r="E175" s="169">
        <f>IFERROR(VLOOKUP(A175,SOS!A:C,3,0),200)</f>
        <v>209</v>
      </c>
      <c r="F175">
        <f>IFERROR(VLOOKUP(A175,SOS!A:D,4,0),200)</f>
        <v>174</v>
      </c>
      <c r="G175">
        <f>B175*((366-F175)/365)^'Enhanced Matchup Model'!$F$14</f>
        <v>1.079352836533555</v>
      </c>
      <c r="H175">
        <f>D175*(2-((366-F175)/365)^'Enhanced Matchup Model'!$F$14)</f>
        <v>1.1995461949809341</v>
      </c>
    </row>
    <row r="176" spans="1:8" ht="15" customHeight="1" x14ac:dyDescent="0.25">
      <c r="A176" s="170" t="s">
        <v>324</v>
      </c>
      <c r="B176" s="168">
        <f>IFERROR(VLOOKUP(A176,'Team Stats'!$B$2:$T$366,3,0)/(VLOOKUP(A176,'Team Stats'!$B$2:$T$366,5,0)+0.44*VLOOKUP(A176,'Team Stats'!$B$2:$T$366,11,0)+VLOOKUP(A176,'Team Stats'!$B$2:$T$366,19,0)-VLOOKUP(A176,'Team Stats'!$B$2:$T$366,13,0)),1)</f>
        <v>1.1134373810430152</v>
      </c>
      <c r="C176" s="168">
        <f>IFERROR((VLOOKUP(A176,'Team Stats'!$B$2:$T$366,5,0)+0.44*VLOOKUP(A176,'Team Stats'!$B$2:$T$366,11,0)+VLOOKUP(A176,'Team Stats'!$B$2:$T$366,19,0)-VLOOKUP(A176,'Team Stats'!$B$2:$T$366,13,0)),70)</f>
        <v>63.047999999999988</v>
      </c>
      <c r="D176" s="168">
        <f>IFERROR(VLOOKUP(A176,'Opponents stats vs'!$B$2:$D$366,3,0)/C176,1.05)</f>
        <v>1.0864737977414036</v>
      </c>
      <c r="E176" s="169">
        <f>IFERROR(VLOOKUP(A176,SOS!A:C,3,0),200)</f>
        <v>97</v>
      </c>
      <c r="F176">
        <f>IFERROR(VLOOKUP(A176,SOS!A:D,4,0),200)</f>
        <v>55</v>
      </c>
      <c r="G176">
        <f>B176*((366-F176)/365)^'Enhanced Matchup Model'!$F$14</f>
        <v>1.1045596490642171</v>
      </c>
      <c r="H176">
        <f>D176*(2-((366-F176)/365)^'Enhanced Matchup Model'!$F$14)</f>
        <v>1.0951365419087495</v>
      </c>
    </row>
    <row r="177" spans="1:8" ht="15" customHeight="1" x14ac:dyDescent="0.25">
      <c r="A177" s="167" t="s">
        <v>325</v>
      </c>
      <c r="B177" s="168">
        <f>IFERROR(VLOOKUP(A177,'Team Stats'!$B$2:$T$366,3,0)/(VLOOKUP(A177,'Team Stats'!$B$2:$T$366,5,0)+0.44*VLOOKUP(A177,'Team Stats'!$B$2:$T$366,11,0)+VLOOKUP(A177,'Team Stats'!$B$2:$T$366,19,0)-VLOOKUP(A177,'Team Stats'!$B$2:$T$366,13,0)),1)</f>
        <v>1.0842834786496758</v>
      </c>
      <c r="C177" s="168">
        <f>IFERROR((VLOOKUP(A177,'Team Stats'!$B$2:$T$366,5,0)+0.44*VLOOKUP(A177,'Team Stats'!$B$2:$T$366,11,0)+VLOOKUP(A177,'Team Stats'!$B$2:$T$366,19,0)-VLOOKUP(A177,'Team Stats'!$B$2:$T$366,13,0)),70)</f>
        <v>71.567999999999998</v>
      </c>
      <c r="D177" s="168">
        <f>IFERROR(VLOOKUP(A177,'Opponents stats vs'!$B$2:$D$366,3,0)/C177,1.05)</f>
        <v>1.1345852895148671</v>
      </c>
      <c r="E177" s="169">
        <f>IFERROR(VLOOKUP(A177,SOS!A:C,3,0),200)</f>
        <v>81</v>
      </c>
      <c r="F177">
        <f>IFERROR(VLOOKUP(A177,SOS!A:D,4,0),200)</f>
        <v>8</v>
      </c>
      <c r="G177">
        <f>B177*((366-F177)/365)^'Enhanced Matchup Model'!$F$14</f>
        <v>1.0832341635442375</v>
      </c>
      <c r="H177">
        <f>D177*(2-((366-F177)/365)^'Enhanced Matchup Model'!$F$14)</f>
        <v>1.1356832841870526</v>
      </c>
    </row>
    <row r="178" spans="1:8" ht="15" customHeight="1" x14ac:dyDescent="0.25">
      <c r="A178" s="170" t="s">
        <v>326</v>
      </c>
      <c r="B178" s="168">
        <f>IFERROR(VLOOKUP(A178,'Team Stats'!$B$2:$T$366,3,0)/(VLOOKUP(A178,'Team Stats'!$B$2:$T$366,5,0)+0.44*VLOOKUP(A178,'Team Stats'!$B$2:$T$366,11,0)+VLOOKUP(A178,'Team Stats'!$B$2:$T$366,19,0)-VLOOKUP(A178,'Team Stats'!$B$2:$T$366,13,0)),1)</f>
        <v>0.92059510916034859</v>
      </c>
      <c r="C178" s="168">
        <f>IFERROR((VLOOKUP(A178,'Team Stats'!$B$2:$T$366,5,0)+0.44*VLOOKUP(A178,'Team Stats'!$B$2:$T$366,11,0)+VLOOKUP(A178,'Team Stats'!$B$2:$T$366,19,0)-VLOOKUP(A178,'Team Stats'!$B$2:$T$366,13,0)),70)</f>
        <v>70.172000000000011</v>
      </c>
      <c r="D178" s="168">
        <f>IFERROR(VLOOKUP(A178,'Opponents stats vs'!$B$2:$D$366,3,0)/C178,1.05)</f>
        <v>1.185658097246765</v>
      </c>
      <c r="E178" s="169">
        <f>IFERROR(VLOOKUP(A178,SOS!A:C,3,0),200)</f>
        <v>364</v>
      </c>
      <c r="F178">
        <f>IFERROR(VLOOKUP(A178,SOS!A:D,4,0),200)</f>
        <v>297</v>
      </c>
      <c r="G178">
        <f>B178*((366-F178)/365)^'Enhanced Matchup Model'!$F$14</f>
        <v>0.84702547950049567</v>
      </c>
      <c r="H178">
        <f>D178*(2-((366-F178)/365)^'Enhanced Matchup Model'!$F$14)</f>
        <v>1.2804103137746252</v>
      </c>
    </row>
    <row r="179" spans="1:8" ht="15" customHeight="1" x14ac:dyDescent="0.25">
      <c r="A179" s="167" t="s">
        <v>327</v>
      </c>
      <c r="B179" s="168">
        <f>IFERROR(VLOOKUP(A179,'Team Stats'!$B$2:$T$366,3,0)/(VLOOKUP(A179,'Team Stats'!$B$2:$T$366,5,0)+0.44*VLOOKUP(A179,'Team Stats'!$B$2:$T$366,11,0)+VLOOKUP(A179,'Team Stats'!$B$2:$T$366,19,0)-VLOOKUP(A179,'Team Stats'!$B$2:$T$366,13,0)),1)</f>
        <v>1.1177721339554663</v>
      </c>
      <c r="C179" s="168">
        <f>IFERROR((VLOOKUP(A179,'Team Stats'!$B$2:$T$366,5,0)+0.44*VLOOKUP(A179,'Team Stats'!$B$2:$T$366,11,0)+VLOOKUP(A179,'Team Stats'!$B$2:$T$366,19,0)-VLOOKUP(A179,'Team Stats'!$B$2:$T$366,13,0)),70)</f>
        <v>67.724000000000004</v>
      </c>
      <c r="D179" s="168">
        <f>IFERROR(VLOOKUP(A179,'Opponents stats vs'!$B$2:$D$366,3,0)/C179,1.05)</f>
        <v>1.0911936684188766</v>
      </c>
      <c r="E179" s="169">
        <f>IFERROR(VLOOKUP(A179,SOS!A:C,3,0),200)</f>
        <v>198</v>
      </c>
      <c r="F179">
        <f>IFERROR(VLOOKUP(A179,SOS!A:D,4,0),200)</f>
        <v>182</v>
      </c>
      <c r="G179">
        <f>B179*((366-F179)/365)^'Enhanced Matchup Model'!$F$14</f>
        <v>1.0801386995275382</v>
      </c>
      <c r="H179">
        <f>D179*(2-((366-F179)/365)^'Enhanced Matchup Model'!$F$14)</f>
        <v>1.1279322523584259</v>
      </c>
    </row>
    <row r="180" spans="1:8" ht="15" customHeight="1" x14ac:dyDescent="0.25">
      <c r="A180" s="170" t="s">
        <v>22</v>
      </c>
      <c r="B180" s="168">
        <f>IFERROR(VLOOKUP(A180,'Team Stats'!$B$2:$T$366,3,0)/(VLOOKUP(A180,'Team Stats'!$B$2:$T$366,5,0)+0.44*VLOOKUP(A180,'Team Stats'!$B$2:$T$366,11,0)+VLOOKUP(A180,'Team Stats'!$B$2:$T$366,19,0)-VLOOKUP(A180,'Team Stats'!$B$2:$T$366,13,0)),1)</f>
        <v>1.1727016223841995</v>
      </c>
      <c r="C180" s="168">
        <f>IFERROR((VLOOKUP(A180,'Team Stats'!$B$2:$T$366,5,0)+0.44*VLOOKUP(A180,'Team Stats'!$B$2:$T$366,11,0)+VLOOKUP(A180,'Team Stats'!$B$2:$T$366,19,0)-VLOOKUP(A180,'Team Stats'!$B$2:$T$366,13,0)),70)</f>
        <v>68.047999999999988</v>
      </c>
      <c r="D180" s="168">
        <f>IFERROR(VLOOKUP(A180,'Opponents stats vs'!$B$2:$D$366,3,0)/C180,1.05)</f>
        <v>1.0992240771220316</v>
      </c>
      <c r="E180" s="169">
        <f>IFERROR(VLOOKUP(A180,SOS!A:C,3,0),200)</f>
        <v>40</v>
      </c>
      <c r="F180">
        <f>IFERROR(VLOOKUP(A180,SOS!A:D,4,0),200)</f>
        <v>62</v>
      </c>
      <c r="G180">
        <f>B180*((366-F180)/365)^'Enhanced Matchup Model'!$F$14</f>
        <v>1.1620279172760704</v>
      </c>
      <c r="H180">
        <f>D180*(2-((366-F180)/365)^'Enhanced Matchup Model'!$F$14)</f>
        <v>1.1092290037146137</v>
      </c>
    </row>
    <row r="181" spans="1:8" ht="15" customHeight="1" x14ac:dyDescent="0.25">
      <c r="A181" s="167" t="s">
        <v>328</v>
      </c>
      <c r="B181" s="168">
        <f>IFERROR(VLOOKUP(A181,'Team Stats'!$B$2:$T$366,3,0)/(VLOOKUP(A181,'Team Stats'!$B$2:$T$366,5,0)+0.44*VLOOKUP(A181,'Team Stats'!$B$2:$T$366,11,0)+VLOOKUP(A181,'Team Stats'!$B$2:$T$366,19,0)-VLOOKUP(A181,'Team Stats'!$B$2:$T$366,13,0)),1)</f>
        <v>1.0837292161520193</v>
      </c>
      <c r="C181" s="168">
        <f>IFERROR((VLOOKUP(A181,'Team Stats'!$B$2:$T$366,5,0)+0.44*VLOOKUP(A181,'Team Stats'!$B$2:$T$366,11,0)+VLOOKUP(A181,'Team Stats'!$B$2:$T$366,19,0)-VLOOKUP(A181,'Team Stats'!$B$2:$T$366,13,0)),70)</f>
        <v>67.359999999999985</v>
      </c>
      <c r="D181" s="168">
        <f>IFERROR(VLOOKUP(A181,'Opponents stats vs'!$B$2:$D$366,3,0)/C181,1.05)</f>
        <v>1.0599762470308791</v>
      </c>
      <c r="E181" s="169">
        <f>IFERROR(VLOOKUP(A181,SOS!A:C,3,0),200)</f>
        <v>161</v>
      </c>
      <c r="F181">
        <f>IFERROR(VLOOKUP(A181,SOS!A:D,4,0),200)</f>
        <v>191</v>
      </c>
      <c r="G181">
        <f>B181*((366-F181)/365)^'Enhanced Matchup Model'!$F$14</f>
        <v>1.044619288937821</v>
      </c>
      <c r="H181">
        <f>D181*(2-((366-F181)/365)^'Enhanced Matchup Model'!$F$14)</f>
        <v>1.0982289703609307</v>
      </c>
    </row>
    <row r="182" spans="1:8" ht="15" customHeight="1" x14ac:dyDescent="0.25">
      <c r="A182" s="170" t="s">
        <v>329</v>
      </c>
      <c r="B182" s="168">
        <f>IFERROR(VLOOKUP(A182,'Team Stats'!$B$2:$T$366,3,0)/(VLOOKUP(A182,'Team Stats'!$B$2:$T$366,5,0)+0.44*VLOOKUP(A182,'Team Stats'!$B$2:$T$366,11,0)+VLOOKUP(A182,'Team Stats'!$B$2:$T$366,19,0)-VLOOKUP(A182,'Team Stats'!$B$2:$T$366,13,0)),1)</f>
        <v>1.0942999886453957</v>
      </c>
      <c r="C182" s="168">
        <f>IFERROR((VLOOKUP(A182,'Team Stats'!$B$2:$T$366,5,0)+0.44*VLOOKUP(A182,'Team Stats'!$B$2:$T$366,11,0)+VLOOKUP(A182,'Team Stats'!$B$2:$T$366,19,0)-VLOOKUP(A182,'Team Stats'!$B$2:$T$366,13,0)),70)</f>
        <v>70.456000000000003</v>
      </c>
      <c r="D182" s="168">
        <f>IFERROR(VLOOKUP(A182,'Opponents stats vs'!$B$2:$D$366,3,0)/C182,1.05)</f>
        <v>1.051720222550244</v>
      </c>
      <c r="E182" s="169">
        <f>IFERROR(VLOOKUP(A182,SOS!A:C,3,0),200)</f>
        <v>225</v>
      </c>
      <c r="F182">
        <f>IFERROR(VLOOKUP(A182,SOS!A:D,4,0),200)</f>
        <v>255</v>
      </c>
      <c r="G182">
        <f>B182*((366-F182)/365)^'Enhanced Matchup Model'!$F$14</f>
        <v>1.0310694055627869</v>
      </c>
      <c r="H182">
        <f>D182*(2-((366-F182)/365)^'Enhanced Matchup Model'!$F$14)</f>
        <v>1.1124904716607669</v>
      </c>
    </row>
    <row r="183" spans="1:8" ht="15" customHeight="1" x14ac:dyDescent="0.25">
      <c r="A183" s="167" t="s">
        <v>330</v>
      </c>
      <c r="B183" s="168">
        <f>IFERROR(VLOOKUP(A183,'Team Stats'!$B$2:$T$366,3,0)/(VLOOKUP(A183,'Team Stats'!$B$2:$T$366,5,0)+0.44*VLOOKUP(A183,'Team Stats'!$B$2:$T$366,11,0)+VLOOKUP(A183,'Team Stats'!$B$2:$T$366,19,0)-VLOOKUP(A183,'Team Stats'!$B$2:$T$366,13,0)),1)</f>
        <v>1.161128974633798</v>
      </c>
      <c r="C183" s="168">
        <f>IFERROR((VLOOKUP(A183,'Team Stats'!$B$2:$T$366,5,0)+0.44*VLOOKUP(A183,'Team Stats'!$B$2:$T$366,11,0)+VLOOKUP(A183,'Team Stats'!$B$2:$T$366,19,0)-VLOOKUP(A183,'Team Stats'!$B$2:$T$366,13,0)),70)</f>
        <v>67.175999999999988</v>
      </c>
      <c r="D183" s="168">
        <f>IFERROR(VLOOKUP(A183,'Opponents stats vs'!$B$2:$D$366,3,0)/C183,1.05)</f>
        <v>1.0599023460759798</v>
      </c>
      <c r="E183" s="169">
        <f>IFERROR(VLOOKUP(A183,SOS!A:C,3,0),200)</f>
        <v>181</v>
      </c>
      <c r="F183">
        <f>IFERROR(VLOOKUP(A183,SOS!A:D,4,0),200)</f>
        <v>237</v>
      </c>
      <c r="G183">
        <f>B183*((366-F183)/365)^'Enhanced Matchup Model'!$F$14</f>
        <v>1.1022885718098421</v>
      </c>
      <c r="H183">
        <f>D183*(2-((366-F183)/365)^'Enhanced Matchup Model'!$F$14)</f>
        <v>1.1136130727563089</v>
      </c>
    </row>
    <row r="184" spans="1:8" ht="15" customHeight="1" x14ac:dyDescent="0.25">
      <c r="A184" s="170" t="s">
        <v>331</v>
      </c>
      <c r="B184" s="168">
        <f>IFERROR(VLOOKUP(A184,'Team Stats'!$B$2:$T$366,3,0)/(VLOOKUP(A184,'Team Stats'!$B$2:$T$366,5,0)+0.44*VLOOKUP(A184,'Team Stats'!$B$2:$T$366,11,0)+VLOOKUP(A184,'Team Stats'!$B$2:$T$366,19,0)-VLOOKUP(A184,'Team Stats'!$B$2:$T$366,13,0)),1)</f>
        <v>1.1318162814310457</v>
      </c>
      <c r="C184" s="168">
        <f>IFERROR((VLOOKUP(A184,'Team Stats'!$B$2:$T$366,5,0)+0.44*VLOOKUP(A184,'Team Stats'!$B$2:$T$366,11,0)+VLOOKUP(A184,'Team Stats'!$B$2:$T$366,19,0)-VLOOKUP(A184,'Team Stats'!$B$2:$T$366,13,0)),70)</f>
        <v>66.972000000000008</v>
      </c>
      <c r="D184" s="168">
        <f>IFERROR(VLOOKUP(A184,'Opponents stats vs'!$B$2:$D$366,3,0)/C184,1.05)</f>
        <v>1.113898345577256</v>
      </c>
      <c r="E184" s="169">
        <f>IFERROR(VLOOKUP(A184,SOS!A:C,3,0),200)</f>
        <v>254</v>
      </c>
      <c r="F184">
        <f>IFERROR(VLOOKUP(A184,SOS!A:D,4,0),200)</f>
        <v>328</v>
      </c>
      <c r="G184">
        <f>B184*((366-F184)/365)^'Enhanced Matchup Model'!$F$14</f>
        <v>1.0107656483732046</v>
      </c>
      <c r="H184">
        <f>D184*(2-((366-F184)/365)^'Enhanced Matchup Model'!$F$14)</f>
        <v>1.2330326097740232</v>
      </c>
    </row>
    <row r="185" spans="1:8" ht="15" customHeight="1" x14ac:dyDescent="0.25">
      <c r="A185" s="167" t="s">
        <v>332</v>
      </c>
      <c r="B185" s="168">
        <f>IFERROR(VLOOKUP(A185,'Team Stats'!$B$2:$T$366,3,0)/(VLOOKUP(A185,'Team Stats'!$B$2:$T$366,5,0)+0.44*VLOOKUP(A185,'Team Stats'!$B$2:$T$366,11,0)+VLOOKUP(A185,'Team Stats'!$B$2:$T$366,19,0)-VLOOKUP(A185,'Team Stats'!$B$2:$T$366,13,0)),1)</f>
        <v>1.0635896857191223</v>
      </c>
      <c r="C185" s="168">
        <f>IFERROR((VLOOKUP(A185,'Team Stats'!$B$2:$T$366,5,0)+0.44*VLOOKUP(A185,'Team Stats'!$B$2:$T$366,11,0)+VLOOKUP(A185,'Team Stats'!$B$2:$T$366,19,0)-VLOOKUP(A185,'Team Stats'!$B$2:$T$366,13,0)),70)</f>
        <v>70.891999999999996</v>
      </c>
      <c r="D185" s="168">
        <f>IFERROR(VLOOKUP(A185,'Opponents stats vs'!$B$2:$D$366,3,0)/C185,1.05)</f>
        <v>1.1044969813237038</v>
      </c>
      <c r="E185" s="169">
        <f>IFERROR(VLOOKUP(A185,SOS!A:C,3,0),200)</f>
        <v>341</v>
      </c>
      <c r="F185">
        <f>IFERROR(VLOOKUP(A185,SOS!A:D,4,0),200)</f>
        <v>357</v>
      </c>
      <c r="G185">
        <f>B185*((366-F185)/365)^'Enhanced Matchup Model'!$F$14</f>
        <v>0.88383582139993611</v>
      </c>
      <c r="H185">
        <f>D185*(2-((366-F185)/365)^'Enhanced Matchup Model'!$F$14)</f>
        <v>1.2911644558090123</v>
      </c>
    </row>
    <row r="186" spans="1:8" ht="15" customHeight="1" x14ac:dyDescent="0.25">
      <c r="A186" s="170" t="s">
        <v>333</v>
      </c>
      <c r="B186" s="168">
        <f>IFERROR(VLOOKUP(A186,'Team Stats'!$B$2:$T$366,3,0)/(VLOOKUP(A186,'Team Stats'!$B$2:$T$366,5,0)+0.44*VLOOKUP(A186,'Team Stats'!$B$2:$T$366,11,0)+VLOOKUP(A186,'Team Stats'!$B$2:$T$366,19,0)-VLOOKUP(A186,'Team Stats'!$B$2:$T$366,13,0)),1)</f>
        <v>1.0100413467217955</v>
      </c>
      <c r="C186" s="168">
        <f>IFERROR((VLOOKUP(A186,'Team Stats'!$B$2:$T$366,5,0)+0.44*VLOOKUP(A186,'Team Stats'!$B$2:$T$366,11,0)+VLOOKUP(A186,'Team Stats'!$B$2:$T$366,19,0)-VLOOKUP(A186,'Team Stats'!$B$2:$T$366,13,0)),70)</f>
        <v>67.720000000000013</v>
      </c>
      <c r="D186" s="168">
        <f>IFERROR(VLOOKUP(A186,'Opponents stats vs'!$B$2:$D$366,3,0)/C186,1.05)</f>
        <v>1.0395747194329592</v>
      </c>
      <c r="E186" s="169">
        <f>IFERROR(VLOOKUP(A186,SOS!A:C,3,0),200)</f>
        <v>253</v>
      </c>
      <c r="F186">
        <f>IFERROR(VLOOKUP(A186,SOS!A:D,4,0),200)</f>
        <v>287</v>
      </c>
      <c r="G186">
        <f>B186*((366-F186)/365)^'Enhanced Matchup Model'!$F$14</f>
        <v>0.93563371643167226</v>
      </c>
      <c r="H186">
        <f>D186*(2-((366-F186)/365)^'Enhanced Matchup Model'!$F$14)</f>
        <v>1.1161580114274721</v>
      </c>
    </row>
    <row r="187" spans="1:8" ht="15" customHeight="1" x14ac:dyDescent="0.25">
      <c r="A187" s="167" t="s">
        <v>334</v>
      </c>
      <c r="B187" s="168">
        <f>IFERROR(VLOOKUP(A187,'Team Stats'!$B$2:$T$366,3,0)/(VLOOKUP(A187,'Team Stats'!$B$2:$T$366,5,0)+0.44*VLOOKUP(A187,'Team Stats'!$B$2:$T$366,11,0)+VLOOKUP(A187,'Team Stats'!$B$2:$T$366,19,0)-VLOOKUP(A187,'Team Stats'!$B$2:$T$366,13,0)),1)</f>
        <v>1.176851956252114</v>
      </c>
      <c r="C187" s="168">
        <f>IFERROR((VLOOKUP(A187,'Team Stats'!$B$2:$T$366,5,0)+0.44*VLOOKUP(A187,'Team Stats'!$B$2:$T$366,11,0)+VLOOKUP(A187,'Team Stats'!$B$2:$T$366,19,0)-VLOOKUP(A187,'Team Stats'!$B$2:$T$366,13,0)),70)</f>
        <v>70.951999999999998</v>
      </c>
      <c r="D187" s="168">
        <f>IFERROR(VLOOKUP(A187,'Opponents stats vs'!$B$2:$D$366,3,0)/C187,1.05)</f>
        <v>1.1204758146352465</v>
      </c>
      <c r="E187" s="169">
        <f>IFERROR(VLOOKUP(A187,SOS!A:C,3,0),200)</f>
        <v>75</v>
      </c>
      <c r="F187">
        <f>IFERROR(VLOOKUP(A187,SOS!A:D,4,0),200)</f>
        <v>113</v>
      </c>
      <c r="G187">
        <f>B187*((366-F187)/365)^'Enhanced Matchup Model'!$F$14</f>
        <v>1.1554820850445739</v>
      </c>
      <c r="H187">
        <f>D187*(2-((366-F187)/365)^'Enhanced Matchup Model'!$F$14)</f>
        <v>1.1408219794376351</v>
      </c>
    </row>
    <row r="188" spans="1:8" ht="15" customHeight="1" x14ac:dyDescent="0.25">
      <c r="A188" s="170" t="s">
        <v>50</v>
      </c>
      <c r="B188" s="168">
        <f>IFERROR(VLOOKUP(A188,'Team Stats'!$B$2:$T$366,3,0)/(VLOOKUP(A188,'Team Stats'!$B$2:$T$366,5,0)+0.44*VLOOKUP(A188,'Team Stats'!$B$2:$T$366,11,0)+VLOOKUP(A188,'Team Stats'!$B$2:$T$366,19,0)-VLOOKUP(A188,'Team Stats'!$B$2:$T$366,13,0)),1)</f>
        <v>1.1961379784551913</v>
      </c>
      <c r="C188" s="168">
        <f>IFERROR((VLOOKUP(A188,'Team Stats'!$B$2:$T$366,5,0)+0.44*VLOOKUP(A188,'Team Stats'!$B$2:$T$366,11,0)+VLOOKUP(A188,'Team Stats'!$B$2:$T$366,19,0)-VLOOKUP(A188,'Team Stats'!$B$2:$T$366,13,0)),70)</f>
        <v>69.808000000000007</v>
      </c>
      <c r="D188" s="168">
        <f>IFERROR(VLOOKUP(A188,'Opponents stats vs'!$B$2:$D$366,3,0)/C188,1.05)</f>
        <v>1.0844029337611734</v>
      </c>
      <c r="E188" s="169">
        <f>IFERROR(VLOOKUP(A188,SOS!A:C,3,0),200)</f>
        <v>31</v>
      </c>
      <c r="F188">
        <f>IFERROR(VLOOKUP(A188,SOS!A:D,4,0),200)</f>
        <v>18</v>
      </c>
      <c r="G188">
        <f>B188*((366-F188)/365)^'Enhanced Matchup Model'!$F$14</f>
        <v>1.1932888944759716</v>
      </c>
      <c r="H188">
        <f>D188*(2-((366-F188)/365)^'Enhanced Matchup Model'!$F$14)</f>
        <v>1.0869858757638908</v>
      </c>
    </row>
    <row r="189" spans="1:8" ht="15" customHeight="1" x14ac:dyDescent="0.25">
      <c r="A189" s="167" t="s">
        <v>335</v>
      </c>
      <c r="B189" s="168">
        <f>IFERROR(VLOOKUP(A189,'Team Stats'!$B$2:$T$366,3,0)/(VLOOKUP(A189,'Team Stats'!$B$2:$T$366,5,0)+0.44*VLOOKUP(A189,'Team Stats'!$B$2:$T$366,11,0)+VLOOKUP(A189,'Team Stats'!$B$2:$T$366,19,0)-VLOOKUP(A189,'Team Stats'!$B$2:$T$366,13,0)),1)</f>
        <v>0.99964562045951211</v>
      </c>
      <c r="C189" s="168">
        <f>IFERROR((VLOOKUP(A189,'Team Stats'!$B$2:$T$366,5,0)+0.44*VLOOKUP(A189,'Team Stats'!$B$2:$T$366,11,0)+VLOOKUP(A189,'Team Stats'!$B$2:$T$366,19,0)-VLOOKUP(A189,'Team Stats'!$B$2:$T$366,13,0)),70)</f>
        <v>67.724000000000004</v>
      </c>
      <c r="D189" s="168">
        <f>IFERROR(VLOOKUP(A189,'Opponents stats vs'!$B$2:$D$366,3,0)/C189,1.05)</f>
        <v>1.0941468312562754</v>
      </c>
      <c r="E189" s="169">
        <f>IFERROR(VLOOKUP(A189,SOS!A:C,3,0),200)</f>
        <v>244</v>
      </c>
      <c r="F189">
        <f>IFERROR(VLOOKUP(A189,SOS!A:D,4,0),200)</f>
        <v>285</v>
      </c>
      <c r="G189">
        <f>B189*((366-F189)/365)^'Enhanced Matchup Model'!$F$14</f>
        <v>0.92716211043403562</v>
      </c>
      <c r="H189">
        <f>D189*(2-((366-F189)/365)^'Enhanced Matchup Model'!$F$14)</f>
        <v>1.1734825490241898</v>
      </c>
    </row>
    <row r="190" spans="1:8" ht="15" customHeight="1" x14ac:dyDescent="0.25">
      <c r="A190" s="170" t="s">
        <v>34</v>
      </c>
      <c r="B190" s="168">
        <f>IFERROR(VLOOKUP(A190,'Team Stats'!$B$2:$T$366,3,0)/(VLOOKUP(A190,'Team Stats'!$B$2:$T$366,5,0)+0.44*VLOOKUP(A190,'Team Stats'!$B$2:$T$366,11,0)+VLOOKUP(A190,'Team Stats'!$B$2:$T$366,19,0)-VLOOKUP(A190,'Team Stats'!$B$2:$T$366,13,0)),1)</f>
        <v>1.1483664947187424</v>
      </c>
      <c r="C190" s="168">
        <f>IFERROR((VLOOKUP(A190,'Team Stats'!$B$2:$T$366,5,0)+0.44*VLOOKUP(A190,'Team Stats'!$B$2:$T$366,11,0)+VLOOKUP(A190,'Team Stats'!$B$2:$T$366,19,0)-VLOOKUP(A190,'Team Stats'!$B$2:$T$366,13,0)),70)</f>
        <v>65.135999999999996</v>
      </c>
      <c r="D190" s="168">
        <f>IFERROR(VLOOKUP(A190,'Opponents stats vs'!$B$2:$D$366,3,0)/C190,1.05)</f>
        <v>0.97488332105133879</v>
      </c>
      <c r="E190" s="169">
        <f>IFERROR(VLOOKUP(A190,SOS!A:C,3,0),200)</f>
        <v>292</v>
      </c>
      <c r="F190">
        <f>IFERROR(VLOOKUP(A190,SOS!A:D,4,0),200)</f>
        <v>361</v>
      </c>
      <c r="G190">
        <f>B190*((366-F190)/365)^'Enhanced Matchup Model'!$F$14</f>
        <v>0.92664709764519859</v>
      </c>
      <c r="H190">
        <f>D190*(2-((366-F190)/365)^'Enhanced Matchup Model'!$F$14)</f>
        <v>1.1631076755188525</v>
      </c>
    </row>
    <row r="191" spans="1:8" ht="15" customHeight="1" x14ac:dyDescent="0.25">
      <c r="A191" s="167" t="s">
        <v>76</v>
      </c>
      <c r="B191" s="168">
        <f>IFERROR(VLOOKUP(A191,'Team Stats'!$B$2:$T$366,3,0)/(VLOOKUP(A191,'Team Stats'!$B$2:$T$366,5,0)+0.44*VLOOKUP(A191,'Team Stats'!$B$2:$T$366,11,0)+VLOOKUP(A191,'Team Stats'!$B$2:$T$366,19,0)-VLOOKUP(A191,'Team Stats'!$B$2:$T$366,13,0)),1)</f>
        <v>1.1615044247787611</v>
      </c>
      <c r="C191" s="168">
        <f>IFERROR((VLOOKUP(A191,'Team Stats'!$B$2:$T$366,5,0)+0.44*VLOOKUP(A191,'Team Stats'!$B$2:$T$366,11,0)+VLOOKUP(A191,'Team Stats'!$B$2:$T$366,19,0)-VLOOKUP(A191,'Team Stats'!$B$2:$T$366,13,0)),70)</f>
        <v>66.896000000000001</v>
      </c>
      <c r="D191" s="168">
        <f>IFERROR(VLOOKUP(A191,'Opponents stats vs'!$B$2:$D$366,3,0)/C191,1.05)</f>
        <v>0.98212150203300652</v>
      </c>
      <c r="E191" s="169">
        <f>IFERROR(VLOOKUP(A191,SOS!A:C,3,0),200)</f>
        <v>20</v>
      </c>
      <c r="F191">
        <f>IFERROR(VLOOKUP(A191,SOS!A:D,4,0),200)</f>
        <v>53</v>
      </c>
      <c r="G191">
        <f>B191*((366-F191)/365)^'Enhanced Matchup Model'!$F$14</f>
        <v>1.1526128107439926</v>
      </c>
      <c r="H191">
        <f>D191*(2-((366-F191)/365)^'Enhanced Matchup Model'!$F$14)</f>
        <v>0.98963989382302331</v>
      </c>
    </row>
    <row r="192" spans="1:8" ht="15" customHeight="1" x14ac:dyDescent="0.25">
      <c r="A192" s="170" t="s">
        <v>336</v>
      </c>
      <c r="B192" s="168">
        <f>IFERROR(VLOOKUP(A192,'Team Stats'!$B$2:$T$366,3,0)/(VLOOKUP(A192,'Team Stats'!$B$2:$T$366,5,0)+0.44*VLOOKUP(A192,'Team Stats'!$B$2:$T$366,11,0)+VLOOKUP(A192,'Team Stats'!$B$2:$T$366,19,0)-VLOOKUP(A192,'Team Stats'!$B$2:$T$366,13,0)),1)</f>
        <v>1.140667267808837</v>
      </c>
      <c r="C192" s="168">
        <f>IFERROR((VLOOKUP(A192,'Team Stats'!$B$2:$T$366,5,0)+0.44*VLOOKUP(A192,'Team Stats'!$B$2:$T$366,11,0)+VLOOKUP(A192,'Team Stats'!$B$2:$T$366,19,0)-VLOOKUP(A192,'Team Stats'!$B$2:$T$366,13,0)),70)</f>
        <v>66.539999999999992</v>
      </c>
      <c r="D192" s="168">
        <f>IFERROR(VLOOKUP(A192,'Opponents stats vs'!$B$2:$D$366,3,0)/C192,1.05)</f>
        <v>1.0880673279230539</v>
      </c>
      <c r="E192" s="169">
        <f>IFERROR(VLOOKUP(A192,SOS!A:C,3,0),200)</f>
        <v>61</v>
      </c>
      <c r="F192">
        <f>IFERROR(VLOOKUP(A192,SOS!A:D,4,0),200)</f>
        <v>79</v>
      </c>
      <c r="G192">
        <f>B192*((366-F192)/365)^'Enhanced Matchup Model'!$F$14</f>
        <v>1.1270376670684532</v>
      </c>
      <c r="H192">
        <f>D192*(2-((366-F192)/365)^'Enhanced Matchup Model'!$F$14)</f>
        <v>1.1010684227004426</v>
      </c>
    </row>
    <row r="193" spans="1:8" ht="15" customHeight="1" x14ac:dyDescent="0.25">
      <c r="A193" s="167" t="s">
        <v>337</v>
      </c>
      <c r="B193" s="168">
        <f>IFERROR(VLOOKUP(A193,'Team Stats'!$B$2:$T$366,3,0)/(VLOOKUP(A193,'Team Stats'!$B$2:$T$366,5,0)+0.44*VLOOKUP(A193,'Team Stats'!$B$2:$T$366,11,0)+VLOOKUP(A193,'Team Stats'!$B$2:$T$366,19,0)-VLOOKUP(A193,'Team Stats'!$B$2:$T$366,13,0)),1)</f>
        <v>1.0035384883113867</v>
      </c>
      <c r="C193" s="168">
        <f>IFERROR((VLOOKUP(A193,'Team Stats'!$B$2:$T$366,5,0)+0.44*VLOOKUP(A193,'Team Stats'!$B$2:$T$366,11,0)+VLOOKUP(A193,'Team Stats'!$B$2:$T$366,19,0)-VLOOKUP(A193,'Team Stats'!$B$2:$T$366,13,0)),70)</f>
        <v>68.956000000000017</v>
      </c>
      <c r="D193" s="168">
        <f>IFERROR(VLOOKUP(A193,'Opponents stats vs'!$B$2:$D$366,3,0)/C193,1.05)</f>
        <v>1.0774986948198848</v>
      </c>
      <c r="E193" s="169">
        <f>IFERROR(VLOOKUP(A193,SOS!A:C,3,0),200)</f>
        <v>326</v>
      </c>
      <c r="F193">
        <f>IFERROR(VLOOKUP(A193,SOS!A:D,4,0),200)</f>
        <v>291</v>
      </c>
      <c r="G193">
        <f>B193*((366-F193)/365)^'Enhanced Matchup Model'!$F$14</f>
        <v>0.92719793007019902</v>
      </c>
      <c r="H193">
        <f>D193*(2-((366-F193)/365)^'Enhanced Matchup Model'!$F$14)</f>
        <v>1.1594655080759577</v>
      </c>
    </row>
    <row r="194" spans="1:8" ht="15" customHeight="1" x14ac:dyDescent="0.25">
      <c r="A194" s="170" t="s">
        <v>338</v>
      </c>
      <c r="B194" s="168">
        <f>IFERROR(VLOOKUP(A194,'Team Stats'!$B$2:$T$366,3,0)/(VLOOKUP(A194,'Team Stats'!$B$2:$T$366,5,0)+0.44*VLOOKUP(A194,'Team Stats'!$B$2:$T$366,11,0)+VLOOKUP(A194,'Team Stats'!$B$2:$T$366,19,0)-VLOOKUP(A194,'Team Stats'!$B$2:$T$366,13,0)),1)</f>
        <v>1.0185824596647624</v>
      </c>
      <c r="C194" s="168">
        <f>IFERROR((VLOOKUP(A194,'Team Stats'!$B$2:$T$366,5,0)+0.44*VLOOKUP(A194,'Team Stats'!$B$2:$T$366,11,0)+VLOOKUP(A194,'Team Stats'!$B$2:$T$366,19,0)-VLOOKUP(A194,'Team Stats'!$B$2:$T$366,13,0)),70)</f>
        <v>63.716000000000008</v>
      </c>
      <c r="D194" s="168">
        <f>IFERROR(VLOOKUP(A194,'Opponents stats vs'!$B$2:$D$366,3,0)/C194,1.05)</f>
        <v>1.0405549626467447</v>
      </c>
      <c r="E194" s="169">
        <f>IFERROR(VLOOKUP(A194,SOS!A:C,3,0),200)</f>
        <v>336</v>
      </c>
      <c r="F194">
        <f>IFERROR(VLOOKUP(A194,SOS!A:D,4,0),200)</f>
        <v>352</v>
      </c>
      <c r="G194">
        <f>B194*((366-F194)/365)^'Enhanced Matchup Model'!$F$14</f>
        <v>0.86534233622644119</v>
      </c>
      <c r="H194">
        <f>D194*(2-((366-F194)/365)^'Enhanced Matchup Model'!$F$14)</f>
        <v>1.1971007281931345</v>
      </c>
    </row>
    <row r="195" spans="1:8" ht="15" customHeight="1" x14ac:dyDescent="0.25">
      <c r="A195" s="167" t="s">
        <v>45</v>
      </c>
      <c r="B195" s="168">
        <f>IFERROR(VLOOKUP(A195,'Team Stats'!$B$2:$T$366,3,0)/(VLOOKUP(A195,'Team Stats'!$B$2:$T$366,5,0)+0.44*VLOOKUP(A195,'Team Stats'!$B$2:$T$366,11,0)+VLOOKUP(A195,'Team Stats'!$B$2:$T$366,19,0)-VLOOKUP(A195,'Team Stats'!$B$2:$T$366,13,0)),1)</f>
        <v>1.1479810383231481</v>
      </c>
      <c r="C195" s="168">
        <f>IFERROR((VLOOKUP(A195,'Team Stats'!$B$2:$T$366,5,0)+0.44*VLOOKUP(A195,'Team Stats'!$B$2:$T$366,11,0)+VLOOKUP(A195,'Team Stats'!$B$2:$T$366,19,0)-VLOOKUP(A195,'Team Stats'!$B$2:$T$366,13,0)),70)</f>
        <v>70.036000000000001</v>
      </c>
      <c r="D195" s="168">
        <f>IFERROR(VLOOKUP(A195,'Opponents stats vs'!$B$2:$D$366,3,0)/C195,1.05)</f>
        <v>1.0009138157518989</v>
      </c>
      <c r="E195" s="169">
        <f>IFERROR(VLOOKUP(A195,SOS!A:C,3,0),200)</f>
        <v>45</v>
      </c>
      <c r="F195">
        <f>IFERROR(VLOOKUP(A195,SOS!A:D,4,0),200)</f>
        <v>96</v>
      </c>
      <c r="G195">
        <f>B195*((366-F195)/365)^'Enhanced Matchup Model'!$F$14</f>
        <v>1.1308064049307938</v>
      </c>
      <c r="H195">
        <f>D195*(2-((366-F195)/365)^'Enhanced Matchup Model'!$F$14)</f>
        <v>1.0158882162594118</v>
      </c>
    </row>
    <row r="196" spans="1:8" ht="15" customHeight="1" x14ac:dyDescent="0.25">
      <c r="A196" s="170" t="s">
        <v>339</v>
      </c>
      <c r="B196" s="168">
        <f>IFERROR(VLOOKUP(A196,'Team Stats'!$B$2:$T$366,3,0)/(VLOOKUP(A196,'Team Stats'!$B$2:$T$366,5,0)+0.44*VLOOKUP(A196,'Team Stats'!$B$2:$T$366,11,0)+VLOOKUP(A196,'Team Stats'!$B$2:$T$366,19,0)-VLOOKUP(A196,'Team Stats'!$B$2:$T$366,13,0)),1)</f>
        <v>1.1076968100673106</v>
      </c>
      <c r="C196" s="168">
        <f>IFERROR((VLOOKUP(A196,'Team Stats'!$B$2:$T$366,5,0)+0.44*VLOOKUP(A196,'Team Stats'!$B$2:$T$366,11,0)+VLOOKUP(A196,'Team Stats'!$B$2:$T$366,19,0)-VLOOKUP(A196,'Team Stats'!$B$2:$T$366,13,0)),70)</f>
        <v>68.34</v>
      </c>
      <c r="D196" s="168">
        <f>IFERROR(VLOOKUP(A196,'Opponents stats vs'!$B$2:$D$366,3,0)/C196,1.05)</f>
        <v>1.0564822944103014</v>
      </c>
      <c r="E196" s="169">
        <f>IFERROR(VLOOKUP(A196,SOS!A:C,3,0),200)</f>
        <v>184</v>
      </c>
      <c r="F196">
        <f>IFERROR(VLOOKUP(A196,SOS!A:D,4,0),200)</f>
        <v>170</v>
      </c>
      <c r="G196">
        <f>B196*((366-F196)/365)^'Enhanced Matchup Model'!$F$14</f>
        <v>1.0737892835641871</v>
      </c>
      <c r="H196">
        <f>D196*(2-((366-F196)/365)^'Enhanced Matchup Model'!$F$14)</f>
        <v>1.0888221017223954</v>
      </c>
    </row>
    <row r="197" spans="1:8" ht="15" customHeight="1" x14ac:dyDescent="0.25">
      <c r="A197" s="167" t="s">
        <v>340</v>
      </c>
      <c r="B197" s="168">
        <f>IFERROR(VLOOKUP(A197,'Team Stats'!$B$2:$T$366,3,0)/(VLOOKUP(A197,'Team Stats'!$B$2:$T$366,5,0)+0.44*VLOOKUP(A197,'Team Stats'!$B$2:$T$366,11,0)+VLOOKUP(A197,'Team Stats'!$B$2:$T$366,19,0)-VLOOKUP(A197,'Team Stats'!$B$2:$T$366,13,0)),1)</f>
        <v>1.074375429750172</v>
      </c>
      <c r="C197" s="168">
        <f>IFERROR((VLOOKUP(A197,'Team Stats'!$B$2:$T$366,5,0)+0.44*VLOOKUP(A197,'Team Stats'!$B$2:$T$366,11,0)+VLOOKUP(A197,'Team Stats'!$B$2:$T$366,19,0)-VLOOKUP(A197,'Team Stats'!$B$2:$T$366,13,0)),70)</f>
        <v>69.807999999999993</v>
      </c>
      <c r="D197" s="168">
        <f>IFERROR(VLOOKUP(A197,'Opponents stats vs'!$B$2:$D$366,3,0)/C197,1.05)</f>
        <v>1.12308044923218</v>
      </c>
      <c r="E197" s="169">
        <f>IFERROR(VLOOKUP(A197,SOS!A:C,3,0),200)</f>
        <v>128</v>
      </c>
      <c r="F197">
        <f>IFERROR(VLOOKUP(A197,SOS!A:D,4,0),200)</f>
        <v>115</v>
      </c>
      <c r="G197">
        <f>B197*((366-F197)/365)^'Enhanced Matchup Model'!$F$14</f>
        <v>1.0544478620593298</v>
      </c>
      <c r="H197">
        <f>D197*(2-((366-F197)/365)^'Enhanced Matchup Model'!$F$14)</f>
        <v>1.1439113999916737</v>
      </c>
    </row>
    <row r="198" spans="1:8" ht="15" customHeight="1" x14ac:dyDescent="0.25">
      <c r="A198" s="170" t="s">
        <v>341</v>
      </c>
      <c r="B198" s="168">
        <f>IFERROR(VLOOKUP(A198,'Team Stats'!$B$2:$T$366,3,0)/(VLOOKUP(A198,'Team Stats'!$B$2:$T$366,5,0)+0.44*VLOOKUP(A198,'Team Stats'!$B$2:$T$366,11,0)+VLOOKUP(A198,'Team Stats'!$B$2:$T$366,19,0)-VLOOKUP(A198,'Team Stats'!$B$2:$T$366,13,0)),1)</f>
        <v>1.0147367083783267</v>
      </c>
      <c r="C198" s="168">
        <f>IFERROR((VLOOKUP(A198,'Team Stats'!$B$2:$T$366,5,0)+0.44*VLOOKUP(A198,'Team Stats'!$B$2:$T$366,11,0)+VLOOKUP(A198,'Team Stats'!$B$2:$T$366,19,0)-VLOOKUP(A198,'Team Stats'!$B$2:$T$366,13,0)),70)</f>
        <v>62.972000000000008</v>
      </c>
      <c r="D198" s="168">
        <f>IFERROR(VLOOKUP(A198,'Opponents stats vs'!$B$2:$D$366,3,0)/C198,1.05)</f>
        <v>1.1306612462681827</v>
      </c>
      <c r="E198" s="169">
        <f>IFERROR(VLOOKUP(A198,SOS!A:C,3,0),200)</f>
        <v>355</v>
      </c>
      <c r="F198">
        <f>IFERROR(VLOOKUP(A198,SOS!A:D,4,0),200)</f>
        <v>326</v>
      </c>
      <c r="G198">
        <f>B198*((366-F198)/365)^'Enhanced Matchup Model'!$F$14</f>
        <v>0.9085351363750962</v>
      </c>
      <c r="H198">
        <f>D198*(2-((366-F198)/365)^'Enhanced Matchup Model'!$F$14)</f>
        <v>1.248995392224834</v>
      </c>
    </row>
    <row r="199" spans="1:8" ht="15" customHeight="1" x14ac:dyDescent="0.25">
      <c r="A199" s="167" t="s">
        <v>342</v>
      </c>
      <c r="B199" s="168">
        <f>IFERROR(VLOOKUP(A199,'Team Stats'!$B$2:$T$366,3,0)/(VLOOKUP(A199,'Team Stats'!$B$2:$T$366,5,0)+0.44*VLOOKUP(A199,'Team Stats'!$B$2:$T$366,11,0)+VLOOKUP(A199,'Team Stats'!$B$2:$T$366,19,0)-VLOOKUP(A199,'Team Stats'!$B$2:$T$366,13,0)),1)</f>
        <v>1.0652910918868366</v>
      </c>
      <c r="C199" s="168">
        <f>IFERROR((VLOOKUP(A199,'Team Stats'!$B$2:$T$366,5,0)+0.44*VLOOKUP(A199,'Team Stats'!$B$2:$T$366,11,0)+VLOOKUP(A199,'Team Stats'!$B$2:$T$366,19,0)-VLOOKUP(A199,'Team Stats'!$B$2:$T$366,13,0)),70)</f>
        <v>68.432000000000002</v>
      </c>
      <c r="D199" s="168">
        <f>IFERROR(VLOOKUP(A199,'Opponents stats vs'!$B$2:$D$366,3,0)/C199,1.05)</f>
        <v>1.1018237082066871</v>
      </c>
      <c r="E199" s="169">
        <f>IFERROR(VLOOKUP(A199,SOS!A:C,3,0),200)</f>
        <v>171</v>
      </c>
      <c r="F199">
        <f>IFERROR(VLOOKUP(A199,SOS!A:D,4,0),200)</f>
        <v>147</v>
      </c>
      <c r="G199">
        <f>B199*((366-F199)/365)^'Enhanced Matchup Model'!$F$14</f>
        <v>1.038426728110017</v>
      </c>
      <c r="H199">
        <f>D199*(2-((366-F199)/365)^'Enhanced Matchup Model'!$F$14)</f>
        <v>1.1296093464614498</v>
      </c>
    </row>
    <row r="200" spans="1:8" ht="15" customHeight="1" x14ac:dyDescent="0.25">
      <c r="A200" s="170" t="s">
        <v>343</v>
      </c>
      <c r="B200" s="168">
        <f>IFERROR(VLOOKUP(A200,'Team Stats'!$B$2:$T$366,3,0)/(VLOOKUP(A200,'Team Stats'!$B$2:$T$366,5,0)+0.44*VLOOKUP(A200,'Team Stats'!$B$2:$T$366,11,0)+VLOOKUP(A200,'Team Stats'!$B$2:$T$366,19,0)-VLOOKUP(A200,'Team Stats'!$B$2:$T$366,13,0)),1)</f>
        <v>1.1037719450721364</v>
      </c>
      <c r="C200" s="168">
        <f>IFERROR((VLOOKUP(A200,'Team Stats'!$B$2:$T$366,5,0)+0.44*VLOOKUP(A200,'Team Stats'!$B$2:$T$366,11,0)+VLOOKUP(A200,'Team Stats'!$B$2:$T$366,19,0)-VLOOKUP(A200,'Team Stats'!$B$2:$T$366,13,0)),70)</f>
        <v>69.036000000000001</v>
      </c>
      <c r="D200" s="168">
        <f>IFERROR(VLOOKUP(A200,'Opponents stats vs'!$B$2:$D$366,3,0)/C200,1.05)</f>
        <v>1.0632133959093806</v>
      </c>
      <c r="E200" s="169">
        <f>IFERROR(VLOOKUP(A200,SOS!A:C,3,0),200)</f>
        <v>340</v>
      </c>
      <c r="F200">
        <f>IFERROR(VLOOKUP(A200,SOS!A:D,4,0),200)</f>
        <v>356</v>
      </c>
      <c r="G200">
        <f>B200*((366-F200)/365)^'Enhanced Matchup Model'!$F$14</f>
        <v>0.92207173201108528</v>
      </c>
      <c r="H200">
        <f>D200*(2-((366-F200)/365)^'Enhanced Matchup Model'!$F$14)</f>
        <v>1.2382369607214692</v>
      </c>
    </row>
    <row r="201" spans="1:8" ht="15" customHeight="1" x14ac:dyDescent="0.25">
      <c r="A201" s="167" t="s">
        <v>344</v>
      </c>
      <c r="B201" s="168">
        <f>IFERROR(VLOOKUP(A201,'Team Stats'!$B$2:$T$366,3,0)/(VLOOKUP(A201,'Team Stats'!$B$2:$T$366,5,0)+0.44*VLOOKUP(A201,'Team Stats'!$B$2:$T$366,11,0)+VLOOKUP(A201,'Team Stats'!$B$2:$T$366,19,0)-VLOOKUP(A201,'Team Stats'!$B$2:$T$366,13,0)),1)</f>
        <v>1.0526635117097438</v>
      </c>
      <c r="C201" s="168">
        <f>IFERROR((VLOOKUP(A201,'Team Stats'!$B$2:$T$366,5,0)+0.44*VLOOKUP(A201,'Team Stats'!$B$2:$T$366,11,0)+VLOOKUP(A201,'Team Stats'!$B$2:$T$366,19,0)-VLOOKUP(A201,'Team Stats'!$B$2:$T$366,13,0)),70)</f>
        <v>65.928000000000011</v>
      </c>
      <c r="D201" s="168">
        <f>IFERROR(VLOOKUP(A201,'Opponents stats vs'!$B$2:$D$366,3,0)/C201,1.05)</f>
        <v>1.1770416211624799</v>
      </c>
      <c r="E201" s="169">
        <f>IFERROR(VLOOKUP(A201,SOS!A:C,3,0),200)</f>
        <v>321</v>
      </c>
      <c r="F201">
        <f>IFERROR(VLOOKUP(A201,SOS!A:D,4,0),200)</f>
        <v>265</v>
      </c>
      <c r="G201">
        <f>B201*((366-F201)/365)^'Enhanced Matchup Model'!$F$14</f>
        <v>0.98716783166996502</v>
      </c>
      <c r="H201">
        <f>D201*(2-((366-F201)/365)^'Enhanced Matchup Model'!$F$14)</f>
        <v>1.2502759838582558</v>
      </c>
    </row>
    <row r="202" spans="1:8" ht="15" customHeight="1" x14ac:dyDescent="0.25">
      <c r="A202" s="170" t="s">
        <v>345</v>
      </c>
      <c r="B202" s="168">
        <f>IFERROR(VLOOKUP(A202,'Team Stats'!$B$2:$T$366,3,0)/(VLOOKUP(A202,'Team Stats'!$B$2:$T$366,5,0)+0.44*VLOOKUP(A202,'Team Stats'!$B$2:$T$366,11,0)+VLOOKUP(A202,'Team Stats'!$B$2:$T$366,19,0)-VLOOKUP(A202,'Team Stats'!$B$2:$T$366,13,0)),1)</f>
        <v>1.0914368650217707</v>
      </c>
      <c r="C202" s="168">
        <f>IFERROR((VLOOKUP(A202,'Team Stats'!$B$2:$T$366,5,0)+0.44*VLOOKUP(A202,'Team Stats'!$B$2:$T$366,11,0)+VLOOKUP(A202,'Team Stats'!$B$2:$T$366,19,0)-VLOOKUP(A202,'Team Stats'!$B$2:$T$366,13,0)),70)</f>
        <v>68.900000000000006</v>
      </c>
      <c r="D202" s="168">
        <f>IFERROR(VLOOKUP(A202,'Opponents stats vs'!$B$2:$D$366,3,0)/C202,1.05)</f>
        <v>1.1248185776487662</v>
      </c>
      <c r="E202" s="169">
        <f>IFERROR(VLOOKUP(A202,SOS!A:C,3,0),200)</f>
        <v>270</v>
      </c>
      <c r="F202">
        <f>IFERROR(VLOOKUP(A202,SOS!A:D,4,0),200)</f>
        <v>211</v>
      </c>
      <c r="G202">
        <f>B202*((366-F202)/365)^'Enhanced Matchup Model'!$F$14</f>
        <v>1.045684234602521</v>
      </c>
      <c r="H202">
        <f>D202*(2-((366-F202)/365)^'Enhanced Matchup Model'!$F$14)</f>
        <v>1.1719705571366898</v>
      </c>
    </row>
    <row r="203" spans="1:8" ht="15" customHeight="1" x14ac:dyDescent="0.25">
      <c r="A203" s="167" t="s">
        <v>346</v>
      </c>
      <c r="B203" s="168">
        <f>IFERROR(VLOOKUP(A203,'Team Stats'!$B$2:$T$366,3,0)/(VLOOKUP(A203,'Team Stats'!$B$2:$T$366,5,0)+0.44*VLOOKUP(A203,'Team Stats'!$B$2:$T$366,11,0)+VLOOKUP(A203,'Team Stats'!$B$2:$T$366,19,0)-VLOOKUP(A203,'Team Stats'!$B$2:$T$366,13,0)),1)</f>
        <v>1.0605170387779086</v>
      </c>
      <c r="C203" s="168">
        <f>IFERROR((VLOOKUP(A203,'Team Stats'!$B$2:$T$366,5,0)+0.44*VLOOKUP(A203,'Team Stats'!$B$2:$T$366,11,0)+VLOOKUP(A203,'Team Stats'!$B$2:$T$366,19,0)-VLOOKUP(A203,'Team Stats'!$B$2:$T$366,13,0)),70)</f>
        <v>68.079999999999984</v>
      </c>
      <c r="D203" s="168">
        <f>IFERROR(VLOOKUP(A203,'Opponents stats vs'!$B$2:$D$366,3,0)/C203,1.05)</f>
        <v>1.1222091656874269</v>
      </c>
      <c r="E203" s="169">
        <f>IFERROR(VLOOKUP(A203,SOS!A:C,3,0),200)</f>
        <v>315</v>
      </c>
      <c r="F203">
        <f>IFERROR(VLOOKUP(A203,SOS!A:D,4,0),200)</f>
        <v>331</v>
      </c>
      <c r="G203">
        <f>B203*((366-F203)/365)^'Enhanced Matchup Model'!$F$14</f>
        <v>0.94320568448355613</v>
      </c>
      <c r="H203">
        <f>D203*(2-((366-F203)/365)^'Enhanced Matchup Model'!$F$14)</f>
        <v>1.246344726187268</v>
      </c>
    </row>
    <row r="204" spans="1:8" ht="15" customHeight="1" x14ac:dyDescent="0.25">
      <c r="A204" s="170" t="s">
        <v>88</v>
      </c>
      <c r="B204" s="168">
        <f>IFERROR(VLOOKUP(A204,'Team Stats'!$B$2:$T$366,3,0)/(VLOOKUP(A204,'Team Stats'!$B$2:$T$366,5,0)+0.44*VLOOKUP(A204,'Team Stats'!$B$2:$T$366,11,0)+VLOOKUP(A204,'Team Stats'!$B$2:$T$366,19,0)-VLOOKUP(A204,'Team Stats'!$B$2:$T$366,13,0)),1)</f>
        <v>1.1827703895492527</v>
      </c>
      <c r="C204" s="168">
        <f>IFERROR((VLOOKUP(A204,'Team Stats'!$B$2:$T$366,5,0)+0.44*VLOOKUP(A204,'Team Stats'!$B$2:$T$366,11,0)+VLOOKUP(A204,'Team Stats'!$B$2:$T$366,19,0)-VLOOKUP(A204,'Team Stats'!$B$2:$T$366,13,0)),70)</f>
        <v>67.975999999999999</v>
      </c>
      <c r="D204" s="168">
        <f>IFERROR(VLOOKUP(A204,'Opponents stats vs'!$B$2:$D$366,3,0)/C204,1.05)</f>
        <v>1.0430151818288809</v>
      </c>
      <c r="E204" s="169">
        <f>IFERROR(VLOOKUP(A204,SOS!A:C,3,0),200)</f>
        <v>16</v>
      </c>
      <c r="F204">
        <f>IFERROR(VLOOKUP(A204,SOS!A:D,4,0),200)</f>
        <v>43</v>
      </c>
      <c r="G204">
        <f>B204*((366-F204)/365)^'Enhanced Matchup Model'!$F$14</f>
        <v>1.1755630484197868</v>
      </c>
      <c r="H204">
        <f>D204*(2-((366-F204)/365)^'Enhanced Matchup Model'!$F$14)</f>
        <v>1.0493709092676762</v>
      </c>
    </row>
    <row r="205" spans="1:8" ht="15" customHeight="1" x14ac:dyDescent="0.25">
      <c r="A205" s="167" t="s">
        <v>347</v>
      </c>
      <c r="B205" s="168">
        <f>IFERROR(VLOOKUP(A205,'Team Stats'!$B$2:$T$366,3,0)/(VLOOKUP(A205,'Team Stats'!$B$2:$T$366,5,0)+0.44*VLOOKUP(A205,'Team Stats'!$B$2:$T$366,11,0)+VLOOKUP(A205,'Team Stats'!$B$2:$T$366,19,0)-VLOOKUP(A205,'Team Stats'!$B$2:$T$366,13,0)),1)</f>
        <v>1.1073767666321956</v>
      </c>
      <c r="C205" s="168">
        <f>IFERROR((VLOOKUP(A205,'Team Stats'!$B$2:$T$366,5,0)+0.44*VLOOKUP(A205,'Team Stats'!$B$2:$T$366,11,0)+VLOOKUP(A205,'Team Stats'!$B$2:$T$366,19,0)-VLOOKUP(A205,'Team Stats'!$B$2:$T$366,13,0)),70)</f>
        <v>69.624000000000009</v>
      </c>
      <c r="D205" s="168">
        <f>IFERROR(VLOOKUP(A205,'Opponents stats vs'!$B$2:$D$366,3,0)/C205,1.05)</f>
        <v>1.1231759163506836</v>
      </c>
      <c r="E205" s="169">
        <f>IFERROR(VLOOKUP(A205,SOS!A:C,3,0),200)</f>
        <v>275</v>
      </c>
      <c r="F205">
        <f>IFERROR(VLOOKUP(A205,SOS!A:D,4,0),200)</f>
        <v>290</v>
      </c>
      <c r="G205">
        <f>B205*((366-F205)/365)^'Enhanced Matchup Model'!$F$14</f>
        <v>1.0238148957594257</v>
      </c>
      <c r="H205">
        <f>D205*(2-((366-F205)/365)^'Enhanced Matchup Model'!$F$14)</f>
        <v>1.2079299799337004</v>
      </c>
    </row>
    <row r="206" spans="1:8" ht="15" customHeight="1" x14ac:dyDescent="0.25">
      <c r="A206" s="170" t="s">
        <v>96</v>
      </c>
      <c r="B206" s="168">
        <f>IFERROR(VLOOKUP(A206,'Team Stats'!$B$2:$T$366,3,0)/(VLOOKUP(A206,'Team Stats'!$B$2:$T$366,5,0)+0.44*VLOOKUP(A206,'Team Stats'!$B$2:$T$366,11,0)+VLOOKUP(A206,'Team Stats'!$B$2:$T$366,19,0)-VLOOKUP(A206,'Team Stats'!$B$2:$T$366,13,0)),1)</f>
        <v>1.1745839112343968</v>
      </c>
      <c r="C206" s="168">
        <f>IFERROR((VLOOKUP(A206,'Team Stats'!$B$2:$T$366,5,0)+0.44*VLOOKUP(A206,'Team Stats'!$B$2:$T$366,11,0)+VLOOKUP(A206,'Team Stats'!$B$2:$T$366,19,0)-VLOOKUP(A206,'Team Stats'!$B$2:$T$366,13,0)),70)</f>
        <v>69.215999999999994</v>
      </c>
      <c r="D206" s="168">
        <f>IFERROR(VLOOKUP(A206,'Opponents stats vs'!$B$2:$D$366,3,0)/C206,1.05)</f>
        <v>1.0171058714748036</v>
      </c>
      <c r="E206" s="169">
        <f>IFERROR(VLOOKUP(A206,SOS!A:C,3,0),200)</f>
        <v>235</v>
      </c>
      <c r="F206">
        <f>IFERROR(VLOOKUP(A206,SOS!A:D,4,0),200)</f>
        <v>329</v>
      </c>
      <c r="G206">
        <f>B206*((366-F206)/365)^'Enhanced Matchup Model'!$F$14</f>
        <v>1.0475614082632625</v>
      </c>
      <c r="H206">
        <f>D206*(2-((366-F206)/365)^'Enhanced Matchup Model'!$F$14)</f>
        <v>1.1270982971718251</v>
      </c>
    </row>
    <row r="207" spans="1:8" ht="15" customHeight="1" x14ac:dyDescent="0.25">
      <c r="A207" s="167" t="s">
        <v>348</v>
      </c>
      <c r="B207" s="168">
        <f>IFERROR(VLOOKUP(A207,'Team Stats'!$B$2:$T$366,3,0)/(VLOOKUP(A207,'Team Stats'!$B$2:$T$366,5,0)+0.44*VLOOKUP(A207,'Team Stats'!$B$2:$T$366,11,0)+VLOOKUP(A207,'Team Stats'!$B$2:$T$366,19,0)-VLOOKUP(A207,'Team Stats'!$B$2:$T$366,13,0)),1)</f>
        <v>1.0996297728905344</v>
      </c>
      <c r="C207" s="168">
        <f>IFERROR((VLOOKUP(A207,'Team Stats'!$B$2:$T$366,5,0)+0.44*VLOOKUP(A207,'Team Stats'!$B$2:$T$366,11,0)+VLOOKUP(A207,'Team Stats'!$B$2:$T$366,19,0)-VLOOKUP(A207,'Team Stats'!$B$2:$T$366,13,0)),70)</f>
        <v>72.387999999999991</v>
      </c>
      <c r="D207" s="168">
        <f>IFERROR(VLOOKUP(A207,'Opponents stats vs'!$B$2:$D$366,3,0)/C207,1.05)</f>
        <v>1.218433994584738</v>
      </c>
      <c r="E207" s="169">
        <f>IFERROR(VLOOKUP(A207,SOS!A:C,3,0),200)</f>
        <v>335</v>
      </c>
      <c r="F207">
        <f>IFERROR(VLOOKUP(A207,SOS!A:D,4,0),200)</f>
        <v>219</v>
      </c>
      <c r="G207">
        <f>B207*((366-F207)/365)^'Enhanced Matchup Model'!$F$14</f>
        <v>1.0507459228973279</v>
      </c>
      <c r="H207">
        <f>D207*(2-((366-F207)/365)^'Enhanced Matchup Model'!$F$14)</f>
        <v>1.2725992655571099</v>
      </c>
    </row>
    <row r="208" spans="1:8" ht="15" customHeight="1" x14ac:dyDescent="0.25">
      <c r="A208" s="170" t="s">
        <v>349</v>
      </c>
      <c r="B208" s="168">
        <f>IFERROR(VLOOKUP(A208,'Team Stats'!$B$2:$T$366,3,0)/(VLOOKUP(A208,'Team Stats'!$B$2:$T$366,5,0)+0.44*VLOOKUP(A208,'Team Stats'!$B$2:$T$366,11,0)+VLOOKUP(A208,'Team Stats'!$B$2:$T$366,19,0)-VLOOKUP(A208,'Team Stats'!$B$2:$T$366,13,0)),1)</f>
        <v>1.0593475382207778</v>
      </c>
      <c r="C208" s="168">
        <f>IFERROR((VLOOKUP(A208,'Team Stats'!$B$2:$T$366,5,0)+0.44*VLOOKUP(A208,'Team Stats'!$B$2:$T$366,11,0)+VLOOKUP(A208,'Team Stats'!$B$2:$T$366,19,0)-VLOOKUP(A208,'Team Stats'!$B$2:$T$366,13,0)),70)</f>
        <v>66.456000000000003</v>
      </c>
      <c r="D208" s="168">
        <f>IFERROR(VLOOKUP(A208,'Opponents stats vs'!$B$2:$D$366,3,0)/C208,1.05)</f>
        <v>1.0021668472372696</v>
      </c>
      <c r="E208" s="169">
        <f>IFERROR(VLOOKUP(A208,SOS!A:C,3,0),200)</f>
        <v>112</v>
      </c>
      <c r="F208">
        <f>IFERROR(VLOOKUP(A208,SOS!A:D,4,0),200)</f>
        <v>133</v>
      </c>
      <c r="G208">
        <f>B208*((366-F208)/365)^'Enhanced Matchup Model'!$F$14</f>
        <v>1.0358374641327923</v>
      </c>
      <c r="H208">
        <f>D208*(2-((366-F208)/365)^'Enhanced Matchup Model'!$F$14)</f>
        <v>1.0244079116443694</v>
      </c>
    </row>
    <row r="209" spans="1:8" ht="15" customHeight="1" x14ac:dyDescent="0.25">
      <c r="A209" s="167" t="s">
        <v>350</v>
      </c>
      <c r="B209" s="168">
        <f>IFERROR(VLOOKUP(A209,'Team Stats'!$B$2:$T$366,3,0)/(VLOOKUP(A209,'Team Stats'!$B$2:$T$366,5,0)+0.44*VLOOKUP(A209,'Team Stats'!$B$2:$T$366,11,0)+VLOOKUP(A209,'Team Stats'!$B$2:$T$366,19,0)-VLOOKUP(A209,'Team Stats'!$B$2:$T$366,13,0)),1)</f>
        <v>1.070996717913284</v>
      </c>
      <c r="C209" s="168">
        <f>IFERROR((VLOOKUP(A209,'Team Stats'!$B$2:$T$366,5,0)+0.44*VLOOKUP(A209,'Team Stats'!$B$2:$T$366,11,0)+VLOOKUP(A209,'Team Stats'!$B$2:$T$366,19,0)-VLOOKUP(A209,'Team Stats'!$B$2:$T$366,13,0)),70)</f>
        <v>69.467999999999989</v>
      </c>
      <c r="D209" s="168">
        <f>IFERROR(VLOOKUP(A209,'Opponents stats vs'!$B$2:$D$366,3,0)/C209,1.05)</f>
        <v>1.16888351471181</v>
      </c>
      <c r="E209" s="169">
        <f>IFERROR(VLOOKUP(A209,SOS!A:C,3,0),200)</f>
        <v>308</v>
      </c>
      <c r="F209">
        <f>IFERROR(VLOOKUP(A209,SOS!A:D,4,0),200)</f>
        <v>143</v>
      </c>
      <c r="G209">
        <f>B209*((366-F209)/365)^'Enhanced Matchup Model'!$F$14</f>
        <v>1.0449337098433586</v>
      </c>
      <c r="H209">
        <f>D209*(2-((366-F209)/365)^'Enhanced Matchup Model'!$F$14)</f>
        <v>1.1973286256698465</v>
      </c>
    </row>
    <row r="210" spans="1:8" ht="15" customHeight="1" x14ac:dyDescent="0.25">
      <c r="A210" s="170" t="s">
        <v>351</v>
      </c>
      <c r="B210" s="168">
        <f>IFERROR(VLOOKUP(A210,'Team Stats'!$B$2:$T$366,3,0)/(VLOOKUP(A210,'Team Stats'!$B$2:$T$366,5,0)+0.44*VLOOKUP(A210,'Team Stats'!$B$2:$T$366,11,0)+VLOOKUP(A210,'Team Stats'!$B$2:$T$366,19,0)-VLOOKUP(A210,'Team Stats'!$B$2:$T$366,13,0)),1)</f>
        <v>1.0864940432774133</v>
      </c>
      <c r="C210" s="168">
        <f>IFERROR((VLOOKUP(A210,'Team Stats'!$B$2:$T$366,5,0)+0.44*VLOOKUP(A210,'Team Stats'!$B$2:$T$366,11,0)+VLOOKUP(A210,'Team Stats'!$B$2:$T$366,19,0)-VLOOKUP(A210,'Team Stats'!$B$2:$T$366,13,0)),70)</f>
        <v>65.807999999999993</v>
      </c>
      <c r="D210" s="168">
        <f>IFERROR(VLOOKUP(A210,'Opponents stats vs'!$B$2:$D$366,3,0)/C210,1.05)</f>
        <v>1.1624726477024072</v>
      </c>
      <c r="E210" s="169">
        <f>IFERROR(VLOOKUP(A210,SOS!A:C,3,0),200)</f>
        <v>323</v>
      </c>
      <c r="F210">
        <f>IFERROR(VLOOKUP(A210,SOS!A:D,4,0),200)</f>
        <v>261</v>
      </c>
      <c r="G210">
        <f>B210*((366-F210)/365)^'Enhanced Matchup Model'!$F$14</f>
        <v>1.0208740662513329</v>
      </c>
      <c r="H210">
        <f>D210*(2-((366-F210)/365)^'Enhanced Matchup Model'!$F$14)</f>
        <v>1.2326814343107309</v>
      </c>
    </row>
    <row r="211" spans="1:8" ht="15" customHeight="1" x14ac:dyDescent="0.25">
      <c r="A211" s="167" t="s">
        <v>352</v>
      </c>
      <c r="B211" s="168">
        <f>IFERROR(VLOOKUP(A211,'Team Stats'!$B$2:$T$366,3,0)/(VLOOKUP(A211,'Team Stats'!$B$2:$T$366,5,0)+0.44*VLOOKUP(A211,'Team Stats'!$B$2:$T$366,11,0)+VLOOKUP(A211,'Team Stats'!$B$2:$T$366,19,0)-VLOOKUP(A211,'Team Stats'!$B$2:$T$366,13,0)),1)</f>
        <v>1.172832468790971</v>
      </c>
      <c r="C211" s="168">
        <f>IFERROR((VLOOKUP(A211,'Team Stats'!$B$2:$T$366,5,0)+0.44*VLOOKUP(A211,'Team Stats'!$B$2:$T$366,11,0)+VLOOKUP(A211,'Team Stats'!$B$2:$T$366,19,0)-VLOOKUP(A211,'Team Stats'!$B$2:$T$366,13,0)),70)</f>
        <v>70.171999999999983</v>
      </c>
      <c r="D211" s="168">
        <f>IFERROR(VLOOKUP(A211,'Opponents stats vs'!$B$2:$D$366,3,0)/C211,1.05)</f>
        <v>1.0816279997719891</v>
      </c>
      <c r="E211" s="169">
        <f>IFERROR(VLOOKUP(A211,SOS!A:C,3,0),200)</f>
        <v>251</v>
      </c>
      <c r="F211">
        <f>IFERROR(VLOOKUP(A211,SOS!A:D,4,0),200)</f>
        <v>305</v>
      </c>
      <c r="G211">
        <f>B211*((366-F211)/365)^'Enhanced Matchup Model'!$F$14</f>
        <v>1.0724766093792693</v>
      </c>
      <c r="H211">
        <f>D211*(2-((366-F211)/365)^'Enhanced Matchup Model'!$F$14)</f>
        <v>1.1741797583302898</v>
      </c>
    </row>
    <row r="212" spans="1:8" ht="15" customHeight="1" x14ac:dyDescent="0.25">
      <c r="A212" s="170" t="s">
        <v>353</v>
      </c>
      <c r="B212" s="168">
        <f>IFERROR(VLOOKUP(A212,'Team Stats'!$B$2:$T$366,3,0)/(VLOOKUP(A212,'Team Stats'!$B$2:$T$366,5,0)+0.44*VLOOKUP(A212,'Team Stats'!$B$2:$T$366,11,0)+VLOOKUP(A212,'Team Stats'!$B$2:$T$366,19,0)-VLOOKUP(A212,'Team Stats'!$B$2:$T$366,13,0)),1)</f>
        <v>1.0089362928797925</v>
      </c>
      <c r="C212" s="168">
        <f>IFERROR((VLOOKUP(A212,'Team Stats'!$B$2:$T$366,5,0)+0.44*VLOOKUP(A212,'Team Stats'!$B$2:$T$366,11,0)+VLOOKUP(A212,'Team Stats'!$B$2:$T$366,19,0)-VLOOKUP(A212,'Team Stats'!$B$2:$T$366,13,0)),70)</f>
        <v>69.38</v>
      </c>
      <c r="D212" s="168">
        <f>IFERROR(VLOOKUP(A212,'Opponents stats vs'!$B$2:$D$366,3,0)/C212,1.05)</f>
        <v>1.1127125972902856</v>
      </c>
      <c r="E212" s="169">
        <f>IFERROR(VLOOKUP(A212,SOS!A:C,3,0),200)</f>
        <v>263</v>
      </c>
      <c r="F212">
        <f>IFERROR(VLOOKUP(A212,SOS!A:D,4,0),200)</f>
        <v>176</v>
      </c>
      <c r="G212">
        <f>B212*((366-F212)/365)^'Enhanced Matchup Model'!$F$14</f>
        <v>0.97653267921896381</v>
      </c>
      <c r="H212">
        <f>D212*(2-((366-F212)/365)^'Enhanced Matchup Model'!$F$14)</f>
        <v>1.1484491540705137</v>
      </c>
    </row>
    <row r="213" spans="1:8" ht="15" customHeight="1" x14ac:dyDescent="0.25">
      <c r="A213" s="167" t="s">
        <v>354</v>
      </c>
      <c r="B213" s="168">
        <f>IFERROR(VLOOKUP(A213,'Team Stats'!$B$2:$T$366,3,0)/(VLOOKUP(A213,'Team Stats'!$B$2:$T$366,5,0)+0.44*VLOOKUP(A213,'Team Stats'!$B$2:$T$366,11,0)+VLOOKUP(A213,'Team Stats'!$B$2:$T$366,19,0)-VLOOKUP(A213,'Team Stats'!$B$2:$T$366,13,0)),1)</f>
        <v>1.0878437774708025</v>
      </c>
      <c r="C213" s="168">
        <f>IFERROR((VLOOKUP(A213,'Team Stats'!$B$2:$T$366,5,0)+0.44*VLOOKUP(A213,'Team Stats'!$B$2:$T$366,11,0)+VLOOKUP(A213,'Team Stats'!$B$2:$T$366,19,0)-VLOOKUP(A213,'Team Stats'!$B$2:$T$366,13,0)),70)</f>
        <v>63.703999999999994</v>
      </c>
      <c r="D213" s="168">
        <f>IFERROR(VLOOKUP(A213,'Opponents stats vs'!$B$2:$D$366,3,0)/C213,1.05)</f>
        <v>0.95912344593746091</v>
      </c>
      <c r="E213" s="169">
        <f>IFERROR(VLOOKUP(A213,SOS!A:C,3,0),200)</f>
        <v>87</v>
      </c>
      <c r="F213">
        <f>IFERROR(VLOOKUP(A213,SOS!A:D,4,0),200)</f>
        <v>124</v>
      </c>
      <c r="G213">
        <f>B213*((366-F213)/365)^'Enhanced Matchup Model'!$F$14</f>
        <v>1.0657188733141087</v>
      </c>
      <c r="H213">
        <f>D213*(2-((366-F213)/365)^'Enhanced Matchup Model'!$F$14)</f>
        <v>0.97863039606695557</v>
      </c>
    </row>
    <row r="214" spans="1:8" ht="15" customHeight="1" x14ac:dyDescent="0.25">
      <c r="A214" s="170" t="s">
        <v>355</v>
      </c>
      <c r="B214" s="168">
        <f>IFERROR(VLOOKUP(A214,'Team Stats'!$B$2:$T$366,3,0)/(VLOOKUP(A214,'Team Stats'!$B$2:$T$366,5,0)+0.44*VLOOKUP(A214,'Team Stats'!$B$2:$T$366,11,0)+VLOOKUP(A214,'Team Stats'!$B$2:$T$366,19,0)-VLOOKUP(A214,'Team Stats'!$B$2:$T$366,13,0)),1)</f>
        <v>1.15114137411397</v>
      </c>
      <c r="C214" s="168">
        <f>IFERROR((VLOOKUP(A214,'Team Stats'!$B$2:$T$366,5,0)+0.44*VLOOKUP(A214,'Team Stats'!$B$2:$T$366,11,0)+VLOOKUP(A214,'Team Stats'!$B$2:$T$366,19,0)-VLOOKUP(A214,'Team Stats'!$B$2:$T$366,13,0)),70)</f>
        <v>71.667999999999992</v>
      </c>
      <c r="D214" s="168">
        <f>IFERROR(VLOOKUP(A214,'Opponents stats vs'!$B$2:$D$366,3,0)/C214,1.05)</f>
        <v>1.0702126472065638</v>
      </c>
      <c r="E214" s="169">
        <f>IFERROR(VLOOKUP(A214,SOS!A:C,3,0),200)</f>
        <v>245</v>
      </c>
      <c r="F214">
        <f>IFERROR(VLOOKUP(A214,SOS!A:D,4,0),200)</f>
        <v>288</v>
      </c>
      <c r="G214">
        <f>B214*((366-F214)/365)^'Enhanced Matchup Model'!$F$14</f>
        <v>1.0656602105032351</v>
      </c>
      <c r="H214">
        <f>D214*(2-((366-F214)/365)^'Enhanced Matchup Model'!$F$14)</f>
        <v>1.1496842259816349</v>
      </c>
    </row>
    <row r="215" spans="1:8" ht="15" customHeight="1" x14ac:dyDescent="0.25">
      <c r="A215" s="167" t="s">
        <v>356</v>
      </c>
      <c r="B215" s="168">
        <f>IFERROR(VLOOKUP(A215,'Team Stats'!$B$2:$T$366,3,0)/(VLOOKUP(A215,'Team Stats'!$B$2:$T$366,5,0)+0.44*VLOOKUP(A215,'Team Stats'!$B$2:$T$366,11,0)+VLOOKUP(A215,'Team Stats'!$B$2:$T$366,19,0)-VLOOKUP(A215,'Team Stats'!$B$2:$T$366,13,0)),1)</f>
        <v>1.0524710189139719</v>
      </c>
      <c r="C215" s="168">
        <f>IFERROR((VLOOKUP(A215,'Team Stats'!$B$2:$T$366,5,0)+0.44*VLOOKUP(A215,'Team Stats'!$B$2:$T$366,11,0)+VLOOKUP(A215,'Team Stats'!$B$2:$T$366,19,0)-VLOOKUP(A215,'Team Stats'!$B$2:$T$366,13,0)),70)</f>
        <v>65.56</v>
      </c>
      <c r="D215" s="168">
        <f>IFERROR(VLOOKUP(A215,'Opponents stats vs'!$B$2:$D$366,3,0)/C215,1.05)</f>
        <v>1.1104331909701037</v>
      </c>
      <c r="E215" s="169">
        <f>IFERROR(VLOOKUP(A215,SOS!A:C,3,0),200)</f>
        <v>241</v>
      </c>
      <c r="F215">
        <f>IFERROR(VLOOKUP(A215,SOS!A:D,4,0),200)</f>
        <v>173</v>
      </c>
      <c r="G215">
        <f>B215*((366-F215)/365)^'Enhanced Matchup Model'!$F$14</f>
        <v>1.0194674595630815</v>
      </c>
      <c r="H215">
        <f>D215*(2-((366-F215)/365)^'Enhanced Matchup Model'!$F$14)</f>
        <v>1.145254337647565</v>
      </c>
    </row>
    <row r="216" spans="1:8" ht="15" customHeight="1" x14ac:dyDescent="0.25">
      <c r="A216" s="170" t="s">
        <v>357</v>
      </c>
      <c r="B216" s="168">
        <f>IFERROR(VLOOKUP(A216,'Team Stats'!$B$2:$T$366,3,0)/(VLOOKUP(A216,'Team Stats'!$B$2:$T$366,5,0)+0.44*VLOOKUP(A216,'Team Stats'!$B$2:$T$366,11,0)+VLOOKUP(A216,'Team Stats'!$B$2:$T$366,19,0)-VLOOKUP(A216,'Team Stats'!$B$2:$T$366,13,0)),1)</f>
        <v>1.1219124480313036</v>
      </c>
      <c r="C216" s="168">
        <f>IFERROR((VLOOKUP(A216,'Team Stats'!$B$2:$T$366,5,0)+0.44*VLOOKUP(A216,'Team Stats'!$B$2:$T$366,11,0)+VLOOKUP(A216,'Team Stats'!$B$2:$T$366,19,0)-VLOOKUP(A216,'Team Stats'!$B$2:$T$366,13,0)),70)</f>
        <v>65.423999999999992</v>
      </c>
      <c r="D216" s="168">
        <f>IFERROR(VLOOKUP(A216,'Opponents stats vs'!$B$2:$D$366,3,0)/C216,1.05)</f>
        <v>1.1066275372951824</v>
      </c>
      <c r="E216" s="169">
        <f>IFERROR(VLOOKUP(A216,SOS!A:C,3,0),200)</f>
        <v>101</v>
      </c>
      <c r="F216">
        <f>IFERROR(VLOOKUP(A216,SOS!A:D,4,0),200)</f>
        <v>30</v>
      </c>
      <c r="G216">
        <f>B216*((366-F216)/365)^'Enhanced Matchup Model'!$F$14</f>
        <v>1.1172781030854486</v>
      </c>
      <c r="H216">
        <f>D216*(2-((366-F216)/365)^'Enhanced Matchup Model'!$F$14)</f>
        <v>1.1111987440265161</v>
      </c>
    </row>
    <row r="217" spans="1:8" ht="15" customHeight="1" x14ac:dyDescent="0.25">
      <c r="A217" s="167" t="s">
        <v>358</v>
      </c>
      <c r="B217" s="168">
        <f>IFERROR(VLOOKUP(A217,'Team Stats'!$B$2:$T$366,3,0)/(VLOOKUP(A217,'Team Stats'!$B$2:$T$366,5,0)+0.44*VLOOKUP(A217,'Team Stats'!$B$2:$T$366,11,0)+VLOOKUP(A217,'Team Stats'!$B$2:$T$366,19,0)-VLOOKUP(A217,'Team Stats'!$B$2:$T$366,13,0)),1)</f>
        <v>1.1156307949991027</v>
      </c>
      <c r="C217" s="168">
        <f>IFERROR((VLOOKUP(A217,'Team Stats'!$B$2:$T$366,5,0)+0.44*VLOOKUP(A217,'Team Stats'!$B$2:$T$366,11,0)+VLOOKUP(A217,'Team Stats'!$B$2:$T$366,19,0)-VLOOKUP(A217,'Team Stats'!$B$2:$T$366,13,0)),70)</f>
        <v>66.867999999999995</v>
      </c>
      <c r="D217" s="168">
        <f>IFERROR(VLOOKUP(A217,'Opponents stats vs'!$B$2:$D$366,3,0)/C217,1.05)</f>
        <v>1.1260991804749656</v>
      </c>
      <c r="E217" s="169">
        <f>IFERROR(VLOOKUP(A217,SOS!A:C,3,0),200)</f>
        <v>100</v>
      </c>
      <c r="F217">
        <f>IFERROR(VLOOKUP(A217,SOS!A:D,4,0),200)</f>
        <v>57</v>
      </c>
      <c r="G217">
        <f>B217*((366-F217)/365)^'Enhanced Matchup Model'!$F$14</f>
        <v>1.1063786192110079</v>
      </c>
      <c r="H217">
        <f>D217*(2-((366-F217)/365)^'Enhanced Matchup Model'!$F$14)</f>
        <v>1.1354381729259515</v>
      </c>
    </row>
    <row r="218" spans="1:8" ht="15" customHeight="1" x14ac:dyDescent="0.25">
      <c r="A218" s="170" t="s">
        <v>359</v>
      </c>
      <c r="B218" s="168">
        <f>IFERROR(VLOOKUP(A218,'Team Stats'!$B$2:$T$366,3,0)/(VLOOKUP(A218,'Team Stats'!$B$2:$T$366,5,0)+0.44*VLOOKUP(A218,'Team Stats'!$B$2:$T$366,11,0)+VLOOKUP(A218,'Team Stats'!$B$2:$T$366,19,0)-VLOOKUP(A218,'Team Stats'!$B$2:$T$366,13,0)),1)</f>
        <v>1.1665348548186643</v>
      </c>
      <c r="C218" s="168">
        <f>IFERROR((VLOOKUP(A218,'Team Stats'!$B$2:$T$366,5,0)+0.44*VLOOKUP(A218,'Team Stats'!$B$2:$T$366,11,0)+VLOOKUP(A218,'Team Stats'!$B$2:$T$366,19,0)-VLOOKUP(A218,'Team Stats'!$B$2:$T$366,13,0)),70)</f>
        <v>70.808000000000007</v>
      </c>
      <c r="D218" s="168">
        <f>IFERROR(VLOOKUP(A218,'Opponents stats vs'!$B$2:$D$366,3,0)/C218,1.05)</f>
        <v>1.1538244266184612</v>
      </c>
      <c r="E218" s="169">
        <f>IFERROR(VLOOKUP(A218,SOS!A:C,3,0),200)</f>
        <v>130</v>
      </c>
      <c r="F218">
        <f>IFERROR(VLOOKUP(A218,SOS!A:D,4,0),200)</f>
        <v>148</v>
      </c>
      <c r="G218">
        <f>B218*((366-F218)/365)^'Enhanced Matchup Model'!$F$14</f>
        <v>1.1368571591952155</v>
      </c>
      <c r="H218">
        <f>D218*(2-((366-F218)/365)^'Enhanced Matchup Model'!$F$14)</f>
        <v>1.1831787575196204</v>
      </c>
    </row>
    <row r="219" spans="1:8" ht="15" customHeight="1" x14ac:dyDescent="0.25">
      <c r="A219" s="167" t="s">
        <v>360</v>
      </c>
      <c r="B219" s="168">
        <f>IFERROR(VLOOKUP(A219,'Team Stats'!$B$2:$T$366,3,0)/(VLOOKUP(A219,'Team Stats'!$B$2:$T$366,5,0)+0.44*VLOOKUP(A219,'Team Stats'!$B$2:$T$366,11,0)+VLOOKUP(A219,'Team Stats'!$B$2:$T$366,19,0)-VLOOKUP(A219,'Team Stats'!$B$2:$T$366,13,0)),1)</f>
        <v>1.0992462311557789</v>
      </c>
      <c r="C219" s="168">
        <f>IFERROR((VLOOKUP(A219,'Team Stats'!$B$2:$T$366,5,0)+0.44*VLOOKUP(A219,'Team Stats'!$B$2:$T$366,11,0)+VLOOKUP(A219,'Team Stats'!$B$2:$T$366,19,0)-VLOOKUP(A219,'Team Stats'!$B$2:$T$366,13,0)),70)</f>
        <v>70.048000000000002</v>
      </c>
      <c r="D219" s="168">
        <f>IFERROR(VLOOKUP(A219,'Opponents stats vs'!$B$2:$D$366,3,0)/C219,1.05)</f>
        <v>1.1035290086797624</v>
      </c>
      <c r="E219" s="169">
        <f>IFERROR(VLOOKUP(A219,SOS!A:C,3,0),200)</f>
        <v>153</v>
      </c>
      <c r="F219">
        <f>IFERROR(VLOOKUP(A219,SOS!A:D,4,0),200)</f>
        <v>165</v>
      </c>
      <c r="G219">
        <f>B219*((366-F219)/365)^'Enhanced Matchup Model'!$F$14</f>
        <v>1.0669403626806153</v>
      </c>
      <c r="H219">
        <f>D219*(2-((366-F219)/365)^'Enhanced Matchup Model'!$F$14)</f>
        <v>1.1359607441749593</v>
      </c>
    </row>
    <row r="220" spans="1:8" ht="15" customHeight="1" x14ac:dyDescent="0.25">
      <c r="A220" s="170" t="s">
        <v>75</v>
      </c>
      <c r="B220" s="168">
        <f>IFERROR(VLOOKUP(A220,'Team Stats'!$B$2:$T$366,3,0)/(VLOOKUP(A220,'Team Stats'!$B$2:$T$366,5,0)+0.44*VLOOKUP(A220,'Team Stats'!$B$2:$T$366,11,0)+VLOOKUP(A220,'Team Stats'!$B$2:$T$366,19,0)-VLOOKUP(A220,'Team Stats'!$B$2:$T$366,13,0)),1)</f>
        <v>1.2021972744191627</v>
      </c>
      <c r="C220" s="168">
        <f>IFERROR((VLOOKUP(A220,'Team Stats'!$B$2:$T$366,5,0)+0.44*VLOOKUP(A220,'Team Stats'!$B$2:$T$366,11,0)+VLOOKUP(A220,'Team Stats'!$B$2:$T$366,19,0)-VLOOKUP(A220,'Team Stats'!$B$2:$T$366,13,0)),70)</f>
        <v>66.628000000000014</v>
      </c>
      <c r="D220" s="168">
        <f>IFERROR(VLOOKUP(A220,'Opponents stats vs'!$B$2:$D$366,3,0)/C220,1.05)</f>
        <v>1.0926337275619857</v>
      </c>
      <c r="E220" s="169">
        <f>IFERROR(VLOOKUP(A220,SOS!A:C,3,0),200)</f>
        <v>35</v>
      </c>
      <c r="F220">
        <f>IFERROR(VLOOKUP(A220,SOS!A:D,4,0),200)</f>
        <v>23</v>
      </c>
      <c r="G220">
        <f>B220*((366-F220)/365)^'Enhanced Matchup Model'!$F$14</f>
        <v>1.1984662318349413</v>
      </c>
      <c r="H220">
        <f>D220*(2-((366-F220)/365)^'Enhanced Matchup Model'!$F$14)</f>
        <v>1.0960247375511409</v>
      </c>
    </row>
    <row r="221" spans="1:8" ht="15" customHeight="1" x14ac:dyDescent="0.25">
      <c r="A221" s="167" t="s">
        <v>361</v>
      </c>
      <c r="B221" s="168">
        <f>IFERROR(VLOOKUP(A221,'Team Stats'!$B$2:$T$366,3,0)/(VLOOKUP(A221,'Team Stats'!$B$2:$T$366,5,0)+0.44*VLOOKUP(A221,'Team Stats'!$B$2:$T$366,11,0)+VLOOKUP(A221,'Team Stats'!$B$2:$T$366,19,0)-VLOOKUP(A221,'Team Stats'!$B$2:$T$366,13,0)),1)</f>
        <v>1.2083089526038617</v>
      </c>
      <c r="C221" s="168">
        <f>IFERROR((VLOOKUP(A221,'Team Stats'!$B$2:$T$366,5,0)+0.44*VLOOKUP(A221,'Team Stats'!$B$2:$T$366,11,0)+VLOOKUP(A221,'Team Stats'!$B$2:$T$366,19,0)-VLOOKUP(A221,'Team Stats'!$B$2:$T$366,13,0)),70)</f>
        <v>68.36</v>
      </c>
      <c r="D221" s="168">
        <f>IFERROR(VLOOKUP(A221,'Opponents stats vs'!$B$2:$D$366,3,0)/C221,1.05)</f>
        <v>1.1293153891164425</v>
      </c>
      <c r="E221" s="169">
        <f>IFERROR(VLOOKUP(A221,SOS!A:C,3,0),200)</f>
        <v>67</v>
      </c>
      <c r="F221">
        <f>IFERROR(VLOOKUP(A221,SOS!A:D,4,0),200)</f>
        <v>42</v>
      </c>
      <c r="G221">
        <f>B221*((366-F221)/365)^'Enhanced Matchup Model'!$F$14</f>
        <v>1.20113162154981</v>
      </c>
      <c r="H221">
        <f>D221*(2-((366-F221)/365)^'Enhanced Matchup Model'!$F$14)</f>
        <v>1.1360234999805199</v>
      </c>
    </row>
    <row r="222" spans="1:8" ht="15" customHeight="1" x14ac:dyDescent="0.25">
      <c r="A222" s="170" t="s">
        <v>362</v>
      </c>
      <c r="B222" s="168">
        <f>IFERROR(VLOOKUP(A222,'Team Stats'!$B$2:$T$366,3,0)/(VLOOKUP(A222,'Team Stats'!$B$2:$T$366,5,0)+0.44*VLOOKUP(A222,'Team Stats'!$B$2:$T$366,11,0)+VLOOKUP(A222,'Team Stats'!$B$2:$T$366,19,0)-VLOOKUP(A222,'Team Stats'!$B$2:$T$366,13,0)),1)</f>
        <v>1.1248263332264616</v>
      </c>
      <c r="C222" s="168">
        <f>IFERROR((VLOOKUP(A222,'Team Stats'!$B$2:$T$366,5,0)+0.44*VLOOKUP(A222,'Team Stats'!$B$2:$T$366,11,0)+VLOOKUP(A222,'Team Stats'!$B$2:$T$366,19,0)-VLOOKUP(A222,'Team Stats'!$B$2:$T$366,13,0)),70)</f>
        <v>74.855999999999995</v>
      </c>
      <c r="D222" s="168">
        <f>IFERROR(VLOOKUP(A222,'Opponents stats vs'!$B$2:$D$366,3,0)/C222,1.05)</f>
        <v>1.1021160628406541</v>
      </c>
      <c r="E222" s="169">
        <f>IFERROR(VLOOKUP(A222,SOS!A:C,3,0),200)</f>
        <v>55</v>
      </c>
      <c r="F222">
        <f>IFERROR(VLOOKUP(A222,SOS!A:D,4,0),200)</f>
        <v>47</v>
      </c>
      <c r="G222">
        <f>B222*((366-F222)/365)^'Enhanced Matchup Model'!$F$14</f>
        <v>1.1172757326903677</v>
      </c>
      <c r="H222">
        <f>D222*(2-((366-F222)/365)^'Enhanced Matchup Model'!$F$14)</f>
        <v>1.1095142165725749</v>
      </c>
    </row>
    <row r="223" spans="1:8" ht="15" customHeight="1" x14ac:dyDescent="0.25">
      <c r="A223" s="167" t="s">
        <v>363</v>
      </c>
      <c r="B223" s="168">
        <f>IFERROR(VLOOKUP(A223,'Team Stats'!$B$2:$T$366,3,0)/(VLOOKUP(A223,'Team Stats'!$B$2:$T$366,5,0)+0.44*VLOOKUP(A223,'Team Stats'!$B$2:$T$366,11,0)+VLOOKUP(A223,'Team Stats'!$B$2:$T$366,19,0)-VLOOKUP(A223,'Team Stats'!$B$2:$T$366,13,0)),1)</f>
        <v>1.0815874638051439</v>
      </c>
      <c r="C223" s="168">
        <f>IFERROR((VLOOKUP(A223,'Team Stats'!$B$2:$T$366,5,0)+0.44*VLOOKUP(A223,'Team Stats'!$B$2:$T$366,11,0)+VLOOKUP(A223,'Team Stats'!$B$2:$T$366,19,0)-VLOOKUP(A223,'Team Stats'!$B$2:$T$366,13,0)),70)</f>
        <v>70.451999999999998</v>
      </c>
      <c r="D223" s="168">
        <f>IFERROR(VLOOKUP(A223,'Opponents stats vs'!$B$2:$D$366,3,0)/C223,1.05)</f>
        <v>1.1057173678532903</v>
      </c>
      <c r="E223" s="169">
        <f>IFERROR(VLOOKUP(A223,SOS!A:C,3,0),200)</f>
        <v>204</v>
      </c>
      <c r="F223">
        <f>IFERROR(VLOOKUP(A223,SOS!A:D,4,0),200)</f>
        <v>155</v>
      </c>
      <c r="G223">
        <f>B223*((366-F223)/365)^'Enhanced Matchup Model'!$F$14</f>
        <v>1.0523522270003554</v>
      </c>
      <c r="H223">
        <f>D223*(2-((366-F223)/365)^'Enhanced Matchup Model'!$F$14)</f>
        <v>1.1356048343505742</v>
      </c>
    </row>
    <row r="224" spans="1:8" ht="15" customHeight="1" x14ac:dyDescent="0.25">
      <c r="A224" s="170" t="s">
        <v>364</v>
      </c>
      <c r="B224" s="168">
        <f>IFERROR(VLOOKUP(A224,'Team Stats'!$B$2:$T$366,3,0)/(VLOOKUP(A224,'Team Stats'!$B$2:$T$366,5,0)+0.44*VLOOKUP(A224,'Team Stats'!$B$2:$T$366,11,0)+VLOOKUP(A224,'Team Stats'!$B$2:$T$366,19,0)-VLOOKUP(A224,'Team Stats'!$B$2:$T$366,13,0)),1)</f>
        <v>1.1078631978953521</v>
      </c>
      <c r="C224" s="168">
        <f>IFERROR((VLOOKUP(A224,'Team Stats'!$B$2:$T$366,5,0)+0.44*VLOOKUP(A224,'Team Stats'!$B$2:$T$366,11,0)+VLOOKUP(A224,'Team Stats'!$B$2:$T$366,19,0)-VLOOKUP(A224,'Team Stats'!$B$2:$T$366,13,0)),70)</f>
        <v>68.42</v>
      </c>
      <c r="D224" s="168">
        <f>IFERROR(VLOOKUP(A224,'Opponents stats vs'!$B$2:$D$366,3,0)/C224,1.05)</f>
        <v>1.1151710026308097</v>
      </c>
      <c r="E224" s="169">
        <f>IFERROR(VLOOKUP(A224,SOS!A:C,3,0),200)</f>
        <v>110</v>
      </c>
      <c r="F224">
        <f>IFERROR(VLOOKUP(A224,SOS!A:D,4,0),200)</f>
        <v>28</v>
      </c>
      <c r="G224">
        <f>B224*((366-F224)/365)^'Enhanced Matchup Model'!$F$14</f>
        <v>1.1036143213257106</v>
      </c>
      <c r="H224">
        <f>D224*(2-((366-F224)/365)^'Enhanced Matchup Model'!$F$14)</f>
        <v>1.1194479060907525</v>
      </c>
    </row>
    <row r="225" spans="1:8" ht="15" customHeight="1" x14ac:dyDescent="0.25">
      <c r="A225" s="167" t="s">
        <v>365</v>
      </c>
      <c r="B225" s="168">
        <f>IFERROR(VLOOKUP(A225,'Team Stats'!$B$2:$T$366,3,0)/(VLOOKUP(A225,'Team Stats'!$B$2:$T$366,5,0)+0.44*VLOOKUP(A225,'Team Stats'!$B$2:$T$366,11,0)+VLOOKUP(A225,'Team Stats'!$B$2:$T$366,19,0)-VLOOKUP(A225,'Team Stats'!$B$2:$T$366,13,0)),1)</f>
        <v>1.1236612629484404</v>
      </c>
      <c r="C225" s="168">
        <f>IFERROR((VLOOKUP(A225,'Team Stats'!$B$2:$T$366,5,0)+0.44*VLOOKUP(A225,'Team Stats'!$B$2:$T$366,11,0)+VLOOKUP(A225,'Team Stats'!$B$2:$T$366,19,0)-VLOOKUP(A225,'Team Stats'!$B$2:$T$366,13,0)),70)</f>
        <v>68.347999999999999</v>
      </c>
      <c r="D225" s="168">
        <f>IFERROR(VLOOKUP(A225,'Opponents stats vs'!$B$2:$D$366,3,0)/C225,1.05)</f>
        <v>1.1265874641540352</v>
      </c>
      <c r="E225" s="169">
        <f>IFERROR(VLOOKUP(A225,SOS!A:C,3,0),200)</f>
        <v>262</v>
      </c>
      <c r="F225">
        <f>IFERROR(VLOOKUP(A225,SOS!A:D,4,0),200)</f>
        <v>278</v>
      </c>
      <c r="G225">
        <f>B225*((366-F225)/365)^'Enhanced Matchup Model'!$F$14</f>
        <v>1.0465136555625052</v>
      </c>
      <c r="H225">
        <f>D225*(2-((366-F225)/365)^'Enhanced Matchup Model'!$F$14)</f>
        <v>1.2039359767675379</v>
      </c>
    </row>
    <row r="226" spans="1:8" ht="15" customHeight="1" x14ac:dyDescent="0.25">
      <c r="A226" s="170" t="s">
        <v>366</v>
      </c>
      <c r="B226" s="168">
        <f>IFERROR(VLOOKUP(A226,'Team Stats'!$B$2:$T$366,3,0)/(VLOOKUP(A226,'Team Stats'!$B$2:$T$366,5,0)+0.44*VLOOKUP(A226,'Team Stats'!$B$2:$T$366,11,0)+VLOOKUP(A226,'Team Stats'!$B$2:$T$366,19,0)-VLOOKUP(A226,'Team Stats'!$B$2:$T$366,13,0)),1)</f>
        <v>1.0525560022975302</v>
      </c>
      <c r="C226" s="168">
        <f>IFERROR((VLOOKUP(A226,'Team Stats'!$B$2:$T$366,5,0)+0.44*VLOOKUP(A226,'Team Stats'!$B$2:$T$366,11,0)+VLOOKUP(A226,'Team Stats'!$B$2:$T$366,19,0)-VLOOKUP(A226,'Team Stats'!$B$2:$T$366,13,0)),70)</f>
        <v>69.639999999999986</v>
      </c>
      <c r="D226" s="168">
        <f>IFERROR(VLOOKUP(A226,'Opponents stats vs'!$B$2:$D$366,3,0)/C226,1.05)</f>
        <v>1.1128661688684667</v>
      </c>
      <c r="E226" s="169">
        <f>IFERROR(VLOOKUP(A226,SOS!A:C,3,0),200)</f>
        <v>290</v>
      </c>
      <c r="F226">
        <f>IFERROR(VLOOKUP(A226,SOS!A:D,4,0),200)</f>
        <v>215</v>
      </c>
      <c r="G226">
        <f>B226*((366-F226)/365)^'Enhanced Matchup Model'!$F$14</f>
        <v>1.0071158161082931</v>
      </c>
      <c r="H226">
        <f>D226*(2-((366-F226)/365)^'Enhanced Matchup Model'!$F$14)</f>
        <v>1.1609100219334856</v>
      </c>
    </row>
    <row r="227" spans="1:8" ht="15" customHeight="1" x14ac:dyDescent="0.25">
      <c r="A227" s="167" t="s">
        <v>367</v>
      </c>
      <c r="B227" s="168">
        <f>IFERROR(VLOOKUP(A227,'Team Stats'!$B$2:$T$366,3,0)/(VLOOKUP(A227,'Team Stats'!$B$2:$T$366,5,0)+0.44*VLOOKUP(A227,'Team Stats'!$B$2:$T$366,11,0)+VLOOKUP(A227,'Team Stats'!$B$2:$T$366,19,0)-VLOOKUP(A227,'Team Stats'!$B$2:$T$366,13,0)),1)</f>
        <v>1.0638618032984233</v>
      </c>
      <c r="C227" s="168">
        <f>IFERROR((VLOOKUP(A227,'Team Stats'!$B$2:$T$366,5,0)+0.44*VLOOKUP(A227,'Team Stats'!$B$2:$T$366,11,0)+VLOOKUP(A227,'Team Stats'!$B$2:$T$366,19,0)-VLOOKUP(A227,'Team Stats'!$B$2:$T$366,13,0)),70)</f>
        <v>66.455999999999989</v>
      </c>
      <c r="D227" s="168">
        <f>IFERROR(VLOOKUP(A227,'Opponents stats vs'!$B$2:$D$366,3,0)/C227,1.05)</f>
        <v>1.1120139641266404</v>
      </c>
      <c r="E227" s="169">
        <f>IFERROR(VLOOKUP(A227,SOS!A:C,3,0),200)</f>
        <v>129</v>
      </c>
      <c r="F227">
        <f>IFERROR(VLOOKUP(A227,SOS!A:D,4,0),200)</f>
        <v>13</v>
      </c>
      <c r="G227">
        <f>B227*((366-F227)/365)^'Enhanced Matchup Model'!$F$14</f>
        <v>1.0620850809856939</v>
      </c>
      <c r="H227">
        <f>D227*(2-((366-F227)/365)^'Enhanced Matchup Model'!$F$14)</f>
        <v>1.1138711038566365</v>
      </c>
    </row>
    <row r="228" spans="1:8" ht="15" customHeight="1" x14ac:dyDescent="0.25">
      <c r="A228" s="170" t="s">
        <v>368</v>
      </c>
      <c r="B228" s="168">
        <f>IFERROR(VLOOKUP(A228,'Team Stats'!$B$2:$T$366,3,0)/(VLOOKUP(A228,'Team Stats'!$B$2:$T$366,5,0)+0.44*VLOOKUP(A228,'Team Stats'!$B$2:$T$366,11,0)+VLOOKUP(A228,'Team Stats'!$B$2:$T$366,19,0)-VLOOKUP(A228,'Team Stats'!$B$2:$T$366,13,0)),1)</f>
        <v>1.0760790933204727</v>
      </c>
      <c r="C228" s="168">
        <f>IFERROR((VLOOKUP(A228,'Team Stats'!$B$2:$T$366,5,0)+0.44*VLOOKUP(A228,'Team Stats'!$B$2:$T$366,11,0)+VLOOKUP(A228,'Team Stats'!$B$2:$T$366,19,0)-VLOOKUP(A228,'Team Stats'!$B$2:$T$366,13,0)),70)</f>
        <v>66.352000000000004</v>
      </c>
      <c r="D228" s="168">
        <f>IFERROR(VLOOKUP(A228,'Opponents stats vs'!$B$2:$D$366,3,0)/C228,1.05)</f>
        <v>1.1212925006028454</v>
      </c>
      <c r="E228" s="169">
        <f>IFERROR(VLOOKUP(A228,SOS!A:C,3,0),200)</f>
        <v>111</v>
      </c>
      <c r="F228">
        <f>IFERROR(VLOOKUP(A228,SOS!A:D,4,0),200)</f>
        <v>105</v>
      </c>
      <c r="G228">
        <f>B228*((366-F228)/365)^'Enhanced Matchup Model'!$F$14</f>
        <v>1.0581849387895768</v>
      </c>
      <c r="H228">
        <f>D228*(2-((366-F228)/365)^'Enhanced Matchup Model'!$F$14)</f>
        <v>1.1399385103661319</v>
      </c>
    </row>
    <row r="229" spans="1:8" ht="15" customHeight="1" x14ac:dyDescent="0.25">
      <c r="A229" s="167" t="s">
        <v>369</v>
      </c>
      <c r="B229" s="168">
        <f>IFERROR(VLOOKUP(A229,'Team Stats'!$B$2:$T$366,3,0)/(VLOOKUP(A229,'Team Stats'!$B$2:$T$366,5,0)+0.44*VLOOKUP(A229,'Team Stats'!$B$2:$T$366,11,0)+VLOOKUP(A229,'Team Stats'!$B$2:$T$366,19,0)-VLOOKUP(A229,'Team Stats'!$B$2:$T$366,13,0)),1)</f>
        <v>1.1154455686943803</v>
      </c>
      <c r="C229" s="168">
        <f>IFERROR((VLOOKUP(A229,'Team Stats'!$B$2:$T$366,5,0)+0.44*VLOOKUP(A229,'Team Stats'!$B$2:$T$366,11,0)+VLOOKUP(A229,'Team Stats'!$B$2:$T$366,19,0)-VLOOKUP(A229,'Team Stats'!$B$2:$T$366,13,0)),70)</f>
        <v>65.623999999999995</v>
      </c>
      <c r="D229" s="168">
        <f>IFERROR(VLOOKUP(A229,'Opponents stats vs'!$B$2:$D$366,3,0)/C229,1.05)</f>
        <v>1.049920760697306</v>
      </c>
      <c r="E229" s="169">
        <f>IFERROR(VLOOKUP(A229,SOS!A:C,3,0),200)</f>
        <v>123</v>
      </c>
      <c r="F229">
        <f>IFERROR(VLOOKUP(A229,SOS!A:D,4,0),200)</f>
        <v>138</v>
      </c>
      <c r="G229">
        <f>B229*((366-F229)/365)^'Enhanced Matchup Model'!$F$14</f>
        <v>1.0895081458219713</v>
      </c>
      <c r="H229">
        <f>D229*(2-((366-F229)/365)^'Enhanced Matchup Model'!$F$14)</f>
        <v>1.0743345371441499</v>
      </c>
    </row>
    <row r="230" spans="1:8" ht="15" customHeight="1" x14ac:dyDescent="0.25">
      <c r="A230" s="170" t="s">
        <v>370</v>
      </c>
      <c r="B230" s="168">
        <f>IFERROR(VLOOKUP(A230,'Team Stats'!$B$2:$T$366,3,0)/(VLOOKUP(A230,'Team Stats'!$B$2:$T$366,5,0)+0.44*VLOOKUP(A230,'Team Stats'!$B$2:$T$366,11,0)+VLOOKUP(A230,'Team Stats'!$B$2:$T$366,19,0)-VLOOKUP(A230,'Team Stats'!$B$2:$T$366,13,0)),1)</f>
        <v>1.1162860576923079</v>
      </c>
      <c r="C230" s="168">
        <f>IFERROR((VLOOKUP(A230,'Team Stats'!$B$2:$T$366,5,0)+0.44*VLOOKUP(A230,'Team Stats'!$B$2:$T$366,11,0)+VLOOKUP(A230,'Team Stats'!$B$2:$T$366,19,0)-VLOOKUP(A230,'Team Stats'!$B$2:$T$366,13,0)),70)</f>
        <v>66.559999999999988</v>
      </c>
      <c r="D230" s="168">
        <f>IFERROR(VLOOKUP(A230,'Opponents stats vs'!$B$2:$D$366,3,0)/C230,1.05)</f>
        <v>1.1959134615384617</v>
      </c>
      <c r="E230" s="169">
        <f>IFERROR(VLOOKUP(A230,SOS!A:C,3,0),200)</f>
        <v>140</v>
      </c>
      <c r="F230">
        <f>IFERROR(VLOOKUP(A230,SOS!A:D,4,0),200)</f>
        <v>52</v>
      </c>
      <c r="G230">
        <f>B230*((366-F230)/365)^'Enhanced Matchup Model'!$F$14</f>
        <v>1.1079172892274478</v>
      </c>
      <c r="H230">
        <f>D230*(2-((366-F230)/365)^'Enhanced Matchup Model'!$F$14)</f>
        <v>1.2048791946448258</v>
      </c>
    </row>
    <row r="231" spans="1:8" ht="15" customHeight="1" x14ac:dyDescent="0.25">
      <c r="A231" s="167" t="s">
        <v>371</v>
      </c>
      <c r="B231" s="168">
        <f>IFERROR(VLOOKUP(A231,'Team Stats'!$B$2:$T$366,3,0)/(VLOOKUP(A231,'Team Stats'!$B$2:$T$366,5,0)+0.44*VLOOKUP(A231,'Team Stats'!$B$2:$T$366,11,0)+VLOOKUP(A231,'Team Stats'!$B$2:$T$366,19,0)-VLOOKUP(A231,'Team Stats'!$B$2:$T$366,13,0)),1)</f>
        <v>1.1073551696001867</v>
      </c>
      <c r="C231" s="168">
        <f>IFERROR((VLOOKUP(A231,'Team Stats'!$B$2:$T$366,5,0)+0.44*VLOOKUP(A231,'Team Stats'!$B$2:$T$366,11,0)+VLOOKUP(A231,'Team Stats'!$B$2:$T$366,19,0)-VLOOKUP(A231,'Team Stats'!$B$2:$T$366,13,0)),70)</f>
        <v>68.631999999999991</v>
      </c>
      <c r="D231" s="168">
        <f>IFERROR(VLOOKUP(A231,'Opponents stats vs'!$B$2:$D$366,3,0)/C231,1.05)</f>
        <v>1.0767571978086026</v>
      </c>
      <c r="E231" s="169">
        <f>IFERROR(VLOOKUP(A231,SOS!A:C,3,0),200)</f>
        <v>105</v>
      </c>
      <c r="F231">
        <f>IFERROR(VLOOKUP(A231,SOS!A:D,4,0),200)</f>
        <v>146</v>
      </c>
      <c r="G231">
        <f>B231*((366-F231)/365)^'Enhanced Matchup Model'!$F$14</f>
        <v>1.0796759519836074</v>
      </c>
      <c r="H231">
        <f>D231*(2-((366-F231)/365)^'Enhanced Matchup Model'!$F$14)</f>
        <v>1.1036715949384077</v>
      </c>
    </row>
    <row r="232" spans="1:8" ht="15" customHeight="1" x14ac:dyDescent="0.25">
      <c r="A232" s="170" t="s">
        <v>372</v>
      </c>
      <c r="B232" s="168">
        <f>IFERROR(VLOOKUP(A232,'Team Stats'!$B$2:$T$366,3,0)/(VLOOKUP(A232,'Team Stats'!$B$2:$T$366,5,0)+0.44*VLOOKUP(A232,'Team Stats'!$B$2:$T$366,11,0)+VLOOKUP(A232,'Team Stats'!$B$2:$T$366,19,0)-VLOOKUP(A232,'Team Stats'!$B$2:$T$366,13,0)),1)</f>
        <v>1.0435912240184757</v>
      </c>
      <c r="C232" s="168">
        <f>IFERROR((VLOOKUP(A232,'Team Stats'!$B$2:$T$366,5,0)+0.44*VLOOKUP(A232,'Team Stats'!$B$2:$T$366,11,0)+VLOOKUP(A232,'Team Stats'!$B$2:$T$366,19,0)-VLOOKUP(A232,'Team Stats'!$B$2:$T$366,13,0)),70)</f>
        <v>69.28</v>
      </c>
      <c r="D232" s="168">
        <f>IFERROR(VLOOKUP(A232,'Opponents stats vs'!$B$2:$D$366,3,0)/C232,1.05)</f>
        <v>1.1489607390300229</v>
      </c>
      <c r="E232" s="169">
        <f>IFERROR(VLOOKUP(A232,SOS!A:C,3,0),200)</f>
        <v>277</v>
      </c>
      <c r="F232">
        <f>IFERROR(VLOOKUP(A232,SOS!A:D,4,0),200)</f>
        <v>134</v>
      </c>
      <c r="G232">
        <f>B232*((366-F232)/365)^'Enhanced Matchup Model'!$F$14</f>
        <v>1.0202114051938145</v>
      </c>
      <c r="H232">
        <f>D232*(2-((366-F232)/365)^'Enhanced Matchup Model'!$F$14)</f>
        <v>1.174701175799636</v>
      </c>
    </row>
    <row r="233" spans="1:8" ht="15" customHeight="1" x14ac:dyDescent="0.25">
      <c r="A233" s="167" t="s">
        <v>373</v>
      </c>
      <c r="B233" s="168">
        <f>IFERROR(VLOOKUP(A233,'Team Stats'!$B$2:$T$366,3,0)/(VLOOKUP(A233,'Team Stats'!$B$2:$T$366,5,0)+0.44*VLOOKUP(A233,'Team Stats'!$B$2:$T$366,11,0)+VLOOKUP(A233,'Team Stats'!$B$2:$T$366,19,0)-VLOOKUP(A233,'Team Stats'!$B$2:$T$366,13,0)),1)</f>
        <v>1.0841994555803016</v>
      </c>
      <c r="C233" s="168">
        <f>IFERROR((VLOOKUP(A233,'Team Stats'!$B$2:$T$366,5,0)+0.44*VLOOKUP(A233,'Team Stats'!$B$2:$T$366,11,0)+VLOOKUP(A233,'Team Stats'!$B$2:$T$366,19,0)-VLOOKUP(A233,'Team Stats'!$B$2:$T$366,13,0)),70)</f>
        <v>64.656000000000006</v>
      </c>
      <c r="D233" s="168">
        <f>IFERROR(VLOOKUP(A233,'Opponents stats vs'!$B$2:$D$366,3,0)/C233,1.05)</f>
        <v>1.1027592180153425</v>
      </c>
      <c r="E233" s="169">
        <f>IFERROR(VLOOKUP(A233,SOS!A:C,3,0),200)</f>
        <v>139</v>
      </c>
      <c r="F233">
        <f>IFERROR(VLOOKUP(A233,SOS!A:D,4,0),200)</f>
        <v>40</v>
      </c>
      <c r="G233">
        <f>B233*((366-F233)/365)^'Enhanced Matchup Model'!$F$14</f>
        <v>1.0780910027870927</v>
      </c>
      <c r="H233">
        <f>D233*(2-((366-F233)/365)^'Enhanced Matchup Model'!$F$14)</f>
        <v>1.1089722377607887</v>
      </c>
    </row>
    <row r="234" spans="1:8" ht="15" customHeight="1" x14ac:dyDescent="0.25">
      <c r="A234" s="170" t="s">
        <v>374</v>
      </c>
      <c r="B234" s="168">
        <f>IFERROR(VLOOKUP(A234,'Team Stats'!$B$2:$T$366,3,0)/(VLOOKUP(A234,'Team Stats'!$B$2:$T$366,5,0)+0.44*VLOOKUP(A234,'Team Stats'!$B$2:$T$366,11,0)+VLOOKUP(A234,'Team Stats'!$B$2:$T$366,19,0)-VLOOKUP(A234,'Team Stats'!$B$2:$T$366,13,0)),1)</f>
        <v>1.0579537729435757</v>
      </c>
      <c r="C234" s="168">
        <f>IFERROR((VLOOKUP(A234,'Team Stats'!$B$2:$T$366,5,0)+0.44*VLOOKUP(A234,'Team Stats'!$B$2:$T$366,11,0)+VLOOKUP(A234,'Team Stats'!$B$2:$T$366,19,0)-VLOOKUP(A234,'Team Stats'!$B$2:$T$366,13,0)),70)</f>
        <v>70.608000000000004</v>
      </c>
      <c r="D234" s="168">
        <f>IFERROR(VLOOKUP(A234,'Opponents stats vs'!$B$2:$D$366,3,0)/C234,1.05)</f>
        <v>1.1146045773849989</v>
      </c>
      <c r="E234" s="169">
        <f>IFERROR(VLOOKUP(A234,SOS!A:C,3,0),200)</f>
        <v>159</v>
      </c>
      <c r="F234">
        <f>IFERROR(VLOOKUP(A234,SOS!A:D,4,0),200)</f>
        <v>116</v>
      </c>
      <c r="G234">
        <f>B234*((366-F234)/365)^'Enhanced Matchup Model'!$F$14</f>
        <v>1.0381235636929198</v>
      </c>
      <c r="H234">
        <f>D234*(2-((366-F234)/365)^'Enhanced Matchup Model'!$F$14)</f>
        <v>1.1354966452300677</v>
      </c>
    </row>
    <row r="235" spans="1:8" ht="15" customHeight="1" x14ac:dyDescent="0.25">
      <c r="A235" s="167" t="s">
        <v>100</v>
      </c>
      <c r="B235" s="168">
        <f>IFERROR(VLOOKUP(A235,'Team Stats'!$B$2:$T$366,3,0)/(VLOOKUP(A235,'Team Stats'!$B$2:$T$366,5,0)+0.44*VLOOKUP(A235,'Team Stats'!$B$2:$T$366,11,0)+VLOOKUP(A235,'Team Stats'!$B$2:$T$366,19,0)-VLOOKUP(A235,'Team Stats'!$B$2:$T$366,13,0)),1)</f>
        <v>1.1056830664277044</v>
      </c>
      <c r="C235" s="168">
        <f>IFERROR((VLOOKUP(A235,'Team Stats'!$B$2:$T$366,5,0)+0.44*VLOOKUP(A235,'Team Stats'!$B$2:$T$366,11,0)+VLOOKUP(A235,'Team Stats'!$B$2:$T$366,19,0)-VLOOKUP(A235,'Team Stats'!$B$2:$T$366,13,0)),70)</f>
        <v>69.187999999999988</v>
      </c>
      <c r="D235" s="168">
        <f>IFERROR(VLOOKUP(A235,'Opponents stats vs'!$B$2:$D$366,3,0)/C235,1.05)</f>
        <v>1.0102908018731573</v>
      </c>
      <c r="E235" s="169">
        <f>IFERROR(VLOOKUP(A235,SOS!A:C,3,0),200)</f>
        <v>203</v>
      </c>
      <c r="F235">
        <f>IFERROR(VLOOKUP(A235,SOS!A:D,4,0),200)</f>
        <v>277</v>
      </c>
      <c r="G235">
        <f>B235*((366-F235)/365)^'Enhanced Matchup Model'!$F$14</f>
        <v>1.0303517558337409</v>
      </c>
      <c r="H235">
        <f>D235*(2-((366-F235)/365)^'Enhanced Matchup Model'!$F$14)</f>
        <v>1.0791229405727396</v>
      </c>
    </row>
    <row r="236" spans="1:8" ht="15" customHeight="1" x14ac:dyDescent="0.25">
      <c r="A236" s="170" t="s">
        <v>375</v>
      </c>
      <c r="B236" s="168">
        <f>IFERROR(VLOOKUP(A236,'Team Stats'!$B$2:$T$366,3,0)/(VLOOKUP(A236,'Team Stats'!$B$2:$T$366,5,0)+0.44*VLOOKUP(A236,'Team Stats'!$B$2:$T$366,11,0)+VLOOKUP(A236,'Team Stats'!$B$2:$T$366,19,0)-VLOOKUP(A236,'Team Stats'!$B$2:$T$366,13,0)),1)</f>
        <v>1.0758472296933836</v>
      </c>
      <c r="C236" s="168">
        <f>IFERROR((VLOOKUP(A236,'Team Stats'!$B$2:$T$366,5,0)+0.44*VLOOKUP(A236,'Team Stats'!$B$2:$T$366,11,0)+VLOOKUP(A236,'Team Stats'!$B$2:$T$366,19,0)-VLOOKUP(A236,'Team Stats'!$B$2:$T$366,13,0)),70)</f>
        <v>74.36</v>
      </c>
      <c r="D236" s="168">
        <f>IFERROR(VLOOKUP(A236,'Opponents stats vs'!$B$2:$D$366,3,0)/C236,1.05)</f>
        <v>1.0516406670252825</v>
      </c>
      <c r="E236" s="169">
        <f>IFERROR(VLOOKUP(A236,SOS!A:C,3,0),200)</f>
        <v>325</v>
      </c>
      <c r="F236">
        <f>IFERROR(VLOOKUP(A236,SOS!A:D,4,0),200)</f>
        <v>349</v>
      </c>
      <c r="G236">
        <f>B236*((366-F236)/365)^'Enhanced Matchup Model'!$F$14</f>
        <v>0.92290799609093477</v>
      </c>
      <c r="H236">
        <f>D236*(2-((366-F236)/365)^'Enhanced Matchup Model'!$F$14)</f>
        <v>1.2011387678716761</v>
      </c>
    </row>
    <row r="237" spans="1:8" ht="15" customHeight="1" x14ac:dyDescent="0.25">
      <c r="A237" s="167" t="s">
        <v>376</v>
      </c>
      <c r="B237" s="168">
        <f>IFERROR(VLOOKUP(A237,'Team Stats'!$B$2:$T$366,3,0)/(VLOOKUP(A237,'Team Stats'!$B$2:$T$366,5,0)+0.44*VLOOKUP(A237,'Team Stats'!$B$2:$T$366,11,0)+VLOOKUP(A237,'Team Stats'!$B$2:$T$366,19,0)-VLOOKUP(A237,'Team Stats'!$B$2:$T$366,13,0)),1)</f>
        <v>1.0860358180058081</v>
      </c>
      <c r="C237" s="168">
        <f>IFERROR((VLOOKUP(A237,'Team Stats'!$B$2:$T$366,5,0)+0.44*VLOOKUP(A237,'Team Stats'!$B$2:$T$366,11,0)+VLOOKUP(A237,'Team Stats'!$B$2:$T$366,19,0)-VLOOKUP(A237,'Team Stats'!$B$2:$T$366,13,0)),70)</f>
        <v>66.112000000000009</v>
      </c>
      <c r="D237" s="168">
        <f>IFERROR(VLOOKUP(A237,'Opponents stats vs'!$B$2:$D$366,3,0)/C237,1.05)</f>
        <v>1.0845232333010648</v>
      </c>
      <c r="E237" s="169">
        <f>IFERROR(VLOOKUP(A237,SOS!A:C,3,0),200)</f>
        <v>265</v>
      </c>
      <c r="F237">
        <f>IFERROR(VLOOKUP(A237,SOS!A:D,4,0),200)</f>
        <v>259</v>
      </c>
      <c r="G237">
        <f>B237*((366-F237)/365)^'Enhanced Matchup Model'!$F$14</f>
        <v>1.0214066813767306</v>
      </c>
      <c r="H237">
        <f>D237*(2-((366-F237)/365)^'Enhanced Matchup Model'!$F$14)</f>
        <v>1.149062357205032</v>
      </c>
    </row>
    <row r="238" spans="1:8" ht="15" customHeight="1" x14ac:dyDescent="0.25">
      <c r="A238" s="170" t="s">
        <v>377</v>
      </c>
      <c r="B238" s="168">
        <f>IFERROR(VLOOKUP(A238,'Team Stats'!$B$2:$T$366,3,0)/(VLOOKUP(A238,'Team Stats'!$B$2:$T$366,5,0)+0.44*VLOOKUP(A238,'Team Stats'!$B$2:$T$366,11,0)+VLOOKUP(A238,'Team Stats'!$B$2:$T$366,19,0)-VLOOKUP(A238,'Team Stats'!$B$2:$T$366,13,0)),1)</f>
        <v>1.0743827352447288</v>
      </c>
      <c r="C238" s="168">
        <f>IFERROR((VLOOKUP(A238,'Team Stats'!$B$2:$T$366,5,0)+0.44*VLOOKUP(A238,'Team Stats'!$B$2:$T$366,11,0)+VLOOKUP(A238,'Team Stats'!$B$2:$T$366,19,0)-VLOOKUP(A238,'Team Stats'!$B$2:$T$366,13,0)),70)</f>
        <v>64.316000000000017</v>
      </c>
      <c r="D238" s="168">
        <f>IFERROR(VLOOKUP(A238,'Opponents stats vs'!$B$2:$D$366,3,0)/C238,1.05)</f>
        <v>1.1163629578953911</v>
      </c>
      <c r="E238" s="169">
        <f>IFERROR(VLOOKUP(A238,SOS!A:C,3,0),200)</f>
        <v>233</v>
      </c>
      <c r="F238">
        <f>IFERROR(VLOOKUP(A238,SOS!A:D,4,0),200)</f>
        <v>151</v>
      </c>
      <c r="G238">
        <f>B238*((366-F238)/365)^'Enhanced Matchup Model'!$F$14</f>
        <v>1.0463242736190175</v>
      </c>
      <c r="H238">
        <f>D238*(2-((366-F238)/365)^'Enhanced Matchup Model'!$F$14)</f>
        <v>1.1455177704095165</v>
      </c>
    </row>
    <row r="239" spans="1:8" ht="15" customHeight="1" x14ac:dyDescent="0.25">
      <c r="A239" s="167" t="s">
        <v>378</v>
      </c>
      <c r="B239" s="168">
        <f>IFERROR(VLOOKUP(A239,'Team Stats'!$B$2:$T$366,3,0)/(VLOOKUP(A239,'Team Stats'!$B$2:$T$366,5,0)+0.44*VLOOKUP(A239,'Team Stats'!$B$2:$T$366,11,0)+VLOOKUP(A239,'Team Stats'!$B$2:$T$366,19,0)-VLOOKUP(A239,'Team Stats'!$B$2:$T$366,13,0)),1)</f>
        <v>1.1695109317921595</v>
      </c>
      <c r="C239" s="168">
        <f>IFERROR((VLOOKUP(A239,'Team Stats'!$B$2:$T$366,5,0)+0.44*VLOOKUP(A239,'Team Stats'!$B$2:$T$366,11,0)+VLOOKUP(A239,'Team Stats'!$B$2:$T$366,19,0)-VLOOKUP(A239,'Team Stats'!$B$2:$T$366,13,0)),70)</f>
        <v>73.364000000000004</v>
      </c>
      <c r="D239" s="168">
        <f>IFERROR(VLOOKUP(A239,'Opponents stats vs'!$B$2:$D$366,3,0)/C239,1.05)</f>
        <v>1.1477018701270378</v>
      </c>
      <c r="E239" s="169">
        <f>IFERROR(VLOOKUP(A239,SOS!A:C,3,0),200)</f>
        <v>92</v>
      </c>
      <c r="F239">
        <f>IFERROR(VLOOKUP(A239,SOS!A:D,4,0),200)</f>
        <v>36</v>
      </c>
      <c r="G239">
        <f>B239*((366-F239)/365)^'Enhanced Matchup Model'!$F$14</f>
        <v>1.1636311520952556</v>
      </c>
      <c r="H239">
        <f>D239*(2-((366-F239)/365)^'Enhanced Matchup Model'!$F$14)</f>
        <v>1.1534720035825077</v>
      </c>
    </row>
    <row r="240" spans="1:8" ht="15" customHeight="1" x14ac:dyDescent="0.25">
      <c r="A240" s="170" t="s">
        <v>57</v>
      </c>
      <c r="B240" s="168">
        <f>IFERROR(VLOOKUP(A240,'Team Stats'!$B$2:$T$366,3,0)/(VLOOKUP(A240,'Team Stats'!$B$2:$T$366,5,0)+0.44*VLOOKUP(A240,'Team Stats'!$B$2:$T$366,11,0)+VLOOKUP(A240,'Team Stats'!$B$2:$T$366,19,0)-VLOOKUP(A240,'Team Stats'!$B$2:$T$366,13,0)),1)</f>
        <v>1.24969482421875</v>
      </c>
      <c r="C240" s="168">
        <f>IFERROR((VLOOKUP(A240,'Team Stats'!$B$2:$T$366,5,0)+0.44*VLOOKUP(A240,'Team Stats'!$B$2:$T$366,11,0)+VLOOKUP(A240,'Team Stats'!$B$2:$T$366,19,0)-VLOOKUP(A240,'Team Stats'!$B$2:$T$366,13,0)),70)</f>
        <v>65.536000000000001</v>
      </c>
      <c r="D240" s="168">
        <f>IFERROR(VLOOKUP(A240,'Opponents stats vs'!$B$2:$D$366,3,0)/C240,1.05)</f>
        <v>1.0650634765625</v>
      </c>
      <c r="E240" s="169">
        <f>IFERROR(VLOOKUP(A240,SOS!A:C,3,0),200)</f>
        <v>8</v>
      </c>
      <c r="F240">
        <f>IFERROR(VLOOKUP(A240,SOS!A:D,4,0),200)</f>
        <v>4</v>
      </c>
      <c r="G240">
        <f>B240*((366-F240)/365)^'Enhanced Matchup Model'!$F$14</f>
        <v>1.2491792351799562</v>
      </c>
      <c r="H240">
        <f>D240*(2-((366-F240)/365)^'Enhanced Matchup Model'!$F$14)</f>
        <v>1.0655028918849396</v>
      </c>
    </row>
    <row r="241" spans="1:8" ht="15" customHeight="1" x14ac:dyDescent="0.25">
      <c r="A241" s="167" t="s">
        <v>379</v>
      </c>
      <c r="B241" s="168">
        <f>IFERROR(VLOOKUP(A241,'Team Stats'!$B$2:$T$366,3,0)/(VLOOKUP(A241,'Team Stats'!$B$2:$T$366,5,0)+0.44*VLOOKUP(A241,'Team Stats'!$B$2:$T$366,11,0)+VLOOKUP(A241,'Team Stats'!$B$2:$T$366,19,0)-VLOOKUP(A241,'Team Stats'!$B$2:$T$366,13,0)),1)</f>
        <v>1.118590661701518</v>
      </c>
      <c r="C241" s="168">
        <f>IFERROR((VLOOKUP(A241,'Team Stats'!$B$2:$T$366,5,0)+0.44*VLOOKUP(A241,'Team Stats'!$B$2:$T$366,11,0)+VLOOKUP(A241,'Team Stats'!$B$2:$T$366,19,0)-VLOOKUP(A241,'Team Stats'!$B$2:$T$366,13,0)),70)</f>
        <v>69.820000000000007</v>
      </c>
      <c r="D241" s="168">
        <f>IFERROR(VLOOKUP(A241,'Opponents stats vs'!$B$2:$D$366,3,0)/C241,1.05)</f>
        <v>1.1042681180177598</v>
      </c>
      <c r="E241" s="169">
        <f>IFERROR(VLOOKUP(A241,SOS!A:C,3,0),200)</f>
        <v>178</v>
      </c>
      <c r="F241">
        <f>IFERROR(VLOOKUP(A241,SOS!A:D,4,0),200)</f>
        <v>216</v>
      </c>
      <c r="G241">
        <f>B241*((366-F241)/365)^'Enhanced Matchup Model'!$F$14</f>
        <v>1.0699441514386234</v>
      </c>
      <c r="H241">
        <f>D241*(2-((366-F241)/365)^'Enhanced Matchup Model'!$F$14)</f>
        <v>1.1522917536294008</v>
      </c>
    </row>
    <row r="242" spans="1:8" ht="15" customHeight="1" x14ac:dyDescent="0.25">
      <c r="A242" s="170" t="s">
        <v>380</v>
      </c>
      <c r="B242" s="168">
        <f>IFERROR(VLOOKUP(A242,'Team Stats'!$B$2:$T$366,3,0)/(VLOOKUP(A242,'Team Stats'!$B$2:$T$366,5,0)+0.44*VLOOKUP(A242,'Team Stats'!$B$2:$T$366,11,0)+VLOOKUP(A242,'Team Stats'!$B$2:$T$366,19,0)-VLOOKUP(A242,'Team Stats'!$B$2:$T$366,13,0)),1)</f>
        <v>1.2067589901407652</v>
      </c>
      <c r="C242" s="168">
        <f>IFERROR((VLOOKUP(A242,'Team Stats'!$B$2:$T$366,5,0)+0.44*VLOOKUP(A242,'Team Stats'!$B$2:$T$366,11,0)+VLOOKUP(A242,'Team Stats'!$B$2:$T$366,19,0)-VLOOKUP(A242,'Team Stats'!$B$2:$T$366,13,0)),70)</f>
        <v>70.187999999999988</v>
      </c>
      <c r="D242" s="168">
        <f>IFERROR(VLOOKUP(A242,'Opponents stats vs'!$B$2:$D$366,3,0)/C242,1.05)</f>
        <v>1.1868125605516615</v>
      </c>
      <c r="E242" s="169">
        <f>IFERROR(VLOOKUP(A242,SOS!A:C,3,0),200)</f>
        <v>169</v>
      </c>
      <c r="F242">
        <f>IFERROR(VLOOKUP(A242,SOS!A:D,4,0),200)</f>
        <v>243</v>
      </c>
      <c r="G242">
        <f>B242*((366-F242)/365)^'Enhanced Matchup Model'!$F$14</f>
        <v>1.1428813749701443</v>
      </c>
      <c r="H242">
        <f>D242*(2-((366-F242)/365)^'Enhanced Matchup Model'!$F$14)</f>
        <v>1.2496343473723548</v>
      </c>
    </row>
    <row r="243" spans="1:8" ht="15" customHeight="1" x14ac:dyDescent="0.25">
      <c r="A243" s="167" t="s">
        <v>381</v>
      </c>
      <c r="B243" s="168">
        <f>IFERROR(VLOOKUP(A243,'Team Stats'!$B$2:$T$366,3,0)/(VLOOKUP(A243,'Team Stats'!$B$2:$T$366,5,0)+0.44*VLOOKUP(A243,'Team Stats'!$B$2:$T$366,11,0)+VLOOKUP(A243,'Team Stats'!$B$2:$T$366,19,0)-VLOOKUP(A243,'Team Stats'!$B$2:$T$366,13,0)),1)</f>
        <v>1.0775122899279754</v>
      </c>
      <c r="C243" s="168">
        <f>IFERROR((VLOOKUP(A243,'Team Stats'!$B$2:$T$366,5,0)+0.44*VLOOKUP(A243,'Team Stats'!$B$2:$T$366,11,0)+VLOOKUP(A243,'Team Stats'!$B$2:$T$366,19,0)-VLOOKUP(A243,'Team Stats'!$B$2:$T$366,13,0)),70)</f>
        <v>69.975999999999999</v>
      </c>
      <c r="D243" s="168">
        <f>IFERROR(VLOOKUP(A243,'Opponents stats vs'!$B$2:$D$366,3,0)/C243,1.05)</f>
        <v>1.0260660797987882</v>
      </c>
      <c r="E243" s="169">
        <f>IFERROR(VLOOKUP(A243,SOS!A:C,3,0),200)</f>
        <v>208</v>
      </c>
      <c r="F243">
        <f>IFERROR(VLOOKUP(A243,SOS!A:D,4,0),200)</f>
        <v>296</v>
      </c>
      <c r="G243">
        <f>B243*((366-F243)/365)^'Enhanced Matchup Model'!$F$14</f>
        <v>0.99211608568858056</v>
      </c>
      <c r="H243">
        <f>D243*(2-((366-F243)/365)^'Enhanced Matchup Model'!$F$14)</f>
        <v>1.1073850116872304</v>
      </c>
    </row>
    <row r="244" spans="1:8" ht="15" customHeight="1" x14ac:dyDescent="0.25">
      <c r="A244" s="170" t="s">
        <v>382</v>
      </c>
      <c r="B244" s="168">
        <f>IFERROR(VLOOKUP(A244,'Team Stats'!$B$2:$T$366,3,0)/(VLOOKUP(A244,'Team Stats'!$B$2:$T$366,5,0)+0.44*VLOOKUP(A244,'Team Stats'!$B$2:$T$366,11,0)+VLOOKUP(A244,'Team Stats'!$B$2:$T$366,19,0)-VLOOKUP(A244,'Team Stats'!$B$2:$T$366,13,0)),1)</f>
        <v>1.1244191192741757</v>
      </c>
      <c r="C244" s="168">
        <f>IFERROR((VLOOKUP(A244,'Team Stats'!$B$2:$T$366,5,0)+0.44*VLOOKUP(A244,'Team Stats'!$B$2:$T$366,11,0)+VLOOKUP(A244,'Team Stats'!$B$2:$T$366,19,0)-VLOOKUP(A244,'Team Stats'!$B$2:$T$366,13,0)),70)</f>
        <v>72.304000000000002</v>
      </c>
      <c r="D244" s="168">
        <f>IFERROR(VLOOKUP(A244,'Opponents stats vs'!$B$2:$D$366,3,0)/C244,1.05)</f>
        <v>1.0856937375525559</v>
      </c>
      <c r="E244" s="169">
        <f>IFERROR(VLOOKUP(A244,SOS!A:C,3,0),200)</f>
        <v>271</v>
      </c>
      <c r="F244">
        <f>IFERROR(VLOOKUP(A244,SOS!A:D,4,0),200)</f>
        <v>283</v>
      </c>
      <c r="G244">
        <f>B244*((366-F244)/365)^'Enhanced Matchup Model'!$F$14</f>
        <v>1.0441610359875892</v>
      </c>
      <c r="H244">
        <f>D244*(2-((366-F244)/365)^'Enhanced Matchup Model'!$F$14)</f>
        <v>1.163187704809592</v>
      </c>
    </row>
    <row r="245" spans="1:8" ht="15" customHeight="1" x14ac:dyDescent="0.25">
      <c r="A245" s="167" t="s">
        <v>383</v>
      </c>
      <c r="B245" s="168">
        <f>IFERROR(VLOOKUP(A245,'Team Stats'!$B$2:$T$366,3,0)/(VLOOKUP(A245,'Team Stats'!$B$2:$T$366,5,0)+0.44*VLOOKUP(A245,'Team Stats'!$B$2:$T$366,11,0)+VLOOKUP(A245,'Team Stats'!$B$2:$T$366,19,0)-VLOOKUP(A245,'Team Stats'!$B$2:$T$366,13,0)),1)</f>
        <v>1.0711264201111919</v>
      </c>
      <c r="C245" s="168">
        <f>IFERROR((VLOOKUP(A245,'Team Stats'!$B$2:$T$366,5,0)+0.44*VLOOKUP(A245,'Team Stats'!$B$2:$T$366,11,0)+VLOOKUP(A245,'Team Stats'!$B$2:$T$366,19,0)-VLOOKUP(A245,'Team Stats'!$B$2:$T$366,13,0)),70)</f>
        <v>66.191999999999993</v>
      </c>
      <c r="D245" s="168">
        <f>IFERROR(VLOOKUP(A245,'Opponents stats vs'!$B$2:$D$366,3,0)/C245,1.05)</f>
        <v>1.0348682620256224</v>
      </c>
      <c r="E245" s="169">
        <f>IFERROR(VLOOKUP(A245,SOS!A:C,3,0),200)</f>
        <v>99</v>
      </c>
      <c r="F245">
        <f>IFERROR(VLOOKUP(A245,SOS!A:D,4,0),200)</f>
        <v>104</v>
      </c>
      <c r="G245">
        <f>B245*((366-F245)/365)^'Enhanced Matchup Model'!$F$14</f>
        <v>1.0535160418360074</v>
      </c>
      <c r="H245">
        <f>D245*(2-((366-F245)/365)^'Enhanced Matchup Model'!$F$14)</f>
        <v>1.0518825203027751</v>
      </c>
    </row>
    <row r="246" spans="1:8" ht="15" customHeight="1" x14ac:dyDescent="0.25">
      <c r="A246" s="170" t="s">
        <v>384</v>
      </c>
      <c r="B246" s="168">
        <f>IFERROR(VLOOKUP(A246,'Team Stats'!$B$2:$T$366,3,0)/(VLOOKUP(A246,'Team Stats'!$B$2:$T$366,5,0)+0.44*VLOOKUP(A246,'Team Stats'!$B$2:$T$366,11,0)+VLOOKUP(A246,'Team Stats'!$B$2:$T$366,19,0)-VLOOKUP(A246,'Team Stats'!$B$2:$T$366,13,0)),1)</f>
        <v>1.0917224625229602</v>
      </c>
      <c r="C246" s="168">
        <f>IFERROR((VLOOKUP(A246,'Team Stats'!$B$2:$T$366,5,0)+0.44*VLOOKUP(A246,'Team Stats'!$B$2:$T$366,11,0)+VLOOKUP(A246,'Team Stats'!$B$2:$T$366,19,0)-VLOOKUP(A246,'Team Stats'!$B$2:$T$366,13,0)),70)</f>
        <v>67.50800000000001</v>
      </c>
      <c r="D246" s="168">
        <f>IFERROR(VLOOKUP(A246,'Opponents stats vs'!$B$2:$D$366,3,0)/C246,1.05)</f>
        <v>1.1065355217159447</v>
      </c>
      <c r="E246" s="169">
        <f>IFERROR(VLOOKUP(A246,SOS!A:C,3,0),200)</f>
        <v>193</v>
      </c>
      <c r="F246">
        <f>IFERROR(VLOOKUP(A246,SOS!A:D,4,0),200)</f>
        <v>130</v>
      </c>
      <c r="G246">
        <f>B246*((366-F246)/365)^'Enhanced Matchup Model'!$F$14</f>
        <v>1.0681769521989546</v>
      </c>
      <c r="H246">
        <f>D246*(2-((366-F246)/365)^'Enhanced Matchup Model'!$F$14)</f>
        <v>1.130400509791972</v>
      </c>
    </row>
    <row r="247" spans="1:8" ht="15" customHeight="1" x14ac:dyDescent="0.25">
      <c r="A247" s="167" t="s">
        <v>385</v>
      </c>
      <c r="B247" s="168">
        <f>IFERROR(VLOOKUP(A247,'Team Stats'!$B$2:$T$366,3,0)/(VLOOKUP(A247,'Team Stats'!$B$2:$T$366,5,0)+0.44*VLOOKUP(A247,'Team Stats'!$B$2:$T$366,11,0)+VLOOKUP(A247,'Team Stats'!$B$2:$T$366,19,0)-VLOOKUP(A247,'Team Stats'!$B$2:$T$366,13,0)),1)</f>
        <v>1.1225798926988571</v>
      </c>
      <c r="C247" s="168">
        <f>IFERROR((VLOOKUP(A247,'Team Stats'!$B$2:$T$366,5,0)+0.44*VLOOKUP(A247,'Team Stats'!$B$2:$T$366,11,0)+VLOOKUP(A247,'Team Stats'!$B$2:$T$366,19,0)-VLOOKUP(A247,'Team Stats'!$B$2:$T$366,13,0)),70)</f>
        <v>68.591999999999999</v>
      </c>
      <c r="D247" s="168">
        <f>IFERROR(VLOOKUP(A247,'Opponents stats vs'!$B$2:$D$366,3,0)/C247,1.05)</f>
        <v>1.074469325868906</v>
      </c>
      <c r="E247" s="169">
        <f>IFERROR(VLOOKUP(A247,SOS!A:C,3,0),200)</f>
        <v>147</v>
      </c>
      <c r="F247">
        <f>IFERROR(VLOOKUP(A247,SOS!A:D,4,0),200)</f>
        <v>121</v>
      </c>
      <c r="G247">
        <f>B247*((366-F247)/365)^'Enhanced Matchup Model'!$F$14</f>
        <v>1.1004261950893752</v>
      </c>
      <c r="H247">
        <f>D247*(2-((366-F247)/365)^'Enhanced Matchup Model'!$F$14)</f>
        <v>1.0956735792951242</v>
      </c>
    </row>
    <row r="248" spans="1:8" ht="15" customHeight="1" x14ac:dyDescent="0.25">
      <c r="A248" s="170" t="s">
        <v>386</v>
      </c>
      <c r="B248" s="168">
        <f>IFERROR(VLOOKUP(A248,'Team Stats'!$B$2:$T$366,3,0)/(VLOOKUP(A248,'Team Stats'!$B$2:$T$366,5,0)+0.44*VLOOKUP(A248,'Team Stats'!$B$2:$T$366,11,0)+VLOOKUP(A248,'Team Stats'!$B$2:$T$366,19,0)-VLOOKUP(A248,'Team Stats'!$B$2:$T$366,13,0)),1)</f>
        <v>0.97143907820544229</v>
      </c>
      <c r="C248" s="168">
        <f>IFERROR((VLOOKUP(A248,'Team Stats'!$B$2:$T$366,5,0)+0.44*VLOOKUP(A248,'Team Stats'!$B$2:$T$366,11,0)+VLOOKUP(A248,'Team Stats'!$B$2:$T$366,19,0)-VLOOKUP(A248,'Team Stats'!$B$2:$T$366,13,0)),70)</f>
        <v>65.26400000000001</v>
      </c>
      <c r="D248" s="168">
        <f>IFERROR(VLOOKUP(A248,'Opponents stats vs'!$B$2:$D$366,3,0)/C248,1.05)</f>
        <v>1.1645011032115713</v>
      </c>
      <c r="E248" s="169">
        <f>IFERROR(VLOOKUP(A248,SOS!A:C,3,0),200)</f>
        <v>356</v>
      </c>
      <c r="F248">
        <f>IFERROR(VLOOKUP(A248,SOS!A:D,4,0),200)</f>
        <v>220</v>
      </c>
      <c r="G248">
        <f>B248*((366-F248)/365)^'Enhanced Matchup Model'!$F$14</f>
        <v>0.92793716582767416</v>
      </c>
      <c r="H248">
        <f>D248*(2-((366-F248)/365)^'Enhanced Matchup Model'!$F$14)</f>
        <v>1.2166485060618926</v>
      </c>
    </row>
    <row r="249" spans="1:8" ht="15" customHeight="1" x14ac:dyDescent="0.25">
      <c r="A249" s="167" t="s">
        <v>387</v>
      </c>
      <c r="B249" s="168">
        <f>IFERROR(VLOOKUP(A249,'Team Stats'!$B$2:$T$366,3,0)/(VLOOKUP(A249,'Team Stats'!$B$2:$T$366,5,0)+0.44*VLOOKUP(A249,'Team Stats'!$B$2:$T$366,11,0)+VLOOKUP(A249,'Team Stats'!$B$2:$T$366,19,0)-VLOOKUP(A249,'Team Stats'!$B$2:$T$366,13,0)),1)</f>
        <v>1.1618876941457588</v>
      </c>
      <c r="C249" s="168">
        <f>IFERROR((VLOOKUP(A249,'Team Stats'!$B$2:$T$366,5,0)+0.44*VLOOKUP(A249,'Team Stats'!$B$2:$T$366,11,0)+VLOOKUP(A249,'Team Stats'!$B$2:$T$366,19,0)-VLOOKUP(A249,'Team Stats'!$B$2:$T$366,13,0)),70)</f>
        <v>66.959999999999994</v>
      </c>
      <c r="D249" s="168">
        <f>IFERROR(VLOOKUP(A249,'Opponents stats vs'!$B$2:$D$366,3,0)/C249,1.05)</f>
        <v>1.0782556750298686</v>
      </c>
      <c r="E249" s="169">
        <f>IFERROR(VLOOKUP(A249,SOS!A:C,3,0),200)</f>
        <v>197</v>
      </c>
      <c r="F249">
        <f>IFERROR(VLOOKUP(A249,SOS!A:D,4,0),200)</f>
        <v>279</v>
      </c>
      <c r="G249">
        <f>B249*((366-F249)/365)^'Enhanced Matchup Model'!$F$14</f>
        <v>1.0814973793618583</v>
      </c>
      <c r="H249">
        <f>D249*(2-((366-F249)/365)^'Enhanced Matchup Model'!$F$14)</f>
        <v>1.1528595404205833</v>
      </c>
    </row>
    <row r="250" spans="1:8" ht="15" customHeight="1" x14ac:dyDescent="0.25">
      <c r="A250" s="170" t="s">
        <v>388</v>
      </c>
      <c r="B250" s="168">
        <f>IFERROR(VLOOKUP(A250,'Team Stats'!$B$2:$T$366,3,0)/(VLOOKUP(A250,'Team Stats'!$B$2:$T$366,5,0)+0.44*VLOOKUP(A250,'Team Stats'!$B$2:$T$366,11,0)+VLOOKUP(A250,'Team Stats'!$B$2:$T$366,19,0)-VLOOKUP(A250,'Team Stats'!$B$2:$T$366,13,0)),1)</f>
        <v>1.0614056128568001</v>
      </c>
      <c r="C250" s="168">
        <f>IFERROR((VLOOKUP(A250,'Team Stats'!$B$2:$T$366,5,0)+0.44*VLOOKUP(A250,'Team Stats'!$B$2:$T$366,11,0)+VLOOKUP(A250,'Team Stats'!$B$2:$T$366,19,0)-VLOOKUP(A250,'Team Stats'!$B$2:$T$366,13,0)),70)</f>
        <v>66.704000000000008</v>
      </c>
      <c r="D250" s="168">
        <f>IFERROR(VLOOKUP(A250,'Opponents stats vs'!$B$2:$D$366,3,0)/C250,1.05)</f>
        <v>1.1378627968337731</v>
      </c>
      <c r="E250" s="169">
        <f>IFERROR(VLOOKUP(A250,SOS!A:C,3,0),200)</f>
        <v>143</v>
      </c>
      <c r="F250">
        <f>IFERROR(VLOOKUP(A250,SOS!A:D,4,0),200)</f>
        <v>46</v>
      </c>
      <c r="G250">
        <f>B250*((366-F250)/365)^'Enhanced Matchup Model'!$F$14</f>
        <v>1.0544457376013316</v>
      </c>
      <c r="H250">
        <f>D250*(2-((366-F250)/365)^'Enhanced Matchup Model'!$F$14)</f>
        <v>1.14532401903561</v>
      </c>
    </row>
    <row r="251" spans="1:8" ht="15" customHeight="1" x14ac:dyDescent="0.25">
      <c r="A251" s="167" t="s">
        <v>389</v>
      </c>
      <c r="B251" s="168">
        <f>IFERROR(VLOOKUP(A251,'Team Stats'!$B$2:$T$366,3,0)/(VLOOKUP(A251,'Team Stats'!$B$2:$T$366,5,0)+0.44*VLOOKUP(A251,'Team Stats'!$B$2:$T$366,11,0)+VLOOKUP(A251,'Team Stats'!$B$2:$T$366,19,0)-VLOOKUP(A251,'Team Stats'!$B$2:$T$366,13,0)),1)</f>
        <v>0.99583282264983441</v>
      </c>
      <c r="C251" s="168">
        <f>IFERROR((VLOOKUP(A251,'Team Stats'!$B$2:$T$366,5,0)+0.44*VLOOKUP(A251,'Team Stats'!$B$2:$T$366,11,0)+VLOOKUP(A251,'Team Stats'!$B$2:$T$366,19,0)-VLOOKUP(A251,'Team Stats'!$B$2:$T$366,13,0)),70)</f>
        <v>65.272000000000006</v>
      </c>
      <c r="D251" s="168">
        <f>IFERROR(VLOOKUP(A251,'Opponents stats vs'!$B$2:$D$366,3,0)/C251,1.05)</f>
        <v>1.0800955999509743</v>
      </c>
      <c r="E251" s="169">
        <f>IFERROR(VLOOKUP(A251,SOS!A:C,3,0),200)</f>
        <v>250</v>
      </c>
      <c r="F251">
        <f>IFERROR(VLOOKUP(A251,SOS!A:D,4,0),200)</f>
        <v>154</v>
      </c>
      <c r="G251">
        <f>B251*((366-F251)/365)^'Enhanced Matchup Model'!$F$14</f>
        <v>0.96914461360861781</v>
      </c>
      <c r="H251">
        <f>D251*(2-((366-F251)/365)^'Enhanced Matchup Model'!$F$14)</f>
        <v>1.1090420420649092</v>
      </c>
    </row>
    <row r="252" spans="1:8" ht="15" customHeight="1" x14ac:dyDescent="0.25">
      <c r="A252" s="170" t="s">
        <v>390</v>
      </c>
      <c r="B252" s="168">
        <f>IFERROR(VLOOKUP(A252,'Team Stats'!$B$2:$T$366,3,0)/(VLOOKUP(A252,'Team Stats'!$B$2:$T$366,5,0)+0.44*VLOOKUP(A252,'Team Stats'!$B$2:$T$366,11,0)+VLOOKUP(A252,'Team Stats'!$B$2:$T$366,19,0)-VLOOKUP(A252,'Team Stats'!$B$2:$T$366,13,0)),1)</f>
        <v>1.0655540881258256</v>
      </c>
      <c r="C252" s="168">
        <f>IFERROR((VLOOKUP(A252,'Team Stats'!$B$2:$T$366,5,0)+0.44*VLOOKUP(A252,'Team Stats'!$B$2:$T$366,11,0)+VLOOKUP(A252,'Team Stats'!$B$2:$T$366,19,0)-VLOOKUP(A252,'Team Stats'!$B$2:$T$366,13,0)),70)</f>
        <v>66.631999999999991</v>
      </c>
      <c r="D252" s="168">
        <f>IFERROR(VLOOKUP(A252,'Opponents stats vs'!$B$2:$D$366,3,0)/C252,1.05)</f>
        <v>0.97100492255973125</v>
      </c>
      <c r="E252" s="169">
        <f>IFERROR(VLOOKUP(A252,SOS!A:C,3,0),200)</f>
        <v>345</v>
      </c>
      <c r="F252">
        <f>IFERROR(VLOOKUP(A252,SOS!A:D,4,0),200)</f>
        <v>365</v>
      </c>
      <c r="G252">
        <f>B252*((366-F252)/365)^'Enhanced Matchup Model'!$F$14</f>
        <v>0.79334274844221098</v>
      </c>
      <c r="H252">
        <f>D252*(2-((366-F252)/365)^'Enhanced Matchup Model'!$F$14)</f>
        <v>1.2190622982995885</v>
      </c>
    </row>
    <row r="253" spans="1:8" ht="15" customHeight="1" x14ac:dyDescent="0.25">
      <c r="A253" s="167" t="s">
        <v>98</v>
      </c>
      <c r="B253" s="168">
        <f>IFERROR(VLOOKUP(A253,'Team Stats'!$B$2:$T$366,3,0)/(VLOOKUP(A253,'Team Stats'!$B$2:$T$366,5,0)+0.44*VLOOKUP(A253,'Team Stats'!$B$2:$T$366,11,0)+VLOOKUP(A253,'Team Stats'!$B$2:$T$366,19,0)-VLOOKUP(A253,'Team Stats'!$B$2:$T$366,13,0)),1)</f>
        <v>1.2052965142598462</v>
      </c>
      <c r="C253" s="168">
        <f>IFERROR((VLOOKUP(A253,'Team Stats'!$B$2:$T$366,5,0)+0.44*VLOOKUP(A253,'Team Stats'!$B$2:$T$366,11,0)+VLOOKUP(A253,'Team Stats'!$B$2:$T$366,19,0)-VLOOKUP(A253,'Team Stats'!$B$2:$T$366,13,0)),70)</f>
        <v>70.688000000000002</v>
      </c>
      <c r="D253" s="168">
        <f>IFERROR(VLOOKUP(A253,'Opponents stats vs'!$B$2:$D$366,3,0)/C253,1.05)</f>
        <v>1.1034404708012675</v>
      </c>
      <c r="E253" s="169">
        <f>IFERROR(VLOOKUP(A253,SOS!A:C,3,0),200)</f>
        <v>42</v>
      </c>
      <c r="F253">
        <f>IFERROR(VLOOKUP(A253,SOS!A:D,4,0),200)</f>
        <v>49</v>
      </c>
      <c r="G253">
        <f>B253*((366-F253)/365)^'Enhanced Matchup Model'!$F$14</f>
        <v>1.1968293212102492</v>
      </c>
      <c r="H253">
        <f>D253*(2-((366-F253)/365)^'Enhanced Matchup Model'!$F$14)</f>
        <v>1.1111921264100533</v>
      </c>
    </row>
    <row r="254" spans="1:8" ht="15" customHeight="1" x14ac:dyDescent="0.25">
      <c r="A254" s="170" t="s">
        <v>391</v>
      </c>
      <c r="B254" s="168">
        <f>IFERROR(VLOOKUP(A254,'Team Stats'!$B$2:$T$366,3,0)/(VLOOKUP(A254,'Team Stats'!$B$2:$T$366,5,0)+0.44*VLOOKUP(A254,'Team Stats'!$B$2:$T$366,11,0)+VLOOKUP(A254,'Team Stats'!$B$2:$T$366,19,0)-VLOOKUP(A254,'Team Stats'!$B$2:$T$366,13,0)),1)</f>
        <v>1.084562871614182</v>
      </c>
      <c r="C254" s="168">
        <f>IFERROR((VLOOKUP(A254,'Team Stats'!$B$2:$T$366,5,0)+0.44*VLOOKUP(A254,'Team Stats'!$B$2:$T$366,11,0)+VLOOKUP(A254,'Team Stats'!$B$2:$T$366,19,0)-VLOOKUP(A254,'Team Stats'!$B$2:$T$366,13,0)),70)</f>
        <v>72.655999999999992</v>
      </c>
      <c r="D254" s="168">
        <f>IFERROR(VLOOKUP(A254,'Opponents stats vs'!$B$2:$D$366,3,0)/C254,1.05)</f>
        <v>1.1354877780224621</v>
      </c>
      <c r="E254" s="169">
        <f>IFERROR(VLOOKUP(A254,SOS!A:C,3,0),200)</f>
        <v>247</v>
      </c>
      <c r="F254">
        <f>IFERROR(VLOOKUP(A254,SOS!A:D,4,0),200)</f>
        <v>183</v>
      </c>
      <c r="G254">
        <f>B254*((366-F254)/365)^'Enhanced Matchup Model'!$F$14</f>
        <v>1.0477620016763269</v>
      </c>
      <c r="H254">
        <f>D254*(2-((366-F254)/365)^'Enhanced Matchup Model'!$F$14)</f>
        <v>1.174016607589379</v>
      </c>
    </row>
    <row r="255" spans="1:8" ht="15" customHeight="1" x14ac:dyDescent="0.25">
      <c r="A255" s="167" t="s">
        <v>392</v>
      </c>
      <c r="B255" s="168">
        <f>IFERROR(VLOOKUP(A255,'Team Stats'!$B$2:$T$366,3,0)/(VLOOKUP(A255,'Team Stats'!$B$2:$T$366,5,0)+0.44*VLOOKUP(A255,'Team Stats'!$B$2:$T$366,11,0)+VLOOKUP(A255,'Team Stats'!$B$2:$T$366,19,0)-VLOOKUP(A255,'Team Stats'!$B$2:$T$366,13,0)),1)</f>
        <v>1.1122478807366269</v>
      </c>
      <c r="C255" s="168">
        <f>IFERROR((VLOOKUP(A255,'Team Stats'!$B$2:$T$366,5,0)+0.44*VLOOKUP(A255,'Team Stats'!$B$2:$T$366,11,0)+VLOOKUP(A255,'Team Stats'!$B$2:$T$366,19,0)-VLOOKUP(A255,'Team Stats'!$B$2:$T$366,13,0)),70)</f>
        <v>68.419999999999987</v>
      </c>
      <c r="D255" s="168">
        <f>IFERROR(VLOOKUP(A255,'Opponents stats vs'!$B$2:$D$366,3,0)/C255,1.05)</f>
        <v>1.1224788073662673</v>
      </c>
      <c r="E255" s="169">
        <f>IFERROR(VLOOKUP(A255,SOS!A:C,3,0),200)</f>
        <v>306</v>
      </c>
      <c r="F255">
        <f>IFERROR(VLOOKUP(A255,SOS!A:D,4,0),200)</f>
        <v>315</v>
      </c>
      <c r="G255">
        <f>B255*((366-F255)/365)^'Enhanced Matchup Model'!$F$14</f>
        <v>1.0080114203277992</v>
      </c>
      <c r="H255">
        <f>D255*(2-((366-F255)/365)^'Enhanced Matchup Model'!$F$14)</f>
        <v>1.2276740788432443</v>
      </c>
    </row>
    <row r="256" spans="1:8" ht="15" customHeight="1" x14ac:dyDescent="0.25">
      <c r="A256" s="170" t="s">
        <v>393</v>
      </c>
      <c r="B256" s="168">
        <f>IFERROR(VLOOKUP(A256,'Team Stats'!$B$2:$T$366,3,0)/(VLOOKUP(A256,'Team Stats'!$B$2:$T$366,5,0)+0.44*VLOOKUP(A256,'Team Stats'!$B$2:$T$366,11,0)+VLOOKUP(A256,'Team Stats'!$B$2:$T$366,19,0)-VLOOKUP(A256,'Team Stats'!$B$2:$T$366,13,0)),1)</f>
        <v>1.0227727870916061</v>
      </c>
      <c r="C256" s="168">
        <f>IFERROR((VLOOKUP(A256,'Team Stats'!$B$2:$T$366,5,0)+0.44*VLOOKUP(A256,'Team Stats'!$B$2:$T$366,11,0)+VLOOKUP(A256,'Team Stats'!$B$2:$T$366,19,0)-VLOOKUP(A256,'Team Stats'!$B$2:$T$366,13,0)),70)</f>
        <v>69.908000000000001</v>
      </c>
      <c r="D256" s="168">
        <f>IFERROR(VLOOKUP(A256,'Opponents stats vs'!$B$2:$D$366,3,0)/C256,1.05)</f>
        <v>1.1586656748869943</v>
      </c>
      <c r="E256" s="169">
        <f>IFERROR(VLOOKUP(A256,SOS!A:C,3,0),200)</f>
        <v>351</v>
      </c>
      <c r="F256">
        <f>IFERROR(VLOOKUP(A256,SOS!A:D,4,0),200)</f>
        <v>298</v>
      </c>
      <c r="G256">
        <f>B256*((366-F256)/365)^'Enhanced Matchup Model'!$F$14</f>
        <v>0.94035094784467033</v>
      </c>
      <c r="H256">
        <f>D256*(2-((366-F256)/365)^'Enhanced Matchup Model'!$F$14)</f>
        <v>1.2520386676003064</v>
      </c>
    </row>
    <row r="257" spans="1:8" ht="15" customHeight="1" x14ac:dyDescent="0.25">
      <c r="A257" s="167" t="s">
        <v>394</v>
      </c>
      <c r="B257" s="168">
        <f>IFERROR(VLOOKUP(A257,'Team Stats'!$B$2:$T$366,3,0)/(VLOOKUP(A257,'Team Stats'!$B$2:$T$366,5,0)+0.44*VLOOKUP(A257,'Team Stats'!$B$2:$T$366,11,0)+VLOOKUP(A257,'Team Stats'!$B$2:$T$366,19,0)-VLOOKUP(A257,'Team Stats'!$B$2:$T$366,13,0)),1)</f>
        <v>1.0714285714285714</v>
      </c>
      <c r="C257" s="168">
        <f>IFERROR((VLOOKUP(A257,'Team Stats'!$B$2:$T$366,5,0)+0.44*VLOOKUP(A257,'Team Stats'!$B$2:$T$366,11,0)+VLOOKUP(A257,'Team Stats'!$B$2:$T$366,19,0)-VLOOKUP(A257,'Team Stats'!$B$2:$T$366,13,0)),70)</f>
        <v>68.320000000000007</v>
      </c>
      <c r="D257" s="168">
        <f>IFERROR(VLOOKUP(A257,'Opponents stats vs'!$B$2:$D$366,3,0)/C257,1.05)</f>
        <v>1.021662763466042</v>
      </c>
      <c r="E257" s="169">
        <f>IFERROR(VLOOKUP(A257,SOS!A:C,3,0),200)</f>
        <v>77</v>
      </c>
      <c r="F257">
        <f>IFERROR(VLOOKUP(A257,SOS!A:D,4,0),200)</f>
        <v>114</v>
      </c>
      <c r="G257">
        <f>B257*((366-F257)/365)^'Enhanced Matchup Model'!$F$14</f>
        <v>1.0517647400586545</v>
      </c>
      <c r="H257">
        <f>D257*(2-((366-F257)/365)^'Enhanced Matchup Model'!$F$14)</f>
        <v>1.0404132474772467</v>
      </c>
    </row>
    <row r="258" spans="1:8" ht="15" customHeight="1" x14ac:dyDescent="0.25">
      <c r="A258" s="170" t="s">
        <v>49</v>
      </c>
      <c r="B258" s="168">
        <f>IFERROR(VLOOKUP(A258,'Team Stats'!$B$2:$T$366,3,0)/(VLOOKUP(A258,'Team Stats'!$B$2:$T$366,5,0)+0.44*VLOOKUP(A258,'Team Stats'!$B$2:$T$366,11,0)+VLOOKUP(A258,'Team Stats'!$B$2:$T$366,19,0)-VLOOKUP(A258,'Team Stats'!$B$2:$T$366,13,0)),1)</f>
        <v>1.2435581447456869</v>
      </c>
      <c r="C258" s="168">
        <f>IFERROR((VLOOKUP(A258,'Team Stats'!$B$2:$T$366,5,0)+0.44*VLOOKUP(A258,'Team Stats'!$B$2:$T$366,11,0)+VLOOKUP(A258,'Team Stats'!$B$2:$T$366,19,0)-VLOOKUP(A258,'Team Stats'!$B$2:$T$366,13,0)),70)</f>
        <v>71.407999999999987</v>
      </c>
      <c r="D258" s="168">
        <f>IFERROR(VLOOKUP(A258,'Opponents stats vs'!$B$2:$D$366,3,0)/C258,1.05)</f>
        <v>0.96067667488236619</v>
      </c>
      <c r="E258" s="169">
        <f>IFERROR(VLOOKUP(A258,SOS!A:C,3,0),200)</f>
        <v>34</v>
      </c>
      <c r="F258">
        <f>IFERROR(VLOOKUP(A258,SOS!A:D,4,0),200)</f>
        <v>126</v>
      </c>
      <c r="G258">
        <f>B258*((366-F258)/365)^'Enhanced Matchup Model'!$F$14</f>
        <v>1.217760870774506</v>
      </c>
      <c r="H258">
        <f>D258*(2-((366-F258)/365)^'Enhanced Matchup Model'!$F$14)</f>
        <v>0.98060565004478761</v>
      </c>
    </row>
    <row r="259" spans="1:8" ht="15" customHeight="1" x14ac:dyDescent="0.25">
      <c r="A259" s="167" t="s">
        <v>97</v>
      </c>
      <c r="B259" s="168">
        <f>IFERROR(VLOOKUP(A259,'Team Stats'!$B$2:$T$366,3,0)/(VLOOKUP(A259,'Team Stats'!$B$2:$T$366,5,0)+0.44*VLOOKUP(A259,'Team Stats'!$B$2:$T$366,11,0)+VLOOKUP(A259,'Team Stats'!$B$2:$T$366,19,0)-VLOOKUP(A259,'Team Stats'!$B$2:$T$366,13,0)),1)</f>
        <v>1.200686106346484</v>
      </c>
      <c r="C259" s="168">
        <f>IFERROR((VLOOKUP(A259,'Team Stats'!$B$2:$T$366,5,0)+0.44*VLOOKUP(A259,'Team Stats'!$B$2:$T$366,11,0)+VLOOKUP(A259,'Team Stats'!$B$2:$T$366,19,0)-VLOOKUP(A259,'Team Stats'!$B$2:$T$366,13,0)),70)</f>
        <v>65.295999999999992</v>
      </c>
      <c r="D259" s="168">
        <f>IFERROR(VLOOKUP(A259,'Opponents stats vs'!$B$2:$D$366,3,0)/C259,1.05)</f>
        <v>0.98321489830923814</v>
      </c>
      <c r="E259" s="169">
        <f>IFERROR(VLOOKUP(A259,SOS!A:C,3,0),200)</f>
        <v>23</v>
      </c>
      <c r="F259">
        <f>IFERROR(VLOOKUP(A259,SOS!A:D,4,0),200)</f>
        <v>98</v>
      </c>
      <c r="G259">
        <f>B259*((366-F259)/365)^'Enhanced Matchup Model'!$F$14</f>
        <v>1.1822833724299067</v>
      </c>
      <c r="H259">
        <f>D259*(2-((366-F259)/365)^'Enhanced Matchup Model'!$F$14)</f>
        <v>0.99828448399092529</v>
      </c>
    </row>
    <row r="260" spans="1:8" ht="15" customHeight="1" x14ac:dyDescent="0.25">
      <c r="A260" s="170" t="s">
        <v>395</v>
      </c>
      <c r="B260" s="168">
        <f>IFERROR(VLOOKUP(A260,'Team Stats'!$B$2:$T$366,3,0)/(VLOOKUP(A260,'Team Stats'!$B$2:$T$366,5,0)+0.44*VLOOKUP(A260,'Team Stats'!$B$2:$T$366,11,0)+VLOOKUP(A260,'Team Stats'!$B$2:$T$366,19,0)-VLOOKUP(A260,'Team Stats'!$B$2:$T$366,13,0)),1)</f>
        <v>1.0873538011695907</v>
      </c>
      <c r="C260" s="168">
        <f>IFERROR((VLOOKUP(A260,'Team Stats'!$B$2:$T$366,5,0)+0.44*VLOOKUP(A260,'Team Stats'!$B$2:$T$366,11,0)+VLOOKUP(A260,'Team Stats'!$B$2:$T$366,19,0)-VLOOKUP(A260,'Team Stats'!$B$2:$T$366,13,0)),70)</f>
        <v>65.664000000000001</v>
      </c>
      <c r="D260" s="168">
        <f>IFERROR(VLOOKUP(A260,'Opponents stats vs'!$B$2:$D$366,3,0)/C260,1.05)</f>
        <v>1.0386208576998051</v>
      </c>
      <c r="E260" s="169">
        <f>IFERROR(VLOOKUP(A260,SOS!A:C,3,0),200)</f>
        <v>238</v>
      </c>
      <c r="F260">
        <f>IFERROR(VLOOKUP(A260,SOS!A:D,4,0),200)</f>
        <v>311</v>
      </c>
      <c r="G260">
        <f>B260*((366-F260)/365)^'Enhanced Matchup Model'!$F$14</f>
        <v>0.98917781660253523</v>
      </c>
      <c r="H260">
        <f>D260*(2-((366-F260)/365)^'Enhanced Matchup Model'!$F$14)</f>
        <v>1.132396798140606</v>
      </c>
    </row>
    <row r="261" spans="1:8" ht="15" customHeight="1" x14ac:dyDescent="0.25">
      <c r="A261" s="167" t="s">
        <v>396</v>
      </c>
      <c r="B261" s="168">
        <f>IFERROR(VLOOKUP(A261,'Team Stats'!$B$2:$T$366,3,0)/(VLOOKUP(A261,'Team Stats'!$B$2:$T$366,5,0)+0.44*VLOOKUP(A261,'Team Stats'!$B$2:$T$366,11,0)+VLOOKUP(A261,'Team Stats'!$B$2:$T$366,19,0)-VLOOKUP(A261,'Team Stats'!$B$2:$T$366,13,0)),1)</f>
        <v>1.1779512415860627</v>
      </c>
      <c r="C261" s="168">
        <f>IFERROR((VLOOKUP(A261,'Team Stats'!$B$2:$T$366,5,0)+0.44*VLOOKUP(A261,'Team Stats'!$B$2:$T$366,11,0)+VLOOKUP(A261,'Team Stats'!$B$2:$T$366,19,0)-VLOOKUP(A261,'Team Stats'!$B$2:$T$366,13,0)),70)</f>
        <v>70.715999999999994</v>
      </c>
      <c r="D261" s="168">
        <f>IFERROR(VLOOKUP(A261,'Opponents stats vs'!$B$2:$D$366,3,0)/C261,1.05)</f>
        <v>1.0506815996379886</v>
      </c>
      <c r="E261" s="169">
        <f>IFERROR(VLOOKUP(A261,SOS!A:C,3,0),200)</f>
        <v>86</v>
      </c>
      <c r="F261">
        <f>IFERROR(VLOOKUP(A261,SOS!A:D,4,0),200)</f>
        <v>164</v>
      </c>
      <c r="G261">
        <f>B261*((366-F261)/365)^'Enhanced Matchup Model'!$F$14</f>
        <v>1.143616043967344</v>
      </c>
      <c r="H261">
        <f>D261*(2-((366-F261)/365)^'Enhanced Matchup Model'!$F$14)</f>
        <v>1.0813071120397988</v>
      </c>
    </row>
    <row r="262" spans="1:8" ht="15" customHeight="1" x14ac:dyDescent="0.25">
      <c r="A262" s="170" t="s">
        <v>397</v>
      </c>
      <c r="B262" s="168">
        <f>IFERROR(VLOOKUP(A262,'Team Stats'!$B$2:$T$366,3,0)/(VLOOKUP(A262,'Team Stats'!$B$2:$T$366,5,0)+0.44*VLOOKUP(A262,'Team Stats'!$B$2:$T$366,11,0)+VLOOKUP(A262,'Team Stats'!$B$2:$T$366,19,0)-VLOOKUP(A262,'Team Stats'!$B$2:$T$366,13,0)),1)</f>
        <v>1.1443508568109206</v>
      </c>
      <c r="C262" s="168">
        <f>IFERROR((VLOOKUP(A262,'Team Stats'!$B$2:$T$366,5,0)+0.44*VLOOKUP(A262,'Team Stats'!$B$2:$T$366,11,0)+VLOOKUP(A262,'Team Stats'!$B$2:$T$366,19,0)-VLOOKUP(A262,'Team Stats'!$B$2:$T$366,13,0)),70)</f>
        <v>68.86</v>
      </c>
      <c r="D262" s="168">
        <f>IFERROR(VLOOKUP(A262,'Opponents stats vs'!$B$2:$D$366,3,0)/C262,1.05)</f>
        <v>1.0877142027301772</v>
      </c>
      <c r="E262" s="169">
        <f>IFERROR(VLOOKUP(A262,SOS!A:C,3,0),200)</f>
        <v>202</v>
      </c>
      <c r="F262">
        <f>IFERROR(VLOOKUP(A262,SOS!A:D,4,0),200)</f>
        <v>263</v>
      </c>
      <c r="G262">
        <f>B262*((366-F262)/365)^'Enhanced Matchup Model'!$F$14</f>
        <v>1.0742031390281643</v>
      </c>
      <c r="H262">
        <f>D262*(2-((366-F262)/365)^'Enhanced Matchup Model'!$F$14)</f>
        <v>1.1543901426023655</v>
      </c>
    </row>
    <row r="263" spans="1:8" ht="15" customHeight="1" x14ac:dyDescent="0.25">
      <c r="A263" s="167" t="s">
        <v>398</v>
      </c>
      <c r="B263" s="168">
        <f>IFERROR(VLOOKUP(A263,'Team Stats'!$B$2:$T$366,3,0)/(VLOOKUP(A263,'Team Stats'!$B$2:$T$366,5,0)+0.44*VLOOKUP(A263,'Team Stats'!$B$2:$T$366,11,0)+VLOOKUP(A263,'Team Stats'!$B$2:$T$366,19,0)-VLOOKUP(A263,'Team Stats'!$B$2:$T$366,13,0)),1)</f>
        <v>1.1244100756240405</v>
      </c>
      <c r="C263" s="168">
        <f>IFERROR((VLOOKUP(A263,'Team Stats'!$B$2:$T$366,5,0)+0.44*VLOOKUP(A263,'Team Stats'!$B$2:$T$366,11,0)+VLOOKUP(A263,'Team Stats'!$B$2:$T$366,19,0)-VLOOKUP(A263,'Team Stats'!$B$2:$T$366,13,0)),70)</f>
        <v>70.347999999999999</v>
      </c>
      <c r="D263" s="168">
        <f>IFERROR(VLOOKUP(A263,'Opponents stats vs'!$B$2:$D$366,3,0)/C263,1.05)</f>
        <v>1.0092682094729062</v>
      </c>
      <c r="E263" s="169">
        <f>IFERROR(VLOOKUP(A263,SOS!A:C,3,0),200)</f>
        <v>52</v>
      </c>
      <c r="F263">
        <f>IFERROR(VLOOKUP(A263,SOS!A:D,4,0),200)</f>
        <v>80</v>
      </c>
      <c r="G263">
        <f>B263*((366-F263)/365)^'Enhanced Matchup Model'!$F$14</f>
        <v>1.110780858093827</v>
      </c>
      <c r="H263">
        <f>D263*(2-((366-F263)/365)^'Enhanced Matchup Model'!$F$14)</f>
        <v>1.0215017675594442</v>
      </c>
    </row>
    <row r="264" spans="1:8" ht="15" customHeight="1" x14ac:dyDescent="0.25">
      <c r="A264" s="170" t="s">
        <v>399</v>
      </c>
      <c r="B264" s="168">
        <f>IFERROR(VLOOKUP(A264,'Team Stats'!$B$2:$T$366,3,0)/(VLOOKUP(A264,'Team Stats'!$B$2:$T$366,5,0)+0.44*VLOOKUP(A264,'Team Stats'!$B$2:$T$366,11,0)+VLOOKUP(A264,'Team Stats'!$B$2:$T$366,19,0)-VLOOKUP(A264,'Team Stats'!$B$2:$T$366,13,0)),1)</f>
        <v>1.0764864399977063</v>
      </c>
      <c r="C264" s="168">
        <f>IFERROR((VLOOKUP(A264,'Team Stats'!$B$2:$T$366,5,0)+0.44*VLOOKUP(A264,'Team Stats'!$B$2:$T$366,11,0)+VLOOKUP(A264,'Team Stats'!$B$2:$T$366,19,0)-VLOOKUP(A264,'Team Stats'!$B$2:$T$366,13,0)),70)</f>
        <v>69.76400000000001</v>
      </c>
      <c r="D264" s="168">
        <f>IFERROR(VLOOKUP(A264,'Opponents stats vs'!$B$2:$D$366,3,0)/C264,1.05)</f>
        <v>1.1252221776274294</v>
      </c>
      <c r="E264" s="169">
        <f>IFERROR(VLOOKUP(A264,SOS!A:C,3,0),200)</f>
        <v>213</v>
      </c>
      <c r="F264">
        <f>IFERROR(VLOOKUP(A264,SOS!A:D,4,0),200)</f>
        <v>139</v>
      </c>
      <c r="G264">
        <f>B264*((366-F264)/365)^'Enhanced Matchup Model'!$F$14</f>
        <v>1.0512238686188731</v>
      </c>
      <c r="H264">
        <f>D264*(2-((366-F264)/365)^'Enhanced Matchup Model'!$F$14)</f>
        <v>1.1516284606266094</v>
      </c>
    </row>
    <row r="265" spans="1:8" ht="15" customHeight="1" x14ac:dyDescent="0.25">
      <c r="A265" s="167" t="s">
        <v>400</v>
      </c>
      <c r="B265" s="168">
        <f>IFERROR(VLOOKUP(A265,'Team Stats'!$B$2:$T$366,3,0)/(VLOOKUP(A265,'Team Stats'!$B$2:$T$366,5,0)+0.44*VLOOKUP(A265,'Team Stats'!$B$2:$T$366,11,0)+VLOOKUP(A265,'Team Stats'!$B$2:$T$366,19,0)-VLOOKUP(A265,'Team Stats'!$B$2:$T$366,13,0)),1)</f>
        <v>1.1135724121415316</v>
      </c>
      <c r="C265" s="168">
        <f>IFERROR((VLOOKUP(A265,'Team Stats'!$B$2:$T$366,5,0)+0.44*VLOOKUP(A265,'Team Stats'!$B$2:$T$366,11,0)+VLOOKUP(A265,'Team Stats'!$B$2:$T$366,19,0)-VLOOKUP(A265,'Team Stats'!$B$2:$T$366,13,0)),70)</f>
        <v>66.811999999999998</v>
      </c>
      <c r="D265" s="168">
        <f>IFERROR(VLOOKUP(A265,'Opponents stats vs'!$B$2:$D$366,3,0)/C265,1.05)</f>
        <v>1.0971083038975034</v>
      </c>
      <c r="E265" s="169">
        <f>IFERROR(VLOOKUP(A265,SOS!A:C,3,0),200)</f>
        <v>102</v>
      </c>
      <c r="F265">
        <f>IFERROR(VLOOKUP(A265,SOS!A:D,4,0),200)</f>
        <v>99</v>
      </c>
      <c r="G265">
        <f>B265*((366-F265)/365)^'Enhanced Matchup Model'!$F$14</f>
        <v>1.0962999213447266</v>
      </c>
      <c r="H265">
        <f>D265*(2-((366-F265)/365)^'Enhanced Matchup Model'!$F$14)</f>
        <v>1.114125421846506</v>
      </c>
    </row>
    <row r="266" spans="1:8" ht="15" customHeight="1" x14ac:dyDescent="0.25">
      <c r="A266" s="170" t="s">
        <v>401</v>
      </c>
      <c r="B266" s="168">
        <f>IFERROR(VLOOKUP(A266,'Team Stats'!$B$2:$T$366,3,0)/(VLOOKUP(A266,'Team Stats'!$B$2:$T$366,5,0)+0.44*VLOOKUP(A266,'Team Stats'!$B$2:$T$366,11,0)+VLOOKUP(A266,'Team Stats'!$B$2:$T$366,19,0)-VLOOKUP(A266,'Team Stats'!$B$2:$T$366,13,0)),1)</f>
        <v>1.0849027853964772</v>
      </c>
      <c r="C266" s="168">
        <f>IFERROR((VLOOKUP(A266,'Team Stats'!$B$2:$T$366,5,0)+0.44*VLOOKUP(A266,'Team Stats'!$B$2:$T$366,11,0)+VLOOKUP(A266,'Team Stats'!$B$2:$T$366,19,0)-VLOOKUP(A266,'Team Stats'!$B$2:$T$366,13,0)),70)</f>
        <v>65.628</v>
      </c>
      <c r="D266" s="168">
        <f>IFERROR(VLOOKUP(A266,'Opponents stats vs'!$B$2:$D$366,3,0)/C266,1.05)</f>
        <v>1.1869933564941795</v>
      </c>
      <c r="E266" s="169">
        <f>IFERROR(VLOOKUP(A266,SOS!A:C,3,0),200)</f>
        <v>234</v>
      </c>
      <c r="F266">
        <f>IFERROR(VLOOKUP(A266,SOS!A:D,4,0),200)</f>
        <v>83</v>
      </c>
      <c r="G266">
        <f>B266*((366-F266)/365)^'Enhanced Matchup Model'!$F$14</f>
        <v>1.0711875163866811</v>
      </c>
      <c r="H266">
        <f>D266*(2-((366-F266)/365)^'Enhanced Matchup Model'!$F$14)</f>
        <v>1.201999247728212</v>
      </c>
    </row>
    <row r="267" spans="1:8" ht="15" customHeight="1" x14ac:dyDescent="0.25">
      <c r="A267" s="167" t="s">
        <v>44</v>
      </c>
      <c r="B267" s="168">
        <f>IFERROR(VLOOKUP(A267,'Team Stats'!$B$2:$T$366,3,0)/(VLOOKUP(A267,'Team Stats'!$B$2:$T$366,5,0)+0.44*VLOOKUP(A267,'Team Stats'!$B$2:$T$366,11,0)+VLOOKUP(A267,'Team Stats'!$B$2:$T$366,19,0)-VLOOKUP(A267,'Team Stats'!$B$2:$T$366,13,0)),1)</f>
        <v>1.186363893765219</v>
      </c>
      <c r="C267" s="168">
        <f>IFERROR((VLOOKUP(A267,'Team Stats'!$B$2:$T$366,5,0)+0.44*VLOOKUP(A267,'Team Stats'!$B$2:$T$366,11,0)+VLOOKUP(A267,'Team Stats'!$B$2:$T$366,19,0)-VLOOKUP(A267,'Team Stats'!$B$2:$T$366,13,0)),70)</f>
        <v>70.635999999999996</v>
      </c>
      <c r="D267" s="168">
        <f>IFERROR(VLOOKUP(A267,'Opponents stats vs'!$B$2:$D$366,3,0)/C267,1.05)</f>
        <v>1.0249731015346284</v>
      </c>
      <c r="E267" s="169">
        <f>IFERROR(VLOOKUP(A267,SOS!A:C,3,0),200)</f>
        <v>32</v>
      </c>
      <c r="F267">
        <f>IFERROR(VLOOKUP(A267,SOS!A:D,4,0),200)</f>
        <v>94</v>
      </c>
      <c r="G267">
        <f>B267*((366-F267)/365)^'Enhanced Matchup Model'!$F$14</f>
        <v>1.1690463296539555</v>
      </c>
      <c r="H267">
        <f>D267*(2-((366-F267)/365)^'Enhanced Matchup Model'!$F$14)</f>
        <v>1.039934815635529</v>
      </c>
    </row>
    <row r="268" spans="1:8" ht="15" customHeight="1" x14ac:dyDescent="0.25">
      <c r="A268" s="170" t="s">
        <v>402</v>
      </c>
      <c r="B268" s="168">
        <f>IFERROR(VLOOKUP(A268,'Team Stats'!$B$2:$T$366,3,0)/(VLOOKUP(A268,'Team Stats'!$B$2:$T$366,5,0)+0.44*VLOOKUP(A268,'Team Stats'!$B$2:$T$366,11,0)+VLOOKUP(A268,'Team Stats'!$B$2:$T$366,19,0)-VLOOKUP(A268,'Team Stats'!$B$2:$T$366,13,0)),1)</f>
        <v>1.0513546300040439</v>
      </c>
      <c r="C268" s="168">
        <f>IFERROR((VLOOKUP(A268,'Team Stats'!$B$2:$T$366,5,0)+0.44*VLOOKUP(A268,'Team Stats'!$B$2:$T$366,11,0)+VLOOKUP(A268,'Team Stats'!$B$2:$T$366,19,0)-VLOOKUP(A268,'Team Stats'!$B$2:$T$366,13,0)),70)</f>
        <v>69.243999999999986</v>
      </c>
      <c r="D268" s="168">
        <f>IFERROR(VLOOKUP(A268,'Opponents stats vs'!$B$2:$D$366,3,0)/C268,1.05)</f>
        <v>0.97481370227023301</v>
      </c>
      <c r="E268" s="169">
        <f>IFERROR(VLOOKUP(A268,SOS!A:C,3,0),200)</f>
        <v>109</v>
      </c>
      <c r="F268">
        <f>IFERROR(VLOOKUP(A268,SOS!A:D,4,0),200)</f>
        <v>144</v>
      </c>
      <c r="G268">
        <f>B268*((366-F268)/365)^'Enhanced Matchup Model'!$F$14</f>
        <v>1.0255391331829877</v>
      </c>
      <c r="H268">
        <f>D268*(2-((366-F268)/365)^'Enhanced Matchup Model'!$F$14)</f>
        <v>0.99874977418536071</v>
      </c>
    </row>
    <row r="269" spans="1:8" ht="15" customHeight="1" x14ac:dyDescent="0.25">
      <c r="A269" s="167" t="s">
        <v>403</v>
      </c>
      <c r="B269" s="168">
        <f>IFERROR(VLOOKUP(A269,'Team Stats'!$B$2:$T$366,3,0)/(VLOOKUP(A269,'Team Stats'!$B$2:$T$366,5,0)+0.44*VLOOKUP(A269,'Team Stats'!$B$2:$T$366,11,0)+VLOOKUP(A269,'Team Stats'!$B$2:$T$366,19,0)-VLOOKUP(A269,'Team Stats'!$B$2:$T$366,13,0)),1)</f>
        <v>1.0701924828465603</v>
      </c>
      <c r="C269" s="168">
        <f>IFERROR((VLOOKUP(A269,'Team Stats'!$B$2:$T$366,5,0)+0.44*VLOOKUP(A269,'Team Stats'!$B$2:$T$366,11,0)+VLOOKUP(A269,'Team Stats'!$B$2:$T$366,19,0)-VLOOKUP(A269,'Team Stats'!$B$2:$T$366,13,0)),70)</f>
        <v>65.875999999999991</v>
      </c>
      <c r="D269" s="168">
        <f>IFERROR(VLOOKUP(A269,'Opponents stats vs'!$B$2:$D$366,3,0)/C269,1.05)</f>
        <v>0.98366628210577456</v>
      </c>
      <c r="E269" s="169">
        <f>IFERROR(VLOOKUP(A269,SOS!A:C,3,0),200)</f>
        <v>49</v>
      </c>
      <c r="F269">
        <f>IFERROR(VLOOKUP(A269,SOS!A:D,4,0),200)</f>
        <v>64</v>
      </c>
      <c r="G269">
        <f>B269*((366-F269)/365)^'Enhanced Matchup Model'!$F$14</f>
        <v>1.0601018686388197</v>
      </c>
      <c r="H269">
        <f>D269*(2-((366-F269)/365)^'Enhanced Matchup Model'!$F$14)</f>
        <v>0.99294105942012345</v>
      </c>
    </row>
    <row r="270" spans="1:8" ht="15" customHeight="1" x14ac:dyDescent="0.25">
      <c r="A270" s="170" t="s">
        <v>404</v>
      </c>
      <c r="B270" s="168">
        <f>IFERROR(VLOOKUP(A270,'Team Stats'!$B$2:$T$366,3,0)/(VLOOKUP(A270,'Team Stats'!$B$2:$T$366,5,0)+0.44*VLOOKUP(A270,'Team Stats'!$B$2:$T$366,11,0)+VLOOKUP(A270,'Team Stats'!$B$2:$T$366,19,0)-VLOOKUP(A270,'Team Stats'!$B$2:$T$366,13,0)),1)</f>
        <v>1.1057662272755668</v>
      </c>
      <c r="C270" s="168">
        <f>IFERROR((VLOOKUP(A270,'Team Stats'!$B$2:$T$366,5,0)+0.44*VLOOKUP(A270,'Team Stats'!$B$2:$T$366,11,0)+VLOOKUP(A270,'Team Stats'!$B$2:$T$366,19,0)-VLOOKUP(A270,'Team Stats'!$B$2:$T$366,13,0)),70)</f>
        <v>64.028000000000006</v>
      </c>
      <c r="D270" s="168">
        <f>IFERROR(VLOOKUP(A270,'Opponents stats vs'!$B$2:$D$366,3,0)/C270,1.05)</f>
        <v>1.0386081089523334</v>
      </c>
      <c r="E270" s="169">
        <f>IFERROR(VLOOKUP(A270,SOS!A:C,3,0),200)</f>
        <v>269</v>
      </c>
      <c r="F270">
        <f>IFERROR(VLOOKUP(A270,SOS!A:D,4,0),200)</f>
        <v>332</v>
      </c>
      <c r="G270">
        <f>B270*((366-F270)/365)^'Enhanced Matchup Model'!$F$14</f>
        <v>0.98202518095792135</v>
      </c>
      <c r="H270">
        <f>D270*(2-((366-F270)/365)^'Enhanced Matchup Model'!$F$14)</f>
        <v>1.1548338092365626</v>
      </c>
    </row>
    <row r="271" spans="1:8" ht="15" customHeight="1" x14ac:dyDescent="0.25">
      <c r="A271" s="167" t="s">
        <v>405</v>
      </c>
      <c r="B271" s="168">
        <f>IFERROR(VLOOKUP(A271,'Team Stats'!$B$2:$T$366,3,0)/(VLOOKUP(A271,'Team Stats'!$B$2:$T$366,5,0)+0.44*VLOOKUP(A271,'Team Stats'!$B$2:$T$366,11,0)+VLOOKUP(A271,'Team Stats'!$B$2:$T$366,19,0)-VLOOKUP(A271,'Team Stats'!$B$2:$T$366,13,0)),1)</f>
        <v>1.1185716006262798</v>
      </c>
      <c r="C271" s="168">
        <f>IFERROR((VLOOKUP(A271,'Team Stats'!$B$2:$T$366,5,0)+0.44*VLOOKUP(A271,'Team Stats'!$B$2:$T$366,11,0)+VLOOKUP(A271,'Team Stats'!$B$2:$T$366,19,0)-VLOOKUP(A271,'Team Stats'!$B$2:$T$366,13,0)),70)</f>
        <v>66.423999999999992</v>
      </c>
      <c r="D271" s="168">
        <f>IFERROR(VLOOKUP(A271,'Opponents stats vs'!$B$2:$D$366,3,0)/C271,1.05)</f>
        <v>1.0387811634349031</v>
      </c>
      <c r="E271" s="169">
        <f>IFERROR(VLOOKUP(A271,SOS!A:C,3,0),200)</f>
        <v>200</v>
      </c>
      <c r="F271">
        <f>IFERROR(VLOOKUP(A271,SOS!A:D,4,0),200)</f>
        <v>276</v>
      </c>
      <c r="G271">
        <f>B271*((366-F271)/365)^'Enhanced Matchup Model'!$F$14</f>
        <v>1.0429446750971743</v>
      </c>
      <c r="H271">
        <f>D271*(2-((366-F271)/365)^'Enhanced Matchup Model'!$F$14)</f>
        <v>1.109013436133534</v>
      </c>
    </row>
    <row r="272" spans="1:8" ht="15" customHeight="1" x14ac:dyDescent="0.25">
      <c r="A272" s="170" t="s">
        <v>406</v>
      </c>
      <c r="B272" s="168">
        <f>IFERROR(VLOOKUP(A272,'Team Stats'!$B$2:$T$366,3,0)/(VLOOKUP(A272,'Team Stats'!$B$2:$T$366,5,0)+0.44*VLOOKUP(A272,'Team Stats'!$B$2:$T$366,11,0)+VLOOKUP(A272,'Team Stats'!$B$2:$T$366,19,0)-VLOOKUP(A272,'Team Stats'!$B$2:$T$366,13,0)),1)</f>
        <v>1.1047535211267603</v>
      </c>
      <c r="C272" s="168">
        <f>IFERROR((VLOOKUP(A272,'Team Stats'!$B$2:$T$366,5,0)+0.44*VLOOKUP(A272,'Team Stats'!$B$2:$T$366,11,0)+VLOOKUP(A272,'Team Stats'!$B$2:$T$366,19,0)-VLOOKUP(A272,'Team Stats'!$B$2:$T$366,13,0)),70)</f>
        <v>68.160000000000011</v>
      </c>
      <c r="D272" s="168">
        <f>IFERROR(VLOOKUP(A272,'Opponents stats vs'!$B$2:$D$366,3,0)/C272,1.05)</f>
        <v>1.1252934272300468</v>
      </c>
      <c r="E272" s="169">
        <f>IFERROR(VLOOKUP(A272,SOS!A:C,3,0),200)</f>
        <v>154</v>
      </c>
      <c r="F272">
        <f>IFERROR(VLOOKUP(A272,SOS!A:D,4,0),200)</f>
        <v>70</v>
      </c>
      <c r="G272">
        <f>B272*((366-F272)/365)^'Enhanced Matchup Model'!$F$14</f>
        <v>1.0932395551513912</v>
      </c>
      <c r="H272">
        <f>D272*(2-((366-F272)/365)^'Enhanced Matchup Model'!$F$14)</f>
        <v>1.1370214642859673</v>
      </c>
    </row>
    <row r="273" spans="1:8" ht="15" customHeight="1" x14ac:dyDescent="0.25">
      <c r="A273" s="167" t="s">
        <v>407</v>
      </c>
      <c r="B273" s="168">
        <f>IFERROR(VLOOKUP(A273,'Team Stats'!$B$2:$T$366,3,0)/(VLOOKUP(A273,'Team Stats'!$B$2:$T$366,5,0)+0.44*VLOOKUP(A273,'Team Stats'!$B$2:$T$366,11,0)+VLOOKUP(A273,'Team Stats'!$B$2:$T$366,19,0)-VLOOKUP(A273,'Team Stats'!$B$2:$T$366,13,0)),1)</f>
        <v>0.96678666821507375</v>
      </c>
      <c r="C273" s="168">
        <f>IFERROR((VLOOKUP(A273,'Team Stats'!$B$2:$T$366,5,0)+0.44*VLOOKUP(A273,'Team Stats'!$B$2:$T$366,11,0)+VLOOKUP(A273,'Team Stats'!$B$2:$T$366,19,0)-VLOOKUP(A273,'Team Stats'!$B$2:$T$366,13,0)),70)</f>
        <v>68.887999999999991</v>
      </c>
      <c r="D273" s="168">
        <f>IFERROR(VLOOKUP(A273,'Opponents stats vs'!$B$2:$D$366,3,0)/C273,1.05)</f>
        <v>1.1424340959238186</v>
      </c>
      <c r="E273" s="169">
        <f>IFERROR(VLOOKUP(A273,SOS!A:C,3,0),200)</f>
        <v>346</v>
      </c>
      <c r="F273">
        <f>IFERROR(VLOOKUP(A273,SOS!A:D,4,0),200)</f>
        <v>321</v>
      </c>
      <c r="G273">
        <f>B273*((366-F273)/365)^'Enhanced Matchup Model'!$F$14</f>
        <v>0.87071622138739024</v>
      </c>
      <c r="H273">
        <f>D273*(2-((366-F273)/365)^'Enhanced Matchup Model'!$F$14)</f>
        <v>1.2559587830910663</v>
      </c>
    </row>
    <row r="274" spans="1:8" ht="15" customHeight="1" x14ac:dyDescent="0.25">
      <c r="A274" s="170" t="s">
        <v>408</v>
      </c>
      <c r="B274" s="168">
        <f>IFERROR(VLOOKUP(A274,'Team Stats'!$B$2:$T$366,3,0)/(VLOOKUP(A274,'Team Stats'!$B$2:$T$366,5,0)+0.44*VLOOKUP(A274,'Team Stats'!$B$2:$T$366,11,0)+VLOOKUP(A274,'Team Stats'!$B$2:$T$366,19,0)-VLOOKUP(A274,'Team Stats'!$B$2:$T$366,13,0)),1)</f>
        <v>1.0492571880472235</v>
      </c>
      <c r="C274" s="168">
        <f>IFERROR((VLOOKUP(A274,'Team Stats'!$B$2:$T$366,5,0)+0.44*VLOOKUP(A274,'Team Stats'!$B$2:$T$366,11,0)+VLOOKUP(A274,'Team Stats'!$B$2:$T$366,19,0)-VLOOKUP(A274,'Team Stats'!$B$2:$T$366,13,0)),70)</f>
        <v>70.812000000000012</v>
      </c>
      <c r="D274" s="168">
        <f>IFERROR(VLOOKUP(A274,'Opponents stats vs'!$B$2:$D$366,3,0)/C274,1.05)</f>
        <v>1.0407840479014856</v>
      </c>
      <c r="E274" s="169">
        <f>IFERROR(VLOOKUP(A274,SOS!A:C,3,0),200)</f>
        <v>293</v>
      </c>
      <c r="F274">
        <f>IFERROR(VLOOKUP(A274,SOS!A:D,4,0),200)</f>
        <v>266</v>
      </c>
      <c r="G274">
        <f>B274*((366-F274)/365)^'Enhanced Matchup Model'!$F$14</f>
        <v>0.98348402477926977</v>
      </c>
      <c r="H274">
        <f>D274*(2-((366-F274)/365)^'Enhanced Matchup Model'!$F$14)</f>
        <v>1.1060260685320129</v>
      </c>
    </row>
    <row r="275" spans="1:8" ht="15" customHeight="1" x14ac:dyDescent="0.25">
      <c r="A275" s="167" t="s">
        <v>409</v>
      </c>
      <c r="B275" s="168">
        <f>IFERROR(VLOOKUP(A275,'Team Stats'!$B$2:$T$366,3,0)/(VLOOKUP(A275,'Team Stats'!$B$2:$T$366,5,0)+0.44*VLOOKUP(A275,'Team Stats'!$B$2:$T$366,11,0)+VLOOKUP(A275,'Team Stats'!$B$2:$T$366,19,0)-VLOOKUP(A275,'Team Stats'!$B$2:$T$366,13,0)),1)</f>
        <v>1.1145080600333519</v>
      </c>
      <c r="C275" s="168">
        <f>IFERROR((VLOOKUP(A275,'Team Stats'!$B$2:$T$366,5,0)+0.44*VLOOKUP(A275,'Team Stats'!$B$2:$T$366,11,0)+VLOOKUP(A275,'Team Stats'!$B$2:$T$366,19,0)-VLOOKUP(A275,'Team Stats'!$B$2:$T$366,13,0)),70)</f>
        <v>71.959999999999994</v>
      </c>
      <c r="D275" s="168">
        <f>IFERROR(VLOOKUP(A275,'Opponents stats vs'!$B$2:$D$366,3,0)/C275,1.05)</f>
        <v>1.1158977209560867</v>
      </c>
      <c r="E275" s="169">
        <f>IFERROR(VLOOKUP(A275,SOS!A:C,3,0),200)</f>
        <v>303</v>
      </c>
      <c r="F275">
        <f>IFERROR(VLOOKUP(A275,SOS!A:D,4,0),200)</f>
        <v>317</v>
      </c>
      <c r="G275">
        <f>B275*((366-F275)/365)^'Enhanced Matchup Model'!$F$14</f>
        <v>1.0080414128849899</v>
      </c>
      <c r="H275">
        <f>D275*(2-((366-F275)/365)^'Enhanced Matchup Model'!$F$14)</f>
        <v>1.2224971195348084</v>
      </c>
    </row>
    <row r="276" spans="1:8" ht="15" customHeight="1" x14ac:dyDescent="0.25">
      <c r="A276" s="170" t="s">
        <v>410</v>
      </c>
      <c r="B276" s="168">
        <f>IFERROR(VLOOKUP(A276,'Team Stats'!$B$2:$T$366,3,0)/(VLOOKUP(A276,'Team Stats'!$B$2:$T$366,5,0)+0.44*VLOOKUP(A276,'Team Stats'!$B$2:$T$366,11,0)+VLOOKUP(A276,'Team Stats'!$B$2:$T$366,19,0)-VLOOKUP(A276,'Team Stats'!$B$2:$T$366,13,0)),1)</f>
        <v>1.1181634832127183</v>
      </c>
      <c r="C276" s="168">
        <f>IFERROR((VLOOKUP(A276,'Team Stats'!$B$2:$T$366,5,0)+0.44*VLOOKUP(A276,'Team Stats'!$B$2:$T$366,11,0)+VLOOKUP(A276,'Team Stats'!$B$2:$T$366,19,0)-VLOOKUP(A276,'Team Stats'!$B$2:$T$366,13,0)),70)</f>
        <v>67.431999999999988</v>
      </c>
      <c r="D276" s="168">
        <f>IFERROR(VLOOKUP(A276,'Opponents stats vs'!$B$2:$D$366,3,0)/C276,1.05)</f>
        <v>1.0796061217226245</v>
      </c>
      <c r="E276" s="169">
        <f>IFERROR(VLOOKUP(A276,SOS!A:C,3,0),200)</f>
        <v>249</v>
      </c>
      <c r="F276">
        <f>IFERROR(VLOOKUP(A276,SOS!A:D,4,0),200)</f>
        <v>254</v>
      </c>
      <c r="G276">
        <f>B276*((366-F276)/365)^'Enhanced Matchup Model'!$F$14</f>
        <v>1.0540265801969388</v>
      </c>
      <c r="H276">
        <f>D276*(2-((366-F276)/365)^'Enhanced Matchup Model'!$F$14)</f>
        <v>1.1415314073930323</v>
      </c>
    </row>
    <row r="277" spans="1:8" ht="15" customHeight="1" x14ac:dyDescent="0.25">
      <c r="A277" s="167" t="s">
        <v>52</v>
      </c>
      <c r="B277" s="168">
        <f>IFERROR(VLOOKUP(A277,'Team Stats'!$B$2:$T$366,3,0)/(VLOOKUP(A277,'Team Stats'!$B$2:$T$366,5,0)+0.44*VLOOKUP(A277,'Team Stats'!$B$2:$T$366,11,0)+VLOOKUP(A277,'Team Stats'!$B$2:$T$366,19,0)-VLOOKUP(A277,'Team Stats'!$B$2:$T$366,13,0)),1)</f>
        <v>1.1916944953140147</v>
      </c>
      <c r="C277" s="168">
        <f>IFERROR((VLOOKUP(A277,'Team Stats'!$B$2:$T$366,5,0)+0.44*VLOOKUP(A277,'Team Stats'!$B$2:$T$366,11,0)+VLOOKUP(A277,'Team Stats'!$B$2:$T$366,19,0)-VLOOKUP(A277,'Team Stats'!$B$2:$T$366,13,0)),70)</f>
        <v>74.26400000000001</v>
      </c>
      <c r="D277" s="168">
        <f>IFERROR(VLOOKUP(A277,'Opponents stats vs'!$B$2:$D$366,3,0)/C277,1.05)</f>
        <v>1.0381880857481416</v>
      </c>
      <c r="E277" s="169">
        <f>IFERROR(VLOOKUP(A277,SOS!A:C,3,0),200)</f>
        <v>37</v>
      </c>
      <c r="F277">
        <f>IFERROR(VLOOKUP(A277,SOS!A:D,4,0),200)</f>
        <v>90</v>
      </c>
      <c r="G277">
        <f>B277*((366-F277)/365)^'Enhanced Matchup Model'!$F$14</f>
        <v>1.1751566002487275</v>
      </c>
      <c r="H277">
        <f>D277*(2-((366-F277)/365)^'Enhanced Matchup Model'!$F$14)</f>
        <v>1.0525956756863748</v>
      </c>
    </row>
    <row r="278" spans="1:8" ht="15" customHeight="1" x14ac:dyDescent="0.25">
      <c r="A278" s="170" t="s">
        <v>411</v>
      </c>
      <c r="B278" s="168">
        <f>IFERROR(VLOOKUP(A278,'Team Stats'!$B$2:$T$366,3,0)/(VLOOKUP(A278,'Team Stats'!$B$2:$T$366,5,0)+0.44*VLOOKUP(A278,'Team Stats'!$B$2:$T$366,11,0)+VLOOKUP(A278,'Team Stats'!$B$2:$T$366,19,0)-VLOOKUP(A278,'Team Stats'!$B$2:$T$366,13,0)),1)</f>
        <v>1.0675244818947849</v>
      </c>
      <c r="C278" s="168">
        <f>IFERROR((VLOOKUP(A278,'Team Stats'!$B$2:$T$366,5,0)+0.44*VLOOKUP(A278,'Team Stats'!$B$2:$T$366,11,0)+VLOOKUP(A278,'Team Stats'!$B$2:$T$366,19,0)-VLOOKUP(A278,'Team Stats'!$B$2:$T$366,13,0)),70)</f>
        <v>70.256</v>
      </c>
      <c r="D278" s="168">
        <f>IFERROR(VLOOKUP(A278,'Opponents stats vs'!$B$2:$D$366,3,0)/C278,1.05)</f>
        <v>1.0077431109086767</v>
      </c>
      <c r="E278" s="169">
        <f>IFERROR(VLOOKUP(A278,SOS!A:C,3,0),200)</f>
        <v>282</v>
      </c>
      <c r="F278">
        <f>IFERROR(VLOOKUP(A278,SOS!A:D,4,0),200)</f>
        <v>341</v>
      </c>
      <c r="G278">
        <f>B278*((366-F278)/365)^'Enhanced Matchup Model'!$F$14</f>
        <v>0.93359861947832179</v>
      </c>
      <c r="H278">
        <f>D278*(2-((366-F278)/365)^'Enhanced Matchup Model'!$F$14)</f>
        <v>1.1341691250298178</v>
      </c>
    </row>
    <row r="279" spans="1:8" ht="15" customHeight="1" x14ac:dyDescent="0.25">
      <c r="A279" s="167" t="s">
        <v>412</v>
      </c>
      <c r="B279" s="168">
        <f>IFERROR(VLOOKUP(A279,'Team Stats'!$B$2:$T$366,3,0)/(VLOOKUP(A279,'Team Stats'!$B$2:$T$366,5,0)+0.44*VLOOKUP(A279,'Team Stats'!$B$2:$T$366,11,0)+VLOOKUP(A279,'Team Stats'!$B$2:$T$366,19,0)-VLOOKUP(A279,'Team Stats'!$B$2:$T$366,13,0)),1)</f>
        <v>1.0451265605314399</v>
      </c>
      <c r="C279" s="168">
        <f>IFERROR((VLOOKUP(A279,'Team Stats'!$B$2:$T$366,5,0)+0.44*VLOOKUP(A279,'Team Stats'!$B$2:$T$366,11,0)+VLOOKUP(A279,'Team Stats'!$B$2:$T$366,19,0)-VLOOKUP(A279,'Team Stats'!$B$2:$T$366,13,0)),70)</f>
        <v>69.847999999999985</v>
      </c>
      <c r="D279" s="168">
        <f>IFERROR(VLOOKUP(A279,'Opponents stats vs'!$B$2:$D$366,3,0)/C279,1.05)</f>
        <v>0.99644943305463307</v>
      </c>
      <c r="E279" s="169">
        <f>IFERROR(VLOOKUP(A279,SOS!A:C,3,0),200)</f>
        <v>119</v>
      </c>
      <c r="F279">
        <f>IFERROR(VLOOKUP(A279,SOS!A:D,4,0),200)</f>
        <v>111</v>
      </c>
      <c r="G279">
        <f>B279*((366-F279)/365)^'Enhanced Matchup Model'!$F$14</f>
        <v>1.0265527026243733</v>
      </c>
      <c r="H279">
        <f>D279*(2-((366-F279)/365)^'Enhanced Matchup Model'!$F$14)</f>
        <v>1.014158207168768</v>
      </c>
    </row>
    <row r="280" spans="1:8" ht="15" customHeight="1" x14ac:dyDescent="0.25">
      <c r="A280" s="170" t="s">
        <v>413</v>
      </c>
      <c r="B280" s="168">
        <f>IFERROR(VLOOKUP(A280,'Team Stats'!$B$2:$T$366,3,0)/(VLOOKUP(A280,'Team Stats'!$B$2:$T$366,5,0)+0.44*VLOOKUP(A280,'Team Stats'!$B$2:$T$366,11,0)+VLOOKUP(A280,'Team Stats'!$B$2:$T$366,19,0)-VLOOKUP(A280,'Team Stats'!$B$2:$T$366,13,0)),1)</f>
        <v>0.99675004352620289</v>
      </c>
      <c r="C280" s="168">
        <f>IFERROR((VLOOKUP(A280,'Team Stats'!$B$2:$T$366,5,0)+0.44*VLOOKUP(A280,'Team Stats'!$B$2:$T$366,11,0)+VLOOKUP(A280,'Team Stats'!$B$2:$T$366,19,0)-VLOOKUP(A280,'Team Stats'!$B$2:$T$366,13,0)),70)</f>
        <v>68.923999999999992</v>
      </c>
      <c r="D280" s="168">
        <f>IFERROR(VLOOKUP(A280,'Opponents stats vs'!$B$2:$D$366,3,0)/C280,1.05)</f>
        <v>1.0692937148163195</v>
      </c>
      <c r="E280" s="169">
        <f>IFERROR(VLOOKUP(A280,SOS!A:C,3,0),200)</f>
        <v>362</v>
      </c>
      <c r="F280">
        <f>IFERROR(VLOOKUP(A280,SOS!A:D,4,0),200)</f>
        <v>348</v>
      </c>
      <c r="G280">
        <f>B280*((366-F280)/365)^'Enhanced Matchup Model'!$F$14</f>
        <v>0.85750220472552308</v>
      </c>
      <c r="H280">
        <f>D280*(2-((366-F280)/365)^'Enhanced Matchup Model'!$F$14)</f>
        <v>1.2186760397014738</v>
      </c>
    </row>
    <row r="281" spans="1:8" ht="15" customHeight="1" x14ac:dyDescent="0.25">
      <c r="A281" s="167" t="s">
        <v>414</v>
      </c>
      <c r="B281" s="168">
        <f>IFERROR(VLOOKUP(A281,'Team Stats'!$B$2:$T$366,3,0)/(VLOOKUP(A281,'Team Stats'!$B$2:$T$366,5,0)+0.44*VLOOKUP(A281,'Team Stats'!$B$2:$T$366,11,0)+VLOOKUP(A281,'Team Stats'!$B$2:$T$366,19,0)-VLOOKUP(A281,'Team Stats'!$B$2:$T$366,13,0)),1)</f>
        <v>1.1009401286491836</v>
      </c>
      <c r="C281" s="168">
        <f>IFERROR((VLOOKUP(A281,'Team Stats'!$B$2:$T$366,5,0)+0.44*VLOOKUP(A281,'Team Stats'!$B$2:$T$366,11,0)+VLOOKUP(A281,'Team Stats'!$B$2:$T$366,19,0)-VLOOKUP(A281,'Team Stats'!$B$2:$T$366,13,0)),70)</f>
        <v>72.756</v>
      </c>
      <c r="D281" s="168">
        <f>IFERROR(VLOOKUP(A281,'Opponents stats vs'!$B$2:$D$366,3,0)/C281,1.05)</f>
        <v>1.0761999010390895</v>
      </c>
      <c r="E281" s="169">
        <f>IFERROR(VLOOKUP(A281,SOS!A:C,3,0),200)</f>
        <v>230</v>
      </c>
      <c r="F281">
        <f>IFERROR(VLOOKUP(A281,SOS!A:D,4,0),200)</f>
        <v>282</v>
      </c>
      <c r="G281">
        <f>B281*((366-F281)/365)^'Enhanced Matchup Model'!$F$14</f>
        <v>1.0229702950588284</v>
      </c>
      <c r="H281">
        <f>D281*(2-((366-F281)/365)^'Enhanced Matchup Model'!$F$14)</f>
        <v>1.1524176035375266</v>
      </c>
    </row>
    <row r="282" spans="1:8" ht="15" customHeight="1" x14ac:dyDescent="0.25">
      <c r="A282" s="170" t="s">
        <v>415</v>
      </c>
      <c r="B282" s="168">
        <f>IFERROR(VLOOKUP(A282,'Team Stats'!$B$2:$T$366,3,0)/(VLOOKUP(A282,'Team Stats'!$B$2:$T$366,5,0)+0.44*VLOOKUP(A282,'Team Stats'!$B$2:$T$366,11,0)+VLOOKUP(A282,'Team Stats'!$B$2:$T$366,19,0)-VLOOKUP(A282,'Team Stats'!$B$2:$T$366,13,0)),1)</f>
        <v>1.0661194972163233</v>
      </c>
      <c r="C282" s="168">
        <f>IFERROR((VLOOKUP(A282,'Team Stats'!$B$2:$T$366,5,0)+0.44*VLOOKUP(A282,'Team Stats'!$B$2:$T$366,11,0)+VLOOKUP(A282,'Team Stats'!$B$2:$T$366,19,0)-VLOOKUP(A282,'Team Stats'!$B$2:$T$366,13,0)),70)</f>
        <v>69.691999999999993</v>
      </c>
      <c r="D282" s="168">
        <f>IFERROR(VLOOKUP(A282,'Opponents stats vs'!$B$2:$D$366,3,0)/C282,1.05)</f>
        <v>1.057510187682948</v>
      </c>
      <c r="E282" s="169">
        <f>IFERROR(VLOOKUP(A282,SOS!A:C,3,0),200)</f>
        <v>163</v>
      </c>
      <c r="F282">
        <f>IFERROR(VLOOKUP(A282,SOS!A:D,4,0),200)</f>
        <v>195</v>
      </c>
      <c r="G282">
        <f>B282*((366-F282)/365)^'Enhanced Matchup Model'!$F$14</f>
        <v>1.0264576791316984</v>
      </c>
      <c r="H282">
        <f>D282*(2-((366-F282)/365)^'Enhanced Matchup Model'!$F$14)</f>
        <v>1.0968517219068623</v>
      </c>
    </row>
    <row r="283" spans="1:8" ht="15" customHeight="1" x14ac:dyDescent="0.25">
      <c r="A283" s="167" t="s">
        <v>416</v>
      </c>
      <c r="B283" s="168">
        <f>IFERROR(VLOOKUP(A283,'Team Stats'!$B$2:$T$366,3,0)/(VLOOKUP(A283,'Team Stats'!$B$2:$T$366,5,0)+0.44*VLOOKUP(A283,'Team Stats'!$B$2:$T$366,11,0)+VLOOKUP(A283,'Team Stats'!$B$2:$T$366,19,0)-VLOOKUP(A283,'Team Stats'!$B$2:$T$366,13,0)),1)</f>
        <v>1.0702937733429956</v>
      </c>
      <c r="C283" s="168">
        <f>IFERROR((VLOOKUP(A283,'Team Stats'!$B$2:$T$366,5,0)+0.44*VLOOKUP(A283,'Team Stats'!$B$2:$T$366,11,0)+VLOOKUP(A283,'Team Stats'!$B$2:$T$366,19,0)-VLOOKUP(A283,'Team Stats'!$B$2:$T$366,13,0)),70)</f>
        <v>71.756</v>
      </c>
      <c r="D283" s="168">
        <f>IFERROR(VLOOKUP(A283,'Opponents stats vs'!$B$2:$D$366,3,0)/C283,1.05)</f>
        <v>1.1121021238642064</v>
      </c>
      <c r="E283" s="169">
        <f>IFERROR(VLOOKUP(A283,SOS!A:C,3,0),200)</f>
        <v>243</v>
      </c>
      <c r="F283">
        <f>IFERROR(VLOOKUP(A283,SOS!A:D,4,0),200)</f>
        <v>171</v>
      </c>
      <c r="G283">
        <f>B283*((366-F283)/365)^'Enhanced Matchup Model'!$F$14</f>
        <v>1.0372658652075653</v>
      </c>
      <c r="H283">
        <f>D283*(2-((366-F283)/365)^'Enhanced Matchup Model'!$F$14)</f>
        <v>1.146420184661177</v>
      </c>
    </row>
    <row r="284" spans="1:8" ht="15" customHeight="1" x14ac:dyDescent="0.25">
      <c r="A284" s="170" t="s">
        <v>417</v>
      </c>
      <c r="B284" s="168">
        <f>IFERROR(VLOOKUP(A284,'Team Stats'!$B$2:$T$366,3,0)/(VLOOKUP(A284,'Team Stats'!$B$2:$T$366,5,0)+0.44*VLOOKUP(A284,'Team Stats'!$B$2:$T$366,11,0)+VLOOKUP(A284,'Team Stats'!$B$2:$T$366,19,0)-VLOOKUP(A284,'Team Stats'!$B$2:$T$366,13,0)),1)</f>
        <v>1.1330818647963696</v>
      </c>
      <c r="C284" s="168">
        <f>IFERROR((VLOOKUP(A284,'Team Stats'!$B$2:$T$366,5,0)+0.44*VLOOKUP(A284,'Team Stats'!$B$2:$T$366,11,0)+VLOOKUP(A284,'Team Stats'!$B$2:$T$366,19,0)-VLOOKUP(A284,'Team Stats'!$B$2:$T$366,13,0)),70)</f>
        <v>67.867999999999995</v>
      </c>
      <c r="D284" s="168">
        <f>IFERROR(VLOOKUP(A284,'Opponents stats vs'!$B$2:$D$366,3,0)/C284,1.05)</f>
        <v>1.1095066894560028</v>
      </c>
      <c r="E284" s="169">
        <f>IFERROR(VLOOKUP(A284,SOS!A:C,3,0),200)</f>
        <v>131</v>
      </c>
      <c r="F284">
        <f>IFERROR(VLOOKUP(A284,SOS!A:D,4,0),200)</f>
        <v>110</v>
      </c>
      <c r="G284">
        <f>B284*((366-F284)/365)^'Enhanced Matchup Model'!$F$14</f>
        <v>1.1131626952961748</v>
      </c>
      <c r="H284">
        <f>D284*(2-((366-F284)/365)^'Enhanced Matchup Model'!$F$14)</f>
        <v>1.1290114158976758</v>
      </c>
    </row>
    <row r="285" spans="1:8" ht="15" customHeight="1" x14ac:dyDescent="0.25">
      <c r="A285" s="167" t="s">
        <v>55</v>
      </c>
      <c r="B285" s="168">
        <f>IFERROR(VLOOKUP(A285,'Team Stats'!$B$2:$T$366,3,0)/(VLOOKUP(A285,'Team Stats'!$B$2:$T$366,5,0)+0.44*VLOOKUP(A285,'Team Stats'!$B$2:$T$366,11,0)+VLOOKUP(A285,'Team Stats'!$B$2:$T$366,19,0)-VLOOKUP(A285,'Team Stats'!$B$2:$T$366,13,0)),1)</f>
        <v>1.1623960631257426</v>
      </c>
      <c r="C285" s="168">
        <f>IFERROR((VLOOKUP(A285,'Team Stats'!$B$2:$T$366,5,0)+0.44*VLOOKUP(A285,'Team Stats'!$B$2:$T$366,11,0)+VLOOKUP(A285,'Team Stats'!$B$2:$T$366,19,0)-VLOOKUP(A285,'Team Stats'!$B$2:$T$366,13,0)),70)</f>
        <v>70.715999999999994</v>
      </c>
      <c r="D285" s="168">
        <f>IFERROR(VLOOKUP(A285,'Opponents stats vs'!$B$2:$D$366,3,0)/C285,1.05)</f>
        <v>0.99977374285875908</v>
      </c>
      <c r="E285" s="169">
        <f>IFERROR(VLOOKUP(A285,SOS!A:C,3,0),200)</f>
        <v>11</v>
      </c>
      <c r="F285">
        <f>IFERROR(VLOOKUP(A285,SOS!A:D,4,0),200)</f>
        <v>11</v>
      </c>
      <c r="G285">
        <f>B285*((366-F285)/365)^'Enhanced Matchup Model'!$F$14</f>
        <v>1.1607826410914854</v>
      </c>
      <c r="H285">
        <f>D285*(2-((366-F285)/365)^'Enhanced Matchup Model'!$F$14)</f>
        <v>1.0011614428322626</v>
      </c>
    </row>
    <row r="286" spans="1:8" ht="15" customHeight="1" x14ac:dyDescent="0.25">
      <c r="A286" s="170" t="s">
        <v>418</v>
      </c>
      <c r="B286" s="168">
        <f>IFERROR(VLOOKUP(A286,'Team Stats'!$B$2:$T$366,3,0)/(VLOOKUP(A286,'Team Stats'!$B$2:$T$366,5,0)+0.44*VLOOKUP(A286,'Team Stats'!$B$2:$T$366,11,0)+VLOOKUP(A286,'Team Stats'!$B$2:$T$366,19,0)-VLOOKUP(A286,'Team Stats'!$B$2:$T$366,13,0)),1)</f>
        <v>1.1990545915720296</v>
      </c>
      <c r="C286" s="168">
        <f>IFERROR((VLOOKUP(A286,'Team Stats'!$B$2:$T$366,5,0)+0.44*VLOOKUP(A286,'Team Stats'!$B$2:$T$366,11,0)+VLOOKUP(A286,'Team Stats'!$B$2:$T$366,19,0)-VLOOKUP(A286,'Team Stats'!$B$2:$T$366,13,0)),70)</f>
        <v>69.388000000000005</v>
      </c>
      <c r="D286" s="168">
        <f>IFERROR(VLOOKUP(A286,'Opponents stats vs'!$B$2:$D$366,3,0)/C286,1.05)</f>
        <v>1.034761053784516</v>
      </c>
      <c r="E286" s="169">
        <f>IFERROR(VLOOKUP(A286,SOS!A:C,3,0),200)</f>
        <v>260</v>
      </c>
      <c r="F286">
        <f>IFERROR(VLOOKUP(A286,SOS!A:D,4,0),200)</f>
        <v>336</v>
      </c>
      <c r="G286">
        <f>B286*((366-F286)/365)^'Enhanced Matchup Model'!$F$14</f>
        <v>1.0582307473409081</v>
      </c>
      <c r="H286">
        <f>D286*(2-((366-F286)/365)^'Enhanced Matchup Model'!$F$14)</f>
        <v>1.1562893232051235</v>
      </c>
    </row>
    <row r="287" spans="1:8" ht="15" customHeight="1" x14ac:dyDescent="0.25">
      <c r="A287" s="167" t="s">
        <v>419</v>
      </c>
      <c r="B287" s="168">
        <f>IFERROR(VLOOKUP(A287,'Team Stats'!$B$2:$T$366,3,0)/(VLOOKUP(A287,'Team Stats'!$B$2:$T$366,5,0)+0.44*VLOOKUP(A287,'Team Stats'!$B$2:$T$366,11,0)+VLOOKUP(A287,'Team Stats'!$B$2:$T$366,19,0)-VLOOKUP(A287,'Team Stats'!$B$2:$T$366,13,0)),1)</f>
        <v>1.1258728843650132</v>
      </c>
      <c r="C287" s="168">
        <f>IFERROR((VLOOKUP(A287,'Team Stats'!$B$2:$T$366,5,0)+0.44*VLOOKUP(A287,'Team Stats'!$B$2:$T$366,11,0)+VLOOKUP(A287,'Team Stats'!$B$2:$T$366,19,0)-VLOOKUP(A287,'Team Stats'!$B$2:$T$366,13,0)),70)</f>
        <v>67.592000000000013</v>
      </c>
      <c r="D287" s="168">
        <f>IFERROR(VLOOKUP(A287,'Opponents stats vs'!$B$2:$D$366,3,0)/C287,1.05)</f>
        <v>1.0740916084743755</v>
      </c>
      <c r="E287" s="169">
        <f>IFERROR(VLOOKUP(A287,SOS!A:C,3,0),200)</f>
        <v>56</v>
      </c>
      <c r="F287">
        <f>IFERROR(VLOOKUP(A287,SOS!A:D,4,0),200)</f>
        <v>75</v>
      </c>
      <c r="G287">
        <f>B287*((366-F287)/365)^'Enhanced Matchup Model'!$F$14</f>
        <v>1.1131901783097262</v>
      </c>
      <c r="H287">
        <f>D287*(2-((366-F287)/365)^'Enhanced Matchup Model'!$F$14)</f>
        <v>1.0861910100461736</v>
      </c>
    </row>
    <row r="288" spans="1:8" ht="15" customHeight="1" x14ac:dyDescent="0.25">
      <c r="A288" s="170" t="s">
        <v>28</v>
      </c>
      <c r="B288" s="168">
        <f>IFERROR(VLOOKUP(A288,'Team Stats'!$B$2:$T$366,3,0)/(VLOOKUP(A288,'Team Stats'!$B$2:$T$366,5,0)+0.44*VLOOKUP(A288,'Team Stats'!$B$2:$T$366,11,0)+VLOOKUP(A288,'Team Stats'!$B$2:$T$366,19,0)-VLOOKUP(A288,'Team Stats'!$B$2:$T$366,13,0)),1)</f>
        <v>1.1697760067620602</v>
      </c>
      <c r="C288" s="168">
        <f>IFERROR((VLOOKUP(A288,'Team Stats'!$B$2:$T$366,5,0)+0.44*VLOOKUP(A288,'Team Stats'!$B$2:$T$366,11,0)+VLOOKUP(A288,'Team Stats'!$B$2:$T$366,19,0)-VLOOKUP(A288,'Team Stats'!$B$2:$T$366,13,0)),70)</f>
        <v>66.251999999999995</v>
      </c>
      <c r="D288" s="168">
        <f>IFERROR(VLOOKUP(A288,'Opponents stats vs'!$B$2:$D$366,3,0)/C288,1.05)</f>
        <v>0.99468695284670672</v>
      </c>
      <c r="E288" s="169">
        <f>IFERROR(VLOOKUP(A288,SOS!A:C,3,0),200)</f>
        <v>165</v>
      </c>
      <c r="F288">
        <f>IFERROR(VLOOKUP(A288,SOS!A:D,4,0),200)</f>
        <v>284</v>
      </c>
      <c r="G288">
        <f>B288*((366-F288)/365)^'Enhanced Matchup Model'!$F$14</f>
        <v>1.0856223075884719</v>
      </c>
      <c r="H288">
        <f>D288*(2-((366-F288)/365)^'Enhanced Matchup Model'!$F$14)</f>
        <v>1.0662447434988289</v>
      </c>
    </row>
    <row r="289" spans="1:8" ht="15" customHeight="1" x14ac:dyDescent="0.25">
      <c r="A289" s="167" t="s">
        <v>420</v>
      </c>
      <c r="B289" s="168">
        <f>IFERROR(VLOOKUP(A289,'Team Stats'!$B$2:$T$366,3,0)/(VLOOKUP(A289,'Team Stats'!$B$2:$T$366,5,0)+0.44*VLOOKUP(A289,'Team Stats'!$B$2:$T$366,11,0)+VLOOKUP(A289,'Team Stats'!$B$2:$T$366,19,0)-VLOOKUP(A289,'Team Stats'!$B$2:$T$366,13,0)),1)</f>
        <v>1.0894495412844036</v>
      </c>
      <c r="C289" s="168">
        <f>IFERROR((VLOOKUP(A289,'Team Stats'!$B$2:$T$366,5,0)+0.44*VLOOKUP(A289,'Team Stats'!$B$2:$T$366,11,0)+VLOOKUP(A289,'Team Stats'!$B$2:$T$366,19,0)-VLOOKUP(A289,'Team Stats'!$B$2:$T$366,13,0)),70)</f>
        <v>68.015999999999991</v>
      </c>
      <c r="D289" s="168">
        <f>IFERROR(VLOOKUP(A289,'Opponents stats vs'!$B$2:$D$366,3,0)/C289,1.05)</f>
        <v>1.177664079040226</v>
      </c>
      <c r="E289" s="169">
        <f>IFERROR(VLOOKUP(A289,SOS!A:C,3,0),200)</f>
        <v>256</v>
      </c>
      <c r="F289">
        <f>IFERROR(VLOOKUP(A289,SOS!A:D,4,0),200)</f>
        <v>229</v>
      </c>
      <c r="G289">
        <f>B289*((366-F289)/365)^'Enhanced Matchup Model'!$F$14</f>
        <v>1.0373576296759768</v>
      </c>
      <c r="H289">
        <f>D289*(2-((366-F289)/365)^'Enhanced Matchup Model'!$F$14)</f>
        <v>1.2339739591999426</v>
      </c>
    </row>
    <row r="290" spans="1:8" ht="15" customHeight="1" x14ac:dyDescent="0.25">
      <c r="A290" s="170" t="s">
        <v>421</v>
      </c>
      <c r="B290" s="168">
        <f>IFERROR(VLOOKUP(A290,'Team Stats'!$B$2:$T$366,3,0)/(VLOOKUP(A290,'Team Stats'!$B$2:$T$366,5,0)+0.44*VLOOKUP(A290,'Team Stats'!$B$2:$T$366,11,0)+VLOOKUP(A290,'Team Stats'!$B$2:$T$366,19,0)-VLOOKUP(A290,'Team Stats'!$B$2:$T$366,13,0)),1)</f>
        <v>0.98859203215510116</v>
      </c>
      <c r="C290" s="168">
        <f>IFERROR((VLOOKUP(A290,'Team Stats'!$B$2:$T$366,5,0)+0.44*VLOOKUP(A290,'Team Stats'!$B$2:$T$366,11,0)+VLOOKUP(A290,'Team Stats'!$B$2:$T$366,19,0)-VLOOKUP(A290,'Team Stats'!$B$2:$T$366,13,0)),70)</f>
        <v>67.671999999999997</v>
      </c>
      <c r="D290" s="168">
        <f>IFERROR(VLOOKUP(A290,'Opponents stats vs'!$B$2:$D$366,3,0)/C290,1.05)</f>
        <v>1.0196240690388936</v>
      </c>
      <c r="E290" s="169">
        <f>IFERROR(VLOOKUP(A290,SOS!A:C,3,0),200)</f>
        <v>352</v>
      </c>
      <c r="F290">
        <f>IFERROR(VLOOKUP(A290,SOS!A:D,4,0),200)</f>
        <v>353</v>
      </c>
      <c r="G290">
        <f>B290*((366-F290)/365)^'Enhanced Matchup Model'!$F$14</f>
        <v>0.83675753180232515</v>
      </c>
      <c r="H290">
        <f>D290*(2-((366-F290)/365)^'Enhanced Matchup Model'!$F$14)</f>
        <v>1.1762246747839094</v>
      </c>
    </row>
    <row r="291" spans="1:8" ht="15" customHeight="1" x14ac:dyDescent="0.25">
      <c r="A291" s="167" t="s">
        <v>422</v>
      </c>
      <c r="B291" s="168">
        <f>IFERROR(VLOOKUP(A291,'Team Stats'!$B$2:$T$366,3,0)/(VLOOKUP(A291,'Team Stats'!$B$2:$T$366,5,0)+0.44*VLOOKUP(A291,'Team Stats'!$B$2:$T$366,11,0)+VLOOKUP(A291,'Team Stats'!$B$2:$T$366,19,0)-VLOOKUP(A291,'Team Stats'!$B$2:$T$366,13,0)),1)</f>
        <v>1.0585786500148677</v>
      </c>
      <c r="C291" s="168">
        <f>IFERROR((VLOOKUP(A291,'Team Stats'!$B$2:$T$366,5,0)+0.44*VLOOKUP(A291,'Team Stats'!$B$2:$T$366,11,0)+VLOOKUP(A291,'Team Stats'!$B$2:$T$366,19,0)-VLOOKUP(A291,'Team Stats'!$B$2:$T$366,13,0)),70)</f>
        <v>67.260000000000005</v>
      </c>
      <c r="D291" s="168">
        <f>IFERROR(VLOOKUP(A291,'Opponents stats vs'!$B$2:$D$366,3,0)/C291,1.05)</f>
        <v>1.0466845078798692</v>
      </c>
      <c r="E291" s="169">
        <f>IFERROR(VLOOKUP(A291,SOS!A:C,3,0),200)</f>
        <v>189</v>
      </c>
      <c r="F291">
        <f>IFERROR(VLOOKUP(A291,SOS!A:D,4,0),200)</f>
        <v>213</v>
      </c>
      <c r="G291">
        <f>B291*((366-F291)/365)^'Enhanced Matchup Model'!$F$14</f>
        <v>1.0135450547112166</v>
      </c>
      <c r="H291">
        <f>D291*(2-((366-F291)/365)^'Enhanced Matchup Model'!$F$14)</f>
        <v>1.0912121077306702</v>
      </c>
    </row>
    <row r="292" spans="1:8" ht="15" customHeight="1" x14ac:dyDescent="0.25">
      <c r="A292" s="170" t="s">
        <v>423</v>
      </c>
      <c r="B292" s="168">
        <f>IFERROR(VLOOKUP(A292,'Team Stats'!$B$2:$T$366,3,0)/(VLOOKUP(A292,'Team Stats'!$B$2:$T$366,5,0)+0.44*VLOOKUP(A292,'Team Stats'!$B$2:$T$366,11,0)+VLOOKUP(A292,'Team Stats'!$B$2:$T$366,19,0)-VLOOKUP(A292,'Team Stats'!$B$2:$T$366,13,0)),1)</f>
        <v>1.1002801774457158</v>
      </c>
      <c r="C292" s="168">
        <f>IFERROR((VLOOKUP(A292,'Team Stats'!$B$2:$T$366,5,0)+0.44*VLOOKUP(A292,'Team Stats'!$B$2:$T$366,11,0)+VLOOKUP(A292,'Team Stats'!$B$2:$T$366,19,0)-VLOOKUP(A292,'Team Stats'!$B$2:$T$366,13,0)),70)</f>
        <v>68.527999999999992</v>
      </c>
      <c r="D292" s="168">
        <f>IFERROR(VLOOKUP(A292,'Opponents stats vs'!$B$2:$D$366,3,0)/C292,1.05)</f>
        <v>1.0798505720289517</v>
      </c>
      <c r="E292" s="169">
        <f>IFERROR(VLOOKUP(A292,SOS!A:C,3,0),200)</f>
        <v>90</v>
      </c>
      <c r="F292">
        <f>IFERROR(VLOOKUP(A292,SOS!A:D,4,0),200)</f>
        <v>65</v>
      </c>
      <c r="G292">
        <f>B292*((366-F292)/365)^'Enhanced Matchup Model'!$F$14</f>
        <v>1.0897251404301702</v>
      </c>
      <c r="H292">
        <f>D292*(2-((366-F292)/365)^'Enhanced Matchup Model'!$F$14)</f>
        <v>1.0902096269248454</v>
      </c>
    </row>
    <row r="293" spans="1:8" ht="15" customHeight="1" x14ac:dyDescent="0.25">
      <c r="A293" s="167" t="s">
        <v>92</v>
      </c>
      <c r="B293" s="168">
        <f>IFERROR(VLOOKUP(A293,'Team Stats'!$B$2:$T$366,3,0)/(VLOOKUP(A293,'Team Stats'!$B$2:$T$366,5,0)+0.44*VLOOKUP(A293,'Team Stats'!$B$2:$T$366,11,0)+VLOOKUP(A293,'Team Stats'!$B$2:$T$366,19,0)-VLOOKUP(A293,'Team Stats'!$B$2:$T$366,13,0)),1)</f>
        <v>1.1239997697311612</v>
      </c>
      <c r="C293" s="168">
        <f>IFERROR((VLOOKUP(A293,'Team Stats'!$B$2:$T$366,5,0)+0.44*VLOOKUP(A293,'Team Stats'!$B$2:$T$366,11,0)+VLOOKUP(A293,'Team Stats'!$B$2:$T$366,19,0)-VLOOKUP(A293,'Team Stats'!$B$2:$T$366,13,0)),70)</f>
        <v>69.483999999999995</v>
      </c>
      <c r="D293" s="168">
        <f>IFERROR(VLOOKUP(A293,'Opponents stats vs'!$B$2:$D$366,3,0)/C293,1.05)</f>
        <v>1.0304530539404755</v>
      </c>
      <c r="E293" s="169">
        <f>IFERROR(VLOOKUP(A293,SOS!A:C,3,0),200)</f>
        <v>41</v>
      </c>
      <c r="F293">
        <f>IFERROR(VLOOKUP(A293,SOS!A:D,4,0),200)</f>
        <v>72</v>
      </c>
      <c r="G293">
        <f>B293*((366-F293)/365)^'Enhanced Matchup Model'!$F$14</f>
        <v>1.1119082320562941</v>
      </c>
      <c r="H293">
        <f>D293*(2-((366-F293)/365)^'Enhanced Matchup Model'!$F$14)</f>
        <v>1.0415382536526454</v>
      </c>
    </row>
    <row r="294" spans="1:8" ht="15" customHeight="1" x14ac:dyDescent="0.25">
      <c r="A294" s="170" t="s">
        <v>424</v>
      </c>
      <c r="B294" s="168">
        <f>IFERROR(VLOOKUP(A294,'Team Stats'!$B$2:$T$366,3,0)/(VLOOKUP(A294,'Team Stats'!$B$2:$T$366,5,0)+0.44*VLOOKUP(A294,'Team Stats'!$B$2:$T$366,11,0)+VLOOKUP(A294,'Team Stats'!$B$2:$T$366,19,0)-VLOOKUP(A294,'Team Stats'!$B$2:$T$366,13,0)),1)</f>
        <v>1.0391641991172691</v>
      </c>
      <c r="C294" s="168">
        <f>IFERROR((VLOOKUP(A294,'Team Stats'!$B$2:$T$366,5,0)+0.44*VLOOKUP(A294,'Team Stats'!$B$2:$T$366,11,0)+VLOOKUP(A294,'Team Stats'!$B$2:$T$366,19,0)-VLOOKUP(A294,'Team Stats'!$B$2:$T$366,13,0)),70)</f>
        <v>71.596000000000004</v>
      </c>
      <c r="D294" s="168">
        <f>IFERROR(VLOOKUP(A294,'Opponents stats vs'!$B$2:$D$366,3,0)/C294,1.05)</f>
        <v>1.0210067601541983</v>
      </c>
      <c r="E294" s="169">
        <f>IFERROR(VLOOKUP(A294,SOS!A:C,3,0),200)</f>
        <v>227</v>
      </c>
      <c r="F294">
        <f>IFERROR(VLOOKUP(A294,SOS!A:D,4,0),200)</f>
        <v>226</v>
      </c>
      <c r="G294">
        <f>B294*((366-F294)/365)^'Enhanced Matchup Model'!$F$14</f>
        <v>0.99054893354268181</v>
      </c>
      <c r="H294">
        <f>D294*(2-((366-F294)/365)^'Enhanced Matchup Model'!$F$14)</f>
        <v>1.0687725654432083</v>
      </c>
    </row>
    <row r="295" spans="1:8" ht="15" customHeight="1" x14ac:dyDescent="0.25">
      <c r="A295" s="167" t="s">
        <v>425</v>
      </c>
      <c r="B295" s="168">
        <f>IFERROR(VLOOKUP(A295,'Team Stats'!$B$2:$T$366,3,0)/(VLOOKUP(A295,'Team Stats'!$B$2:$T$366,5,0)+0.44*VLOOKUP(A295,'Team Stats'!$B$2:$T$366,11,0)+VLOOKUP(A295,'Team Stats'!$B$2:$T$366,19,0)-VLOOKUP(A295,'Team Stats'!$B$2:$T$366,13,0)),1)</f>
        <v>1.1454612637024266</v>
      </c>
      <c r="C295" s="168">
        <f>IFERROR((VLOOKUP(A295,'Team Stats'!$B$2:$T$366,5,0)+0.44*VLOOKUP(A295,'Team Stats'!$B$2:$T$366,11,0)+VLOOKUP(A295,'Team Stats'!$B$2:$T$366,19,0)-VLOOKUP(A295,'Team Stats'!$B$2:$T$366,13,0)),70)</f>
        <v>64.951999999999998</v>
      </c>
      <c r="D295" s="168">
        <f>IFERROR(VLOOKUP(A295,'Opponents stats vs'!$B$2:$D$366,3,0)/C295,1.05)</f>
        <v>1.0900357186845671</v>
      </c>
      <c r="E295" s="169">
        <f>IFERROR(VLOOKUP(A295,SOS!A:C,3,0),200)</f>
        <v>136</v>
      </c>
      <c r="F295">
        <f>IFERROR(VLOOKUP(A295,SOS!A:D,4,0),200)</f>
        <v>153</v>
      </c>
      <c r="G295">
        <f>B295*((366-F295)/365)^'Enhanced Matchup Model'!$F$14</f>
        <v>1.1150253575884193</v>
      </c>
      <c r="H295">
        <f>D295*(2-((366-F295)/365)^'Enhanced Matchup Model'!$F$14)</f>
        <v>1.1189989196640255</v>
      </c>
    </row>
    <row r="296" spans="1:8" ht="15" customHeight="1" x14ac:dyDescent="0.25">
      <c r="A296" s="170" t="s">
        <v>85</v>
      </c>
      <c r="B296" s="168">
        <f>IFERROR(VLOOKUP(A296,'Team Stats'!$B$2:$T$366,3,0)/(VLOOKUP(A296,'Team Stats'!$B$2:$T$366,5,0)+0.44*VLOOKUP(A296,'Team Stats'!$B$2:$T$366,11,0)+VLOOKUP(A296,'Team Stats'!$B$2:$T$366,19,0)-VLOOKUP(A296,'Team Stats'!$B$2:$T$366,13,0)),1)</f>
        <v>1.1183662128368992</v>
      </c>
      <c r="C296" s="168">
        <f>IFERROR((VLOOKUP(A296,'Team Stats'!$B$2:$T$366,5,0)+0.44*VLOOKUP(A296,'Team Stats'!$B$2:$T$366,11,0)+VLOOKUP(A296,'Team Stats'!$B$2:$T$366,19,0)-VLOOKUP(A296,'Team Stats'!$B$2:$T$366,13,0)),70)</f>
        <v>71.98</v>
      </c>
      <c r="D296" s="168">
        <f>IFERROR(VLOOKUP(A296,'Opponents stats vs'!$B$2:$D$366,3,0)/C296,1.05)</f>
        <v>1.0308419005279243</v>
      </c>
      <c r="E296" s="169">
        <f>IFERROR(VLOOKUP(A296,SOS!A:C,3,0),200)</f>
        <v>242</v>
      </c>
      <c r="F296">
        <f>IFERROR(VLOOKUP(A296,SOS!A:D,4,0),200)</f>
        <v>340</v>
      </c>
      <c r="G296">
        <f>B296*((366-F296)/365)^'Enhanced Matchup Model'!$F$14</f>
        <v>0.97998191751366681</v>
      </c>
      <c r="H296">
        <f>D296*(2-((366-F296)/365)^'Enhanced Matchup Model'!$F$14)</f>
        <v>1.1583961205649906</v>
      </c>
    </row>
    <row r="297" spans="1:8" ht="15" customHeight="1" x14ac:dyDescent="0.25">
      <c r="A297" s="167" t="s">
        <v>426</v>
      </c>
      <c r="B297" s="168">
        <f>IFERROR(VLOOKUP(A297,'Team Stats'!$B$2:$T$366,3,0)/(VLOOKUP(A297,'Team Stats'!$B$2:$T$366,5,0)+0.44*VLOOKUP(A297,'Team Stats'!$B$2:$T$366,11,0)+VLOOKUP(A297,'Team Stats'!$B$2:$T$366,19,0)-VLOOKUP(A297,'Team Stats'!$B$2:$T$366,13,0)),1)</f>
        <v>1.0644168215613383</v>
      </c>
      <c r="C297" s="168">
        <f>IFERROR((VLOOKUP(A297,'Team Stats'!$B$2:$T$366,5,0)+0.44*VLOOKUP(A297,'Team Stats'!$B$2:$T$366,11,0)+VLOOKUP(A297,'Team Stats'!$B$2:$T$366,19,0)-VLOOKUP(A297,'Team Stats'!$B$2:$T$366,13,0)),70)</f>
        <v>68.86399999999999</v>
      </c>
      <c r="D297" s="168">
        <f>IFERROR(VLOOKUP(A297,'Opponents stats vs'!$B$2:$D$366,3,0)/C297,1.05)</f>
        <v>1.0818424721189592</v>
      </c>
      <c r="E297" s="169">
        <f>IFERROR(VLOOKUP(A297,SOS!A:C,3,0),200)</f>
        <v>337</v>
      </c>
      <c r="F297">
        <f>IFERROR(VLOOKUP(A297,SOS!A:D,4,0),200)</f>
        <v>339</v>
      </c>
      <c r="G297">
        <f>B297*((366-F297)/365)^'Enhanced Matchup Model'!$F$14</f>
        <v>0.93446980819536896</v>
      </c>
      <c r="H297">
        <f>D297*(2-((366-F297)/365)^'Enhanced Matchup Model'!$F$14)</f>
        <v>1.2139168581457631</v>
      </c>
    </row>
    <row r="298" spans="1:8" ht="15" customHeight="1" x14ac:dyDescent="0.25">
      <c r="A298" s="170" t="s">
        <v>51</v>
      </c>
      <c r="B298" s="168">
        <f>IFERROR(VLOOKUP(A298,'Team Stats'!$B$2:$T$366,3,0)/(VLOOKUP(A298,'Team Stats'!$B$2:$T$366,5,0)+0.44*VLOOKUP(A298,'Team Stats'!$B$2:$T$366,11,0)+VLOOKUP(A298,'Team Stats'!$B$2:$T$366,19,0)-VLOOKUP(A298,'Team Stats'!$B$2:$T$366,13,0)),1)</f>
        <v>1.1852554225435583</v>
      </c>
      <c r="C298" s="168">
        <f>IFERROR((VLOOKUP(A298,'Team Stats'!$B$2:$T$366,5,0)+0.44*VLOOKUP(A298,'Team Stats'!$B$2:$T$366,11,0)+VLOOKUP(A298,'Team Stats'!$B$2:$T$366,19,0)-VLOOKUP(A298,'Team Stats'!$B$2:$T$366,13,0)),70)</f>
        <v>67.495999999999995</v>
      </c>
      <c r="D298" s="168">
        <f>IFERROR(VLOOKUP(A298,'Opponents stats vs'!$B$2:$D$366,3,0)/C298,1.05)</f>
        <v>1.0208012326656397</v>
      </c>
      <c r="E298" s="169">
        <f>IFERROR(VLOOKUP(A298,SOS!A:C,3,0),200)</f>
        <v>21</v>
      </c>
      <c r="F298">
        <f>IFERROR(VLOOKUP(A298,SOS!A:D,4,0),200)</f>
        <v>14</v>
      </c>
      <c r="G298">
        <f>B298*((366-F298)/365)^'Enhanced Matchup Model'!$F$14</f>
        <v>1.1831081357734889</v>
      </c>
      <c r="H298">
        <f>D298*(2-((366-F298)/365)^'Enhanced Matchup Model'!$F$14)</f>
        <v>1.0226505833963619</v>
      </c>
    </row>
    <row r="299" spans="1:8" ht="15" customHeight="1" x14ac:dyDescent="0.25">
      <c r="A299" s="167" t="s">
        <v>79</v>
      </c>
      <c r="B299" s="168">
        <f>IFERROR(VLOOKUP(A299,'Team Stats'!$B$2:$T$366,3,0)/(VLOOKUP(A299,'Team Stats'!$B$2:$T$366,5,0)+0.44*VLOOKUP(A299,'Team Stats'!$B$2:$T$366,11,0)+VLOOKUP(A299,'Team Stats'!$B$2:$T$366,19,0)-VLOOKUP(A299,'Team Stats'!$B$2:$T$366,13,0)),1)</f>
        <v>1.2022110881167627</v>
      </c>
      <c r="C299" s="168">
        <f>IFERROR((VLOOKUP(A299,'Team Stats'!$B$2:$T$366,5,0)+0.44*VLOOKUP(A299,'Team Stats'!$B$2:$T$366,11,0)+VLOOKUP(A299,'Team Stats'!$B$2:$T$366,19,0)-VLOOKUP(A299,'Team Stats'!$B$2:$T$366,13,0)),70)</f>
        <v>73.448000000000008</v>
      </c>
      <c r="D299" s="168">
        <f>IFERROR(VLOOKUP(A299,'Opponents stats vs'!$B$2:$D$366,3,0)/C299,1.05)</f>
        <v>1.0769524016991612</v>
      </c>
      <c r="E299" s="169">
        <f>IFERROR(VLOOKUP(A299,SOS!A:C,3,0),200)</f>
        <v>43</v>
      </c>
      <c r="F299">
        <f>IFERROR(VLOOKUP(A299,SOS!A:D,4,0),200)</f>
        <v>68</v>
      </c>
      <c r="G299">
        <f>B299*((366-F299)/365)^'Enhanced Matchup Model'!$F$14</f>
        <v>1.1900820346340224</v>
      </c>
      <c r="H299">
        <f>D299*(2-((366-F299)/365)^'Enhanced Matchup Model'!$F$14)</f>
        <v>1.0878177259402115</v>
      </c>
    </row>
    <row r="300" spans="1:8" ht="15" customHeight="1" x14ac:dyDescent="0.25">
      <c r="A300" s="170" t="s">
        <v>427</v>
      </c>
      <c r="B300" s="168">
        <f>IFERROR(VLOOKUP(A300,'Team Stats'!$B$2:$T$366,3,0)/(VLOOKUP(A300,'Team Stats'!$B$2:$T$366,5,0)+0.44*VLOOKUP(A300,'Team Stats'!$B$2:$T$366,11,0)+VLOOKUP(A300,'Team Stats'!$B$2:$T$366,19,0)-VLOOKUP(A300,'Team Stats'!$B$2:$T$366,13,0)),1)</f>
        <v>1.0696050237690007</v>
      </c>
      <c r="C300" s="168">
        <f>IFERROR((VLOOKUP(A300,'Team Stats'!$B$2:$T$366,5,0)+0.44*VLOOKUP(A300,'Team Stats'!$B$2:$T$366,11,0)+VLOOKUP(A300,'Team Stats'!$B$2:$T$366,19,0)-VLOOKUP(A300,'Team Stats'!$B$2:$T$366,13,0)),70)</f>
        <v>68.155999999999992</v>
      </c>
      <c r="D300" s="168">
        <f>IFERROR(VLOOKUP(A300,'Opponents stats vs'!$B$2:$D$366,3,0)/C300,1.05)</f>
        <v>1.0006455777921242</v>
      </c>
      <c r="E300" s="169">
        <f>IFERROR(VLOOKUP(A300,SOS!A:C,3,0),200)</f>
        <v>162</v>
      </c>
      <c r="F300">
        <f>IFERROR(VLOOKUP(A300,SOS!A:D,4,0),200)</f>
        <v>203</v>
      </c>
      <c r="G300">
        <f>B300*((366-F300)/365)^'Enhanced Matchup Model'!$F$14</f>
        <v>1.0273493986849747</v>
      </c>
      <c r="H300">
        <f>D300*(2-((366-F300)/365)^'Enhanced Matchup Model'!$F$14)</f>
        <v>1.0401769033165491</v>
      </c>
    </row>
    <row r="301" spans="1:8" ht="15" customHeight="1" x14ac:dyDescent="0.25">
      <c r="A301" s="167" t="s">
        <v>60</v>
      </c>
      <c r="B301" s="168">
        <f>IFERROR(VLOOKUP(A301,'Team Stats'!$B$2:$T$366,3,0)/(VLOOKUP(A301,'Team Stats'!$B$2:$T$366,5,0)+0.44*VLOOKUP(A301,'Team Stats'!$B$2:$T$366,11,0)+VLOOKUP(A301,'Team Stats'!$B$2:$T$366,19,0)-VLOOKUP(A301,'Team Stats'!$B$2:$T$366,13,0)),1)</f>
        <v>1.231160182264283</v>
      </c>
      <c r="C301" s="168">
        <f>IFERROR((VLOOKUP(A301,'Team Stats'!$B$2:$T$366,5,0)+0.44*VLOOKUP(A301,'Team Stats'!$B$2:$T$366,11,0)+VLOOKUP(A301,'Team Stats'!$B$2:$T$366,19,0)-VLOOKUP(A301,'Team Stats'!$B$2:$T$366,13,0)),70)</f>
        <v>68.472000000000008</v>
      </c>
      <c r="D301" s="168">
        <f>IFERROR(VLOOKUP(A301,'Opponents stats vs'!$B$2:$D$366,3,0)/C301,1.05)</f>
        <v>1.1172450052576235</v>
      </c>
      <c r="E301" s="169">
        <f>IFERROR(VLOOKUP(A301,SOS!A:C,3,0),200)</f>
        <v>54</v>
      </c>
      <c r="F301">
        <f>IFERROR(VLOOKUP(A301,SOS!A:D,4,0),200)</f>
        <v>61</v>
      </c>
      <c r="G301">
        <f>B301*((366-F301)/365)^'Enhanced Matchup Model'!$F$14</f>
        <v>1.2201547361101732</v>
      </c>
      <c r="H301">
        <f>D301*(2-((366-F301)/365)^'Enhanced Matchup Model'!$F$14)</f>
        <v>1.1272321539028118</v>
      </c>
    </row>
    <row r="302" spans="1:8" ht="15" customHeight="1" x14ac:dyDescent="0.25">
      <c r="A302" s="170" t="s">
        <v>428</v>
      </c>
      <c r="B302" s="168">
        <f>IFERROR(VLOOKUP(A302,'Team Stats'!$B$2:$T$366,3,0)/(VLOOKUP(A302,'Team Stats'!$B$2:$T$366,5,0)+0.44*VLOOKUP(A302,'Team Stats'!$B$2:$T$366,11,0)+VLOOKUP(A302,'Team Stats'!$B$2:$T$366,19,0)-VLOOKUP(A302,'Team Stats'!$B$2:$T$366,13,0)),1)</f>
        <v>1.0503496503496503</v>
      </c>
      <c r="C302" s="168">
        <f>IFERROR((VLOOKUP(A302,'Team Stats'!$B$2:$T$366,5,0)+0.44*VLOOKUP(A302,'Team Stats'!$B$2:$T$366,11,0)+VLOOKUP(A302,'Team Stats'!$B$2:$T$366,19,0)-VLOOKUP(A302,'Team Stats'!$B$2:$T$366,13,0)),70)</f>
        <v>71.5</v>
      </c>
      <c r="D302" s="168">
        <f>IFERROR(VLOOKUP(A302,'Opponents stats vs'!$B$2:$D$366,3,0)/C302,1.05)</f>
        <v>1.0867132867132867</v>
      </c>
      <c r="E302" s="169">
        <f>IFERROR(VLOOKUP(A302,SOS!A:C,3,0),200)</f>
        <v>301</v>
      </c>
      <c r="F302">
        <f>IFERROR(VLOOKUP(A302,SOS!A:D,4,0),200)</f>
        <v>325</v>
      </c>
      <c r="G302">
        <f>B302*((366-F302)/365)^'Enhanced Matchup Model'!$F$14</f>
        <v>0.94158264436492245</v>
      </c>
      <c r="H302">
        <f>D302*(2-((366-F302)/365)^'Enhanced Matchup Model'!$F$14)</f>
        <v>1.1992458614804418</v>
      </c>
    </row>
    <row r="303" spans="1:8" ht="15" customHeight="1" x14ac:dyDescent="0.25">
      <c r="A303" s="167" t="s">
        <v>429</v>
      </c>
      <c r="B303" s="168">
        <f>IFERROR(VLOOKUP(A303,'Team Stats'!$B$2:$T$366,3,0)/(VLOOKUP(A303,'Team Stats'!$B$2:$T$366,5,0)+0.44*VLOOKUP(A303,'Team Stats'!$B$2:$T$366,11,0)+VLOOKUP(A303,'Team Stats'!$B$2:$T$366,19,0)-VLOOKUP(A303,'Team Stats'!$B$2:$T$366,13,0)),1)</f>
        <v>1.0908123448031217</v>
      </c>
      <c r="C303" s="168">
        <f>IFERROR((VLOOKUP(A303,'Team Stats'!$B$2:$T$366,5,0)+0.44*VLOOKUP(A303,'Team Stats'!$B$2:$T$366,11,0)+VLOOKUP(A303,'Team Stats'!$B$2:$T$366,19,0)-VLOOKUP(A303,'Team Stats'!$B$2:$T$366,13,0)),70)</f>
        <v>67.655999999999992</v>
      </c>
      <c r="D303" s="168">
        <f>IFERROR(VLOOKUP(A303,'Opponents stats vs'!$B$2:$D$366,3,0)/C303,1.05)</f>
        <v>1.0435142485514959</v>
      </c>
      <c r="E303" s="169">
        <f>IFERROR(VLOOKUP(A303,SOS!A:C,3,0),200)</f>
        <v>279</v>
      </c>
      <c r="F303">
        <f>IFERROR(VLOOKUP(A303,SOS!A:D,4,0),200)</f>
        <v>314</v>
      </c>
      <c r="G303">
        <f>B303*((366-F303)/365)^'Enhanced Matchup Model'!$F$14</f>
        <v>0.98954504436738311</v>
      </c>
      <c r="H303">
        <f>D303*(2-((366-F303)/365)^'Enhanced Matchup Model'!$F$14)</f>
        <v>1.1403905549304003</v>
      </c>
    </row>
    <row r="304" spans="1:8" ht="15" customHeight="1" x14ac:dyDescent="0.25">
      <c r="A304" s="170" t="s">
        <v>95</v>
      </c>
      <c r="B304" s="168">
        <f>IFERROR(VLOOKUP(A304,'Team Stats'!$B$2:$T$366,3,0)/(VLOOKUP(A304,'Team Stats'!$B$2:$T$366,5,0)+0.44*VLOOKUP(A304,'Team Stats'!$B$2:$T$366,11,0)+VLOOKUP(A304,'Team Stats'!$B$2:$T$366,19,0)-VLOOKUP(A304,'Team Stats'!$B$2:$T$366,13,0)),1)</f>
        <v>1.1988820241247424</v>
      </c>
      <c r="C304" s="168">
        <f>IFERROR((VLOOKUP(A304,'Team Stats'!$B$2:$T$366,5,0)+0.44*VLOOKUP(A304,'Team Stats'!$B$2:$T$366,11,0)+VLOOKUP(A304,'Team Stats'!$B$2:$T$366,19,0)-VLOOKUP(A304,'Team Stats'!$B$2:$T$366,13,0)),70)</f>
        <v>67.98</v>
      </c>
      <c r="D304" s="168">
        <f>IFERROR(VLOOKUP(A304,'Opponents stats vs'!$B$2:$D$366,3,0)/C304,1.05)</f>
        <v>1.0620770814945573</v>
      </c>
      <c r="E304" s="169">
        <f>IFERROR(VLOOKUP(A304,SOS!A:C,3,0),200)</f>
        <v>15</v>
      </c>
      <c r="F304">
        <f>IFERROR(VLOOKUP(A304,SOS!A:D,4,0),200)</f>
        <v>7</v>
      </c>
      <c r="G304">
        <f>B304*((366-F304)/365)^'Enhanced Matchup Model'!$F$14</f>
        <v>1.1978888643362096</v>
      </c>
      <c r="H304">
        <f>D304*(2-((366-F304)/365)^'Enhanced Matchup Model'!$F$14)</f>
        <v>1.0629569113931103</v>
      </c>
    </row>
    <row r="305" spans="1:8" ht="15" customHeight="1" x14ac:dyDescent="0.25">
      <c r="A305" s="167" t="s">
        <v>430</v>
      </c>
      <c r="B305" s="168">
        <f>IFERROR(VLOOKUP(A305,'Team Stats'!$B$2:$T$366,3,0)/(VLOOKUP(A305,'Team Stats'!$B$2:$T$366,5,0)+0.44*VLOOKUP(A305,'Team Stats'!$B$2:$T$366,11,0)+VLOOKUP(A305,'Team Stats'!$B$2:$T$366,19,0)-VLOOKUP(A305,'Team Stats'!$B$2:$T$366,13,0)),1)</f>
        <v>1.0539705615119028</v>
      </c>
      <c r="C305" s="168">
        <f>IFERROR((VLOOKUP(A305,'Team Stats'!$B$2:$T$366,5,0)+0.44*VLOOKUP(A305,'Team Stats'!$B$2:$T$366,11,0)+VLOOKUP(A305,'Team Stats'!$B$2:$T$366,19,0)-VLOOKUP(A305,'Team Stats'!$B$2:$T$366,13,0)),70)</f>
        <v>66.035999999999987</v>
      </c>
      <c r="D305" s="168">
        <f>IFERROR(VLOOKUP(A305,'Opponents stats vs'!$B$2:$D$366,3,0)/C305,1.05)</f>
        <v>1.1675449754679268</v>
      </c>
      <c r="E305" s="169">
        <f>IFERROR(VLOOKUP(A305,SOS!A:C,3,0),200)</f>
        <v>334</v>
      </c>
      <c r="F305">
        <f>IFERROR(VLOOKUP(A305,SOS!A:D,4,0),200)</f>
        <v>274</v>
      </c>
      <c r="G305">
        <f>B305*((366-F305)/365)^'Enhanced Matchup Model'!$F$14</f>
        <v>0.98379186919121919</v>
      </c>
      <c r="H305">
        <f>D305*(2-((366-F305)/365)^'Enhanced Matchup Model'!$F$14)</f>
        <v>1.2452860268748909</v>
      </c>
    </row>
    <row r="306" spans="1:8" ht="15" customHeight="1" x14ac:dyDescent="0.25">
      <c r="A306" s="170" t="s">
        <v>431</v>
      </c>
      <c r="B306" s="168">
        <f>IFERROR(VLOOKUP(A306,'Team Stats'!$B$2:$T$366,3,0)/(VLOOKUP(A306,'Team Stats'!$B$2:$T$366,5,0)+0.44*VLOOKUP(A306,'Team Stats'!$B$2:$T$366,11,0)+VLOOKUP(A306,'Team Stats'!$B$2:$T$366,19,0)-VLOOKUP(A306,'Team Stats'!$B$2:$T$366,13,0)),1)</f>
        <v>1.164497927222478</v>
      </c>
      <c r="C306" s="168">
        <f>IFERROR((VLOOKUP(A306,'Team Stats'!$B$2:$T$366,5,0)+0.44*VLOOKUP(A306,'Team Stats'!$B$2:$T$366,11,0)+VLOOKUP(A306,'Team Stats'!$B$2:$T$366,19,0)-VLOOKUP(A306,'Team Stats'!$B$2:$T$366,13,0)),70)</f>
        <v>69.472000000000008</v>
      </c>
      <c r="D306" s="168">
        <f>IFERROR(VLOOKUP(A306,'Opponents stats vs'!$B$2:$D$366,3,0)/C306,1.05)</f>
        <v>1.1054813450023029</v>
      </c>
      <c r="E306" s="169">
        <f>IFERROR(VLOOKUP(A306,SOS!A:C,3,0),200)</f>
        <v>133</v>
      </c>
      <c r="F306">
        <f>IFERROR(VLOOKUP(A306,SOS!A:D,4,0),200)</f>
        <v>159</v>
      </c>
      <c r="G306">
        <f>B306*((366-F306)/365)^'Enhanced Matchup Model'!$F$14</f>
        <v>1.1319378804556799</v>
      </c>
      <c r="H306">
        <f>D306*(2-((366-F306)/365)^'Enhanced Matchup Model'!$F$14)</f>
        <v>1.1363912534286329</v>
      </c>
    </row>
    <row r="307" spans="1:8" ht="15" customHeight="1" x14ac:dyDescent="0.25">
      <c r="A307" s="167" t="s">
        <v>432</v>
      </c>
      <c r="B307" s="168">
        <f>IFERROR(VLOOKUP(A307,'Team Stats'!$B$2:$T$366,3,0)/(VLOOKUP(A307,'Team Stats'!$B$2:$T$366,5,0)+0.44*VLOOKUP(A307,'Team Stats'!$B$2:$T$366,11,0)+VLOOKUP(A307,'Team Stats'!$B$2:$T$366,19,0)-VLOOKUP(A307,'Team Stats'!$B$2:$T$366,13,0)),1)</f>
        <v>1.0670637136298777</v>
      </c>
      <c r="C307" s="168">
        <f>IFERROR((VLOOKUP(A307,'Team Stats'!$B$2:$T$366,5,0)+0.44*VLOOKUP(A307,'Team Stats'!$B$2:$T$366,11,0)+VLOOKUP(A307,'Team Stats'!$B$2:$T$366,19,0)-VLOOKUP(A307,'Team Stats'!$B$2:$T$366,13,0)),70)</f>
        <v>64.475999999999999</v>
      </c>
      <c r="D307" s="168">
        <f>IFERROR(VLOOKUP(A307,'Opponents stats vs'!$B$2:$D$366,3,0)/C307,1.05)</f>
        <v>1.0282895961287921</v>
      </c>
      <c r="E307" s="169">
        <f>IFERROR(VLOOKUP(A307,SOS!A:C,3,0),200)</f>
        <v>122</v>
      </c>
      <c r="F307">
        <f>IFERROR(VLOOKUP(A307,SOS!A:D,4,0),200)</f>
        <v>158</v>
      </c>
      <c r="G307">
        <f>B307*((366-F307)/365)^'Enhanced Matchup Model'!$F$14</f>
        <v>1.0374779498192037</v>
      </c>
      <c r="H307">
        <f>D307*(2-((366-F307)/365)^'Enhanced Matchup Model'!$F$14)</f>
        <v>1.0568002958475082</v>
      </c>
    </row>
    <row r="308" spans="1:8" ht="15" customHeight="1" x14ac:dyDescent="0.25">
      <c r="A308" s="170" t="s">
        <v>77</v>
      </c>
      <c r="B308" s="168">
        <f>IFERROR(VLOOKUP(A308,'Team Stats'!$B$2:$T$366,3,0)/(VLOOKUP(A308,'Team Stats'!$B$2:$T$366,5,0)+0.44*VLOOKUP(A308,'Team Stats'!$B$2:$T$366,11,0)+VLOOKUP(A308,'Team Stats'!$B$2:$T$366,19,0)-VLOOKUP(A308,'Team Stats'!$B$2:$T$366,13,0)),1)</f>
        <v>1.1506575185820469</v>
      </c>
      <c r="C308" s="168">
        <f>IFERROR((VLOOKUP(A308,'Team Stats'!$B$2:$T$366,5,0)+0.44*VLOOKUP(A308,'Team Stats'!$B$2:$T$366,11,0)+VLOOKUP(A308,'Team Stats'!$B$2:$T$366,19,0)-VLOOKUP(A308,'Team Stats'!$B$2:$T$366,13,0)),70)</f>
        <v>69.959999999999994</v>
      </c>
      <c r="D308" s="168">
        <f>IFERROR(VLOOKUP(A308,'Opponents stats vs'!$B$2:$D$366,3,0)/C308,1.05)</f>
        <v>1.0520297312750142</v>
      </c>
      <c r="E308" s="169">
        <f>IFERROR(VLOOKUP(A308,SOS!A:C,3,0),200)</f>
        <v>108</v>
      </c>
      <c r="F308">
        <f>IFERROR(VLOOKUP(A308,SOS!A:D,4,0),200)</f>
        <v>192</v>
      </c>
      <c r="G308">
        <f>B308*((366-F308)/365)^'Enhanced Matchup Model'!$F$14</f>
        <v>1.1088145055298189</v>
      </c>
      <c r="H308">
        <f>D308*(2-((366-F308)/365)^'Enhanced Matchup Model'!$F$14)</f>
        <v>1.0902862003513369</v>
      </c>
    </row>
    <row r="309" spans="1:8" ht="15" customHeight="1" x14ac:dyDescent="0.25">
      <c r="A309" s="167" t="s">
        <v>433</v>
      </c>
      <c r="B309" s="168">
        <f>IFERROR(VLOOKUP(A309,'Team Stats'!$B$2:$T$366,3,0)/(VLOOKUP(A309,'Team Stats'!$B$2:$T$366,5,0)+0.44*VLOOKUP(A309,'Team Stats'!$B$2:$T$366,11,0)+VLOOKUP(A309,'Team Stats'!$B$2:$T$366,19,0)-VLOOKUP(A309,'Team Stats'!$B$2:$T$366,13,0)),1)</f>
        <v>1.0587471983012857</v>
      </c>
      <c r="C309" s="168">
        <f>IFERROR((VLOOKUP(A309,'Team Stats'!$B$2:$T$366,5,0)+0.44*VLOOKUP(A309,'Team Stats'!$B$2:$T$366,11,0)+VLOOKUP(A309,'Team Stats'!$B$2:$T$366,19,0)-VLOOKUP(A309,'Team Stats'!$B$2:$T$366,13,0)),70)</f>
        <v>67.816000000000003</v>
      </c>
      <c r="D309" s="168">
        <f>IFERROR(VLOOKUP(A309,'Opponents stats vs'!$B$2:$D$366,3,0)/C309,1.05)</f>
        <v>1.1074082812315675</v>
      </c>
      <c r="E309" s="169">
        <f>IFERROR(VLOOKUP(A309,SOS!A:C,3,0),200)</f>
        <v>113</v>
      </c>
      <c r="F309">
        <f>IFERROR(VLOOKUP(A309,SOS!A:D,4,0),200)</f>
        <v>119</v>
      </c>
      <c r="G309">
        <f>B309*((366-F309)/365)^'Enhanced Matchup Model'!$F$14</f>
        <v>1.0382751948660296</v>
      </c>
      <c r="H309">
        <f>D309*(2-((366-F309)/365)^'Enhanced Matchup Model'!$F$14)</f>
        <v>1.1288211984737364</v>
      </c>
    </row>
    <row r="310" spans="1:8" ht="15" customHeight="1" x14ac:dyDescent="0.25">
      <c r="A310" s="170" t="s">
        <v>434</v>
      </c>
      <c r="B310" s="168">
        <f>IFERROR(VLOOKUP(A310,'Team Stats'!$B$2:$T$366,3,0)/(VLOOKUP(A310,'Team Stats'!$B$2:$T$366,5,0)+0.44*VLOOKUP(A310,'Team Stats'!$B$2:$T$366,11,0)+VLOOKUP(A310,'Team Stats'!$B$2:$T$366,19,0)-VLOOKUP(A310,'Team Stats'!$B$2:$T$366,13,0)),1)</f>
        <v>1.2636171957362072</v>
      </c>
      <c r="C310" s="168">
        <f>IFERROR((VLOOKUP(A310,'Team Stats'!$B$2:$T$366,5,0)+0.44*VLOOKUP(A310,'Team Stats'!$B$2:$T$366,11,0)+VLOOKUP(A310,'Team Stats'!$B$2:$T$366,19,0)-VLOOKUP(A310,'Team Stats'!$B$2:$T$366,13,0)),70)</f>
        <v>68.295999999999992</v>
      </c>
      <c r="D310" s="168">
        <f>IFERROR(VLOOKUP(A310,'Opponents stats vs'!$B$2:$D$366,3,0)/C310,1.05)</f>
        <v>1.0586271523954551</v>
      </c>
      <c r="E310" s="169">
        <f>IFERROR(VLOOKUP(A310,SOS!A:C,3,0),200)</f>
        <v>58</v>
      </c>
      <c r="F310">
        <f>IFERROR(VLOOKUP(A310,SOS!A:D,4,0),200)</f>
        <v>127</v>
      </c>
      <c r="G310">
        <f>B310*((366-F310)/365)^'Enhanced Matchup Model'!$F$14</f>
        <v>1.2371454981732544</v>
      </c>
      <c r="H310">
        <f>D310*(2-((366-F310)/365)^'Enhanced Matchup Model'!$F$14)</f>
        <v>1.0808044841892153</v>
      </c>
    </row>
    <row r="311" spans="1:8" ht="15" customHeight="1" x14ac:dyDescent="0.25">
      <c r="A311" s="167" t="s">
        <v>435</v>
      </c>
      <c r="B311" s="168">
        <f>IFERROR(VLOOKUP(A311,'Team Stats'!$B$2:$T$366,3,0)/(VLOOKUP(A311,'Team Stats'!$B$2:$T$366,5,0)+0.44*VLOOKUP(A311,'Team Stats'!$B$2:$T$366,11,0)+VLOOKUP(A311,'Team Stats'!$B$2:$T$366,19,0)-VLOOKUP(A311,'Team Stats'!$B$2:$T$366,13,0)),1)</f>
        <v>1.1139662280454061</v>
      </c>
      <c r="C311" s="168">
        <f>IFERROR((VLOOKUP(A311,'Team Stats'!$B$2:$T$366,5,0)+0.44*VLOOKUP(A311,'Team Stats'!$B$2:$T$366,11,0)+VLOOKUP(A311,'Team Stats'!$B$2:$T$366,19,0)-VLOOKUP(A311,'Team Stats'!$B$2:$T$366,13,0)),70)</f>
        <v>70.827999999999989</v>
      </c>
      <c r="D311" s="168">
        <f>IFERROR(VLOOKUP(A311,'Opponents stats vs'!$B$2:$D$366,3,0)/C311,1.05)</f>
        <v>1.0334895803919355</v>
      </c>
      <c r="E311" s="169">
        <f>IFERROR(VLOOKUP(A311,SOS!A:C,3,0),200)</f>
        <v>89</v>
      </c>
      <c r="F311">
        <f>IFERROR(VLOOKUP(A311,SOS!A:D,4,0),200)</f>
        <v>120</v>
      </c>
      <c r="G311">
        <f>B311*((366-F311)/365)^'Enhanced Matchup Model'!$F$14</f>
        <v>1.0922049405663361</v>
      </c>
      <c r="H311">
        <f>D311*(2-((366-F311)/365)^'Enhanced Matchup Model'!$F$14)</f>
        <v>1.0536787596500841</v>
      </c>
    </row>
    <row r="312" spans="1:8" ht="15" customHeight="1" x14ac:dyDescent="0.25">
      <c r="A312" s="170" t="s">
        <v>436</v>
      </c>
      <c r="B312" s="168">
        <f>IFERROR(VLOOKUP(A312,'Team Stats'!$B$2:$T$366,3,0)/(VLOOKUP(A312,'Team Stats'!$B$2:$T$366,5,0)+0.44*VLOOKUP(A312,'Team Stats'!$B$2:$T$366,11,0)+VLOOKUP(A312,'Team Stats'!$B$2:$T$366,19,0)-VLOOKUP(A312,'Team Stats'!$B$2:$T$366,13,0)),1)</f>
        <v>1.087483339391736</v>
      </c>
      <c r="C312" s="168">
        <f>IFERROR((VLOOKUP(A312,'Team Stats'!$B$2:$T$366,5,0)+0.44*VLOOKUP(A312,'Team Stats'!$B$2:$T$366,11,0)+VLOOKUP(A312,'Team Stats'!$B$2:$T$366,19,0)-VLOOKUP(A312,'Team Stats'!$B$2:$T$366,13,0)),70)</f>
        <v>66.024000000000015</v>
      </c>
      <c r="D312" s="168">
        <f>IFERROR(VLOOKUP(A312,'Opponents stats vs'!$B$2:$D$366,3,0)/C312,1.05)</f>
        <v>1.0996001454016717</v>
      </c>
      <c r="E312" s="169">
        <f>IFERROR(VLOOKUP(A312,SOS!A:C,3,0),200)</f>
        <v>317</v>
      </c>
      <c r="F312">
        <f>IFERROR(VLOOKUP(A312,SOS!A:D,4,0),200)</f>
        <v>301</v>
      </c>
      <c r="G312">
        <f>B312*((366-F312)/365)^'Enhanced Matchup Model'!$F$14</f>
        <v>0.99759355971048158</v>
      </c>
      <c r="H312">
        <f>D312*(2-((366-F312)/365)^'Enhanced Matchup Model'!$F$14)</f>
        <v>1.1904914825167006</v>
      </c>
    </row>
    <row r="313" spans="1:8" ht="15" customHeight="1" x14ac:dyDescent="0.25">
      <c r="A313" s="167" t="s">
        <v>437</v>
      </c>
      <c r="B313" s="168">
        <f>IFERROR(VLOOKUP(A313,'Team Stats'!$B$2:$T$366,3,0)/(VLOOKUP(A313,'Team Stats'!$B$2:$T$366,5,0)+0.44*VLOOKUP(A313,'Team Stats'!$B$2:$T$366,11,0)+VLOOKUP(A313,'Team Stats'!$B$2:$T$366,19,0)-VLOOKUP(A313,'Team Stats'!$B$2:$T$366,13,0)),1)</f>
        <v>1.0990712074303401</v>
      </c>
      <c r="C313" s="168">
        <f>IFERROR((VLOOKUP(A313,'Team Stats'!$B$2:$T$366,5,0)+0.44*VLOOKUP(A313,'Team Stats'!$B$2:$T$366,11,0)+VLOOKUP(A313,'Team Stats'!$B$2:$T$366,19,0)-VLOOKUP(A313,'Team Stats'!$B$2:$T$366,13,0)),70)</f>
        <v>71.060000000000016</v>
      </c>
      <c r="D313" s="168">
        <f>IFERROR(VLOOKUP(A313,'Opponents stats vs'!$B$2:$D$366,3,0)/C313,1.05)</f>
        <v>1.0526315789473681</v>
      </c>
      <c r="E313" s="169">
        <f>IFERROR(VLOOKUP(A313,SOS!A:C,3,0),200)</f>
        <v>177</v>
      </c>
      <c r="F313">
        <f>IFERROR(VLOOKUP(A313,SOS!A:D,4,0),200)</f>
        <v>231</v>
      </c>
      <c r="G313">
        <f>B313*((366-F313)/365)^'Enhanced Matchup Model'!$F$14</f>
        <v>1.045750006436994</v>
      </c>
      <c r="H313">
        <f>D313*(2-((366-F313)/365)^'Enhanced Matchup Model'!$F$14)</f>
        <v>1.1036997714480379</v>
      </c>
    </row>
    <row r="314" spans="1:8" ht="15" customHeight="1" x14ac:dyDescent="0.25">
      <c r="A314" s="170" t="s">
        <v>438</v>
      </c>
      <c r="B314" s="168">
        <f>IFERROR(VLOOKUP(A314,'Team Stats'!$B$2:$T$366,3,0)/(VLOOKUP(A314,'Team Stats'!$B$2:$T$366,5,0)+0.44*VLOOKUP(A314,'Team Stats'!$B$2:$T$366,11,0)+VLOOKUP(A314,'Team Stats'!$B$2:$T$366,19,0)-VLOOKUP(A314,'Team Stats'!$B$2:$T$366,13,0)),1)</f>
        <v>1.0787049958135642</v>
      </c>
      <c r="C314" s="168">
        <f>IFERROR((VLOOKUP(A314,'Team Stats'!$B$2:$T$366,5,0)+0.44*VLOOKUP(A314,'Team Stats'!$B$2:$T$366,11,0)+VLOOKUP(A314,'Team Stats'!$B$2:$T$366,19,0)-VLOOKUP(A314,'Team Stats'!$B$2:$T$366,13,0)),70)</f>
        <v>71.66</v>
      </c>
      <c r="D314" s="168">
        <f>IFERROR(VLOOKUP(A314,'Opponents stats vs'!$B$2:$D$366,3,0)/C314,1.05)</f>
        <v>0.948925481440134</v>
      </c>
      <c r="E314" s="169">
        <f>IFERROR(VLOOKUP(A314,SOS!A:C,3,0),200)</f>
        <v>137</v>
      </c>
      <c r="F314">
        <f>IFERROR(VLOOKUP(A314,SOS!A:D,4,0),200)</f>
        <v>224</v>
      </c>
      <c r="G314">
        <f>B314*((366-F314)/365)^'Enhanced Matchup Model'!$F$14</f>
        <v>1.0289694104101816</v>
      </c>
      <c r="H314">
        <f>D314*(2-((366-F314)/365)^'Enhanced Matchup Model'!$F$14)</f>
        <v>0.9926773547574691</v>
      </c>
    </row>
    <row r="315" spans="1:8" ht="15" customHeight="1" x14ac:dyDescent="0.25">
      <c r="A315" s="167" t="s">
        <v>137</v>
      </c>
      <c r="B315" s="168">
        <f>IFERROR(VLOOKUP(A315,'Team Stats'!$B$2:$T$366,3,0)/(VLOOKUP(A315,'Team Stats'!$B$2:$T$366,5,0)+0.44*VLOOKUP(A315,'Team Stats'!$B$2:$T$366,11,0)+VLOOKUP(A315,'Team Stats'!$B$2:$T$366,19,0)-VLOOKUP(A315,'Team Stats'!$B$2:$T$366,13,0)),1)</f>
        <v>1.0386390836040349</v>
      </c>
      <c r="C315" s="168">
        <f>IFERROR((VLOOKUP(A315,'Team Stats'!$B$2:$T$366,5,0)+0.44*VLOOKUP(A315,'Team Stats'!$B$2:$T$366,11,0)+VLOOKUP(A315,'Team Stats'!$B$2:$T$366,19,0)-VLOOKUP(A315,'Team Stats'!$B$2:$T$366,13,0)),70)</f>
        <v>70.188000000000002</v>
      </c>
      <c r="D315" s="168">
        <f>IFERROR(VLOOKUP(A315,'Opponents stats vs'!$B$2:$D$366,3,0)/C315,1.05)</f>
        <v>1.1098763321365477</v>
      </c>
      <c r="E315" s="169">
        <f>IFERROR(VLOOKUP(A315,SOS!A:C,3,0),200)</f>
        <v>248</v>
      </c>
      <c r="F315">
        <f>IFERROR(VLOOKUP(A315,SOS!A:D,4,0),200)</f>
        <v>161</v>
      </c>
      <c r="G315">
        <f>B315*((366-F315)/365)^'Enhanced Matchup Model'!$F$14</f>
        <v>1.0091081430209805</v>
      </c>
      <c r="H315">
        <f>D315*(2-((366-F315)/365)^'Enhanced Matchup Model'!$F$14)</f>
        <v>1.1414327144605523</v>
      </c>
    </row>
    <row r="316" spans="1:8" ht="15" customHeight="1" x14ac:dyDescent="0.25">
      <c r="A316" s="170" t="s">
        <v>439</v>
      </c>
      <c r="B316" s="168">
        <f>IFERROR(VLOOKUP(A316,'Team Stats'!$B$2:$T$366,3,0)/(VLOOKUP(A316,'Team Stats'!$B$2:$T$366,5,0)+0.44*VLOOKUP(A316,'Team Stats'!$B$2:$T$366,11,0)+VLOOKUP(A316,'Team Stats'!$B$2:$T$366,19,0)-VLOOKUP(A316,'Team Stats'!$B$2:$T$366,13,0)),1)</f>
        <v>1.1030898065261334</v>
      </c>
      <c r="C316" s="168">
        <f>IFERROR((VLOOKUP(A316,'Team Stats'!$B$2:$T$366,5,0)+0.44*VLOOKUP(A316,'Team Stats'!$B$2:$T$366,11,0)+VLOOKUP(A316,'Team Stats'!$B$2:$T$366,19,0)-VLOOKUP(A316,'Team Stats'!$B$2:$T$366,13,0)),70)</f>
        <v>69.260000000000005</v>
      </c>
      <c r="D316" s="168">
        <f>IFERROR(VLOOKUP(A316,'Opponents stats vs'!$B$2:$D$366,3,0)/C316,1.05)</f>
        <v>1.0150158821830781</v>
      </c>
      <c r="E316" s="169">
        <f>IFERROR(VLOOKUP(A316,SOS!A:C,3,0),200)</f>
        <v>148</v>
      </c>
      <c r="F316">
        <f>IFERROR(VLOOKUP(A316,SOS!A:D,4,0),200)</f>
        <v>234</v>
      </c>
      <c r="G316">
        <f>B316*((366-F316)/365)^'Enhanced Matchup Model'!$F$14</f>
        <v>1.0483949605433645</v>
      </c>
      <c r="H316">
        <f>D316*(2-((366-F316)/365)^'Enhanced Matchup Model'!$F$14)</f>
        <v>1.0653437313007306</v>
      </c>
    </row>
    <row r="317" spans="1:8" ht="15" customHeight="1" x14ac:dyDescent="0.25">
      <c r="A317" s="167" t="s">
        <v>440</v>
      </c>
      <c r="B317" s="168">
        <f>IFERROR(VLOOKUP(A317,'Team Stats'!$B$2:$T$366,3,0)/(VLOOKUP(A317,'Team Stats'!$B$2:$T$366,5,0)+0.44*VLOOKUP(A317,'Team Stats'!$B$2:$T$366,11,0)+VLOOKUP(A317,'Team Stats'!$B$2:$T$366,19,0)-VLOOKUP(A317,'Team Stats'!$B$2:$T$366,13,0)),1)</f>
        <v>1.1565309985802175</v>
      </c>
      <c r="C317" s="168">
        <f>IFERROR((VLOOKUP(A317,'Team Stats'!$B$2:$T$366,5,0)+0.44*VLOOKUP(A317,'Team Stats'!$B$2:$T$366,11,0)+VLOOKUP(A317,'Team Stats'!$B$2:$T$366,19,0)-VLOOKUP(A317,'Team Stats'!$B$2:$T$366,13,0)),70)</f>
        <v>67.616000000000014</v>
      </c>
      <c r="D317" s="168">
        <f>IFERROR(VLOOKUP(A317,'Opponents stats vs'!$B$2:$D$366,3,0)/C317,1.05)</f>
        <v>1.0766682442025552</v>
      </c>
      <c r="E317" s="169">
        <f>IFERROR(VLOOKUP(A317,SOS!A:C,3,0),200)</f>
        <v>205</v>
      </c>
      <c r="F317">
        <f>IFERROR(VLOOKUP(A317,SOS!A:D,4,0),200)</f>
        <v>257</v>
      </c>
      <c r="G317">
        <f>B317*((366-F317)/365)^'Enhanced Matchup Model'!$F$14</f>
        <v>1.0887143803467341</v>
      </c>
      <c r="H317">
        <f>D317*(2-((366-F317)/365)^'Enhanced Matchup Model'!$F$14)</f>
        <v>1.1398018734531639</v>
      </c>
    </row>
    <row r="318" spans="1:8" ht="15" customHeight="1" x14ac:dyDescent="0.25">
      <c r="A318" s="170" t="s">
        <v>21</v>
      </c>
      <c r="B318" s="168">
        <f>IFERROR(VLOOKUP(A318,'Team Stats'!$B$2:$T$366,3,0)/(VLOOKUP(A318,'Team Stats'!$B$2:$T$366,5,0)+0.44*VLOOKUP(A318,'Team Stats'!$B$2:$T$366,11,0)+VLOOKUP(A318,'Team Stats'!$B$2:$T$366,19,0)-VLOOKUP(A318,'Team Stats'!$B$2:$T$366,13,0)),1)</f>
        <v>1.1762202043132803</v>
      </c>
      <c r="C318" s="168">
        <f>IFERROR((VLOOKUP(A318,'Team Stats'!$B$2:$T$366,5,0)+0.44*VLOOKUP(A318,'Team Stats'!$B$2:$T$366,11,0)+VLOOKUP(A318,'Team Stats'!$B$2:$T$366,19,0)-VLOOKUP(A318,'Team Stats'!$B$2:$T$366,13,0)),70)</f>
        <v>70.48</v>
      </c>
      <c r="D318" s="168">
        <f>IFERROR(VLOOKUP(A318,'Opponents stats vs'!$B$2:$D$366,3,0)/C318,1.05)</f>
        <v>1.1194665153234959</v>
      </c>
      <c r="E318" s="169">
        <f>IFERROR(VLOOKUP(A318,SOS!A:C,3,0),200)</f>
        <v>30</v>
      </c>
      <c r="F318">
        <f>IFERROR(VLOOKUP(A318,SOS!A:D,4,0),200)</f>
        <v>50</v>
      </c>
      <c r="G318">
        <f>B318*((366-F318)/365)^'Enhanced Matchup Model'!$F$14</f>
        <v>1.1677727749828406</v>
      </c>
      <c r="H318">
        <f>D318*(2-((366-F318)/365)^'Enhanced Matchup Model'!$F$14)</f>
        <v>1.127506348546315</v>
      </c>
    </row>
    <row r="319" spans="1:8" ht="15" customHeight="1" x14ac:dyDescent="0.25">
      <c r="A319" s="167" t="s">
        <v>37</v>
      </c>
      <c r="B319" s="168">
        <f>IFERROR(VLOOKUP(A319,'Team Stats'!$B$2:$T$366,3,0)/(VLOOKUP(A319,'Team Stats'!$B$2:$T$366,5,0)+0.44*VLOOKUP(A319,'Team Stats'!$B$2:$T$366,11,0)+VLOOKUP(A319,'Team Stats'!$B$2:$T$366,19,0)-VLOOKUP(A319,'Team Stats'!$B$2:$T$366,13,0)),1)</f>
        <v>1.1725596857056513</v>
      </c>
      <c r="C319" s="168">
        <f>IFERROR((VLOOKUP(A319,'Team Stats'!$B$2:$T$366,5,0)+0.44*VLOOKUP(A319,'Team Stats'!$B$2:$T$366,11,0)+VLOOKUP(A319,'Team Stats'!$B$2:$T$366,19,0)-VLOOKUP(A319,'Team Stats'!$B$2:$T$366,13,0)),70)</f>
        <v>66.179999999999993</v>
      </c>
      <c r="D319" s="168">
        <f>IFERROR(VLOOKUP(A319,'Opponents stats vs'!$B$2:$D$366,3,0)/C319,1.05)</f>
        <v>1.0728316711997583</v>
      </c>
      <c r="E319" s="169">
        <f>IFERROR(VLOOKUP(A319,SOS!A:C,3,0),200)</f>
        <v>39</v>
      </c>
      <c r="F319">
        <f>IFERROR(VLOOKUP(A319,SOS!A:D,4,0),200)</f>
        <v>56</v>
      </c>
      <c r="G319">
        <f>B319*((366-F319)/365)^'Enhanced Matchup Model'!$F$14</f>
        <v>1.1630232583182822</v>
      </c>
      <c r="H319">
        <f>D319*(2-((366-F319)/365)^'Enhanced Matchup Model'!$F$14)</f>
        <v>1.0815570106907788</v>
      </c>
    </row>
    <row r="320" spans="1:8" ht="15" customHeight="1" x14ac:dyDescent="0.25">
      <c r="A320" s="170" t="s">
        <v>47</v>
      </c>
      <c r="B320" s="168">
        <f>IFERROR(VLOOKUP(A320,'Team Stats'!$B$2:$T$366,3,0)/(VLOOKUP(A320,'Team Stats'!$B$2:$T$366,5,0)+0.44*VLOOKUP(A320,'Team Stats'!$B$2:$T$366,11,0)+VLOOKUP(A320,'Team Stats'!$B$2:$T$366,19,0)-VLOOKUP(A320,'Team Stats'!$B$2:$T$366,13,0)),1)</f>
        <v>1.1860983843742463</v>
      </c>
      <c r="C320" s="168">
        <f>IFERROR((VLOOKUP(A320,'Team Stats'!$B$2:$T$366,5,0)+0.44*VLOOKUP(A320,'Team Stats'!$B$2:$T$366,11,0)+VLOOKUP(A320,'Team Stats'!$B$2:$T$366,19,0)-VLOOKUP(A320,'Team Stats'!$B$2:$T$366,13,0)),70)</f>
        <v>66.352000000000004</v>
      </c>
      <c r="D320" s="168">
        <f>IFERROR(VLOOKUP(A320,'Opponents stats vs'!$B$2:$D$366,3,0)/C320,1.05)</f>
        <v>0.98263805160356887</v>
      </c>
      <c r="E320" s="169">
        <f>IFERROR(VLOOKUP(A320,SOS!A:C,3,0),200)</f>
        <v>4</v>
      </c>
      <c r="F320">
        <f>IFERROR(VLOOKUP(A320,SOS!A:D,4,0),200)</f>
        <v>22</v>
      </c>
      <c r="G320">
        <f>B320*((366-F320)/365)^'Enhanced Matchup Model'!$F$14</f>
        <v>1.1825894308013174</v>
      </c>
      <c r="H320">
        <f>D320*(2-((366-F320)/365)^'Enhanced Matchup Model'!$F$14)</f>
        <v>0.98554508810871455</v>
      </c>
    </row>
    <row r="321" spans="1:8" ht="15" customHeight="1" x14ac:dyDescent="0.25">
      <c r="A321" s="167" t="s">
        <v>441</v>
      </c>
      <c r="B321" s="168">
        <f>IFERROR(VLOOKUP(A321,'Team Stats'!$B$2:$T$366,3,0)/(VLOOKUP(A321,'Team Stats'!$B$2:$T$366,5,0)+0.44*VLOOKUP(A321,'Team Stats'!$B$2:$T$366,11,0)+VLOOKUP(A321,'Team Stats'!$B$2:$T$366,19,0)-VLOOKUP(A321,'Team Stats'!$B$2:$T$366,13,0)),1)</f>
        <v>1.1121942573555477</v>
      </c>
      <c r="C321" s="168">
        <f>IFERROR((VLOOKUP(A321,'Team Stats'!$B$2:$T$366,5,0)+0.44*VLOOKUP(A321,'Team Stats'!$B$2:$T$366,11,0)+VLOOKUP(A321,'Team Stats'!$B$2:$T$366,19,0)-VLOOKUP(A321,'Team Stats'!$B$2:$T$366,13,0)),70)</f>
        <v>67.703999999999994</v>
      </c>
      <c r="D321" s="168">
        <f>IFERROR(VLOOKUP(A321,'Opponents stats vs'!$B$2:$D$366,3,0)/C321,1.05)</f>
        <v>1.0309582890228053</v>
      </c>
      <c r="E321" s="169">
        <f>IFERROR(VLOOKUP(A321,SOS!A:C,3,0),200)</f>
        <v>127</v>
      </c>
      <c r="F321">
        <f>IFERROR(VLOOKUP(A321,SOS!A:D,4,0),200)</f>
        <v>132</v>
      </c>
      <c r="G321">
        <f>B321*((366-F321)/365)^'Enhanced Matchup Model'!$F$14</f>
        <v>1.0877442544197657</v>
      </c>
      <c r="H321">
        <f>D321*(2-((366-F321)/365)^'Enhanced Matchup Model'!$F$14)</f>
        <v>1.0536224351704491</v>
      </c>
    </row>
    <row r="322" spans="1:8" ht="15" customHeight="1" x14ac:dyDescent="0.25">
      <c r="A322" s="170" t="s">
        <v>442</v>
      </c>
      <c r="B322" s="168">
        <f>IFERROR(VLOOKUP(A322,'Team Stats'!$B$2:$T$366,3,0)/(VLOOKUP(A322,'Team Stats'!$B$2:$T$366,5,0)+0.44*VLOOKUP(A322,'Team Stats'!$B$2:$T$366,11,0)+VLOOKUP(A322,'Team Stats'!$B$2:$T$366,19,0)-VLOOKUP(A322,'Team Stats'!$B$2:$T$366,13,0)),1)</f>
        <v>1.0200631199278631</v>
      </c>
      <c r="C322" s="168">
        <f>IFERROR((VLOOKUP(A322,'Team Stats'!$B$2:$T$366,5,0)+0.44*VLOOKUP(A322,'Team Stats'!$B$2:$T$366,11,0)+VLOOKUP(A322,'Team Stats'!$B$2:$T$366,19,0)-VLOOKUP(A322,'Team Stats'!$B$2:$T$366,13,0)),70)</f>
        <v>70.975999999999999</v>
      </c>
      <c r="D322" s="168">
        <f>IFERROR(VLOOKUP(A322,'Opponents stats vs'!$B$2:$D$366,3,0)/C322,1.05)</f>
        <v>1.1820897204688909</v>
      </c>
      <c r="E322" s="169">
        <f>IFERROR(VLOOKUP(A322,SOS!A:C,3,0),200)</f>
        <v>359</v>
      </c>
      <c r="F322">
        <f>IFERROR(VLOOKUP(A322,SOS!A:D,4,0),200)</f>
        <v>207</v>
      </c>
      <c r="G322">
        <f>B322*((366-F322)/365)^'Enhanced Matchup Model'!$F$14</f>
        <v>0.97854828257464188</v>
      </c>
      <c r="H322">
        <f>D322*(2-((366-F322)/365)^'Enhanced Matchup Model'!$F$14)</f>
        <v>1.230198765412748</v>
      </c>
    </row>
    <row r="323" spans="1:8" ht="15" customHeight="1" x14ac:dyDescent="0.25">
      <c r="A323" s="167" t="s">
        <v>14</v>
      </c>
      <c r="B323" s="168">
        <f>IFERROR(VLOOKUP(A323,'Team Stats'!$B$2:$T$366,3,0)/(VLOOKUP(A323,'Team Stats'!$B$2:$T$366,5,0)+0.44*VLOOKUP(A323,'Team Stats'!$B$2:$T$366,11,0)+VLOOKUP(A323,'Team Stats'!$B$2:$T$366,19,0)-VLOOKUP(A323,'Team Stats'!$B$2:$T$366,13,0)),1)</f>
        <v>1.1286175556087061</v>
      </c>
      <c r="C323" s="168">
        <f>IFERROR((VLOOKUP(A323,'Team Stats'!$B$2:$T$366,5,0)+0.44*VLOOKUP(A323,'Team Stats'!$B$2:$T$366,11,0)+VLOOKUP(A323,'Team Stats'!$B$2:$T$366,19,0)-VLOOKUP(A323,'Team Stats'!$B$2:$T$366,13,0)),70)</f>
        <v>66.896000000000001</v>
      </c>
      <c r="D323" s="168">
        <f>IFERROR(VLOOKUP(A323,'Opponents stats vs'!$B$2:$D$366,3,0)/C323,1.05)</f>
        <v>1.0030495096866778</v>
      </c>
      <c r="E323" s="169">
        <f>IFERROR(VLOOKUP(A323,SOS!A:C,3,0),200)</f>
        <v>304</v>
      </c>
      <c r="F323">
        <f>IFERROR(VLOOKUP(A323,SOS!A:D,4,0),200)</f>
        <v>363</v>
      </c>
      <c r="G323">
        <f>B323*((366-F323)/365)^'Enhanced Matchup Model'!$F$14</f>
        <v>0.88774497140229724</v>
      </c>
      <c r="H323">
        <f>D323*(2-((366-F323)/365)^'Enhanced Matchup Model'!$F$14)</f>
        <v>1.2171230249217775</v>
      </c>
    </row>
    <row r="324" spans="1:8" ht="15" customHeight="1" x14ac:dyDescent="0.25">
      <c r="A324" s="170" t="s">
        <v>443</v>
      </c>
      <c r="B324" s="168">
        <f>IFERROR(VLOOKUP(A324,'Team Stats'!$B$2:$T$366,3,0)/(VLOOKUP(A324,'Team Stats'!$B$2:$T$366,5,0)+0.44*VLOOKUP(A324,'Team Stats'!$B$2:$T$366,11,0)+VLOOKUP(A324,'Team Stats'!$B$2:$T$366,19,0)-VLOOKUP(A324,'Team Stats'!$B$2:$T$366,13,0)),1)</f>
        <v>1.0889793544635069</v>
      </c>
      <c r="C324" s="168">
        <f>IFERROR((VLOOKUP(A324,'Team Stats'!$B$2:$T$366,5,0)+0.44*VLOOKUP(A324,'Team Stats'!$B$2:$T$366,11,0)+VLOOKUP(A324,'Team Stats'!$B$2:$T$366,19,0)-VLOOKUP(A324,'Team Stats'!$B$2:$T$366,13,0)),70)</f>
        <v>68.78</v>
      </c>
      <c r="D324" s="168">
        <f>IFERROR(VLOOKUP(A324,'Opponents stats vs'!$B$2:$D$366,3,0)/C324,1.05)</f>
        <v>1.1020645536493165</v>
      </c>
      <c r="E324" s="169">
        <f>IFERROR(VLOOKUP(A324,SOS!A:C,3,0),200)</f>
        <v>299</v>
      </c>
      <c r="F324">
        <f>IFERROR(VLOOKUP(A324,SOS!A:D,4,0),200)</f>
        <v>319</v>
      </c>
      <c r="G324">
        <f>B324*((366-F324)/365)^'Enhanced Matchup Model'!$F$14</f>
        <v>0.98290126925397681</v>
      </c>
      <c r="H324">
        <f>D324*(2-((366-F324)/365)^'Enhanced Matchup Model'!$F$14)</f>
        <v>1.2094172753967449</v>
      </c>
    </row>
    <row r="325" spans="1:8" ht="15" customHeight="1" x14ac:dyDescent="0.25">
      <c r="A325" s="167" t="s">
        <v>444</v>
      </c>
      <c r="B325" s="168">
        <f>IFERROR(VLOOKUP(A325,'Team Stats'!$B$2:$T$366,3,0)/(VLOOKUP(A325,'Team Stats'!$B$2:$T$366,5,0)+0.44*VLOOKUP(A325,'Team Stats'!$B$2:$T$366,11,0)+VLOOKUP(A325,'Team Stats'!$B$2:$T$366,19,0)-VLOOKUP(A325,'Team Stats'!$B$2:$T$366,13,0)),1)</f>
        <v>1.086827237585489</v>
      </c>
      <c r="C325" s="168">
        <f>IFERROR((VLOOKUP(A325,'Team Stats'!$B$2:$T$366,5,0)+0.44*VLOOKUP(A325,'Team Stats'!$B$2:$T$366,11,0)+VLOOKUP(A325,'Team Stats'!$B$2:$T$366,19,0)-VLOOKUP(A325,'Team Stats'!$B$2:$T$366,13,0)),70)</f>
        <v>67.260000000000005</v>
      </c>
      <c r="D325" s="168">
        <f>IFERROR(VLOOKUP(A325,'Opponents stats vs'!$B$2:$D$366,3,0)/C325,1.05)</f>
        <v>1.0793933987511148</v>
      </c>
      <c r="E325" s="169">
        <f>IFERROR(VLOOKUP(A325,SOS!A:C,3,0),200)</f>
        <v>207</v>
      </c>
      <c r="F325">
        <f>IFERROR(VLOOKUP(A325,SOS!A:D,4,0),200)</f>
        <v>218</v>
      </c>
      <c r="G325">
        <f>B325*((366-F325)/365)^'Enhanced Matchup Model'!$F$14</f>
        <v>1.03886462123519</v>
      </c>
      <c r="H325">
        <f>D325*(2-((366-F325)/365)^'Enhanced Matchup Model'!$F$14)</f>
        <v>1.1270279534300711</v>
      </c>
    </row>
    <row r="326" spans="1:8" ht="15" customHeight="1" x14ac:dyDescent="0.25">
      <c r="A326" s="170" t="s">
        <v>445</v>
      </c>
      <c r="B326" s="168">
        <f>IFERROR(VLOOKUP(A326,'Team Stats'!$B$2:$T$366,3,0)/(VLOOKUP(A326,'Team Stats'!$B$2:$T$366,5,0)+0.44*VLOOKUP(A326,'Team Stats'!$B$2:$T$366,11,0)+VLOOKUP(A326,'Team Stats'!$B$2:$T$366,19,0)-VLOOKUP(A326,'Team Stats'!$B$2:$T$366,13,0)),1)</f>
        <v>1.136298007507941</v>
      </c>
      <c r="C326" s="168">
        <f>IFERROR((VLOOKUP(A326,'Team Stats'!$B$2:$T$366,5,0)+0.44*VLOOKUP(A326,'Team Stats'!$B$2:$T$366,11,0)+VLOOKUP(A326,'Team Stats'!$B$2:$T$366,19,0)-VLOOKUP(A326,'Team Stats'!$B$2:$T$366,13,0)),70)</f>
        <v>69.260000000000005</v>
      </c>
      <c r="D326" s="168">
        <f>IFERROR(VLOOKUP(A326,'Opponents stats vs'!$B$2:$D$366,3,0)/C326,1.05)</f>
        <v>1.1709500433150446</v>
      </c>
      <c r="E326" s="169">
        <f>IFERROR(VLOOKUP(A326,SOS!A:C,3,0),200)</f>
        <v>266</v>
      </c>
      <c r="F326">
        <f>IFERROR(VLOOKUP(A326,SOS!A:D,4,0),200)</f>
        <v>252</v>
      </c>
      <c r="G326">
        <f>B326*((366-F326)/365)^'Enhanced Matchup Model'!$F$14</f>
        <v>1.0720692625934822</v>
      </c>
      <c r="H326">
        <f>D326*(2-((366-F326)/365)^'Enhanced Matchup Model'!$F$14)</f>
        <v>1.2371374793069454</v>
      </c>
    </row>
    <row r="327" spans="1:8" ht="15" customHeight="1" x14ac:dyDescent="0.25">
      <c r="A327" s="167" t="s">
        <v>91</v>
      </c>
      <c r="B327" s="168">
        <f>IFERROR(VLOOKUP(A327,'Team Stats'!$B$2:$T$366,3,0)/(VLOOKUP(A327,'Team Stats'!$B$2:$T$366,5,0)+0.44*VLOOKUP(A327,'Team Stats'!$B$2:$T$366,11,0)+VLOOKUP(A327,'Team Stats'!$B$2:$T$366,19,0)-VLOOKUP(A327,'Team Stats'!$B$2:$T$366,13,0)),1)</f>
        <v>1.1697941888619854</v>
      </c>
      <c r="C327" s="168">
        <f>IFERROR((VLOOKUP(A327,'Team Stats'!$B$2:$T$366,5,0)+0.44*VLOOKUP(A327,'Team Stats'!$B$2:$T$366,11,0)+VLOOKUP(A327,'Team Stats'!$B$2:$T$366,19,0)-VLOOKUP(A327,'Team Stats'!$B$2:$T$366,13,0)),70)</f>
        <v>66.08</v>
      </c>
      <c r="D327" s="168">
        <f>IFERROR(VLOOKUP(A327,'Opponents stats vs'!$B$2:$D$366,3,0)/C327,1.05)</f>
        <v>1.0154358353510895</v>
      </c>
      <c r="E327" s="169">
        <f>IFERROR(VLOOKUP(A327,SOS!A:C,3,0),200)</f>
        <v>180</v>
      </c>
      <c r="F327">
        <f>IFERROR(VLOOKUP(A327,SOS!A:D,4,0),200)</f>
        <v>286</v>
      </c>
      <c r="G327">
        <f>B327*((366-F327)/365)^'Enhanced Matchup Model'!$F$14</f>
        <v>1.0842996453680585</v>
      </c>
      <c r="H327">
        <f>D327*(2-((366-F327)/365)^'Enhanced Matchup Model'!$F$14)</f>
        <v>1.089649080738444</v>
      </c>
    </row>
    <row r="328" spans="1:8" ht="15" customHeight="1" x14ac:dyDescent="0.25">
      <c r="A328" s="170" t="s">
        <v>446</v>
      </c>
      <c r="B328" s="168">
        <f>IFERROR(VLOOKUP(A328,'Team Stats'!$B$2:$T$366,3,0)/(VLOOKUP(A328,'Team Stats'!$B$2:$T$366,5,0)+0.44*VLOOKUP(A328,'Team Stats'!$B$2:$T$366,11,0)+VLOOKUP(A328,'Team Stats'!$B$2:$T$366,19,0)-VLOOKUP(A328,'Team Stats'!$B$2:$T$366,13,0)),1)</f>
        <v>1.1300711944852528</v>
      </c>
      <c r="C328" s="168">
        <f>IFERROR((VLOOKUP(A328,'Team Stats'!$B$2:$T$366,5,0)+0.44*VLOOKUP(A328,'Team Stats'!$B$2:$T$366,11,0)+VLOOKUP(A328,'Team Stats'!$B$2:$T$366,19,0)-VLOOKUP(A328,'Team Stats'!$B$2:$T$366,13,0)),70)</f>
        <v>70.791999999999987</v>
      </c>
      <c r="D328" s="168">
        <f>IFERROR(VLOOKUP(A328,'Opponents stats vs'!$B$2:$D$366,3,0)/C328,1.05)</f>
        <v>1.1088823595886543</v>
      </c>
      <c r="E328" s="169">
        <f>IFERROR(VLOOKUP(A328,SOS!A:C,3,0),200)</f>
        <v>83</v>
      </c>
      <c r="F328">
        <f>IFERROR(VLOOKUP(A328,SOS!A:D,4,0),200)</f>
        <v>89</v>
      </c>
      <c r="G328">
        <f>B328*((366-F328)/365)^'Enhanced Matchup Model'!$F$14</f>
        <v>1.1145900201233452</v>
      </c>
      <c r="H328">
        <f>D328*(2-((366-F328)/365)^'Enhanced Matchup Model'!$F$14)</f>
        <v>1.1240732619312761</v>
      </c>
    </row>
    <row r="329" spans="1:8" ht="15" customHeight="1" x14ac:dyDescent="0.25">
      <c r="A329" s="167" t="s">
        <v>447</v>
      </c>
      <c r="B329" s="168">
        <f>IFERROR(VLOOKUP(A329,'Team Stats'!$B$2:$T$366,3,0)/(VLOOKUP(A329,'Team Stats'!$B$2:$T$366,5,0)+0.44*VLOOKUP(A329,'Team Stats'!$B$2:$T$366,11,0)+VLOOKUP(A329,'Team Stats'!$B$2:$T$366,19,0)-VLOOKUP(A329,'Team Stats'!$B$2:$T$366,13,0)),1)</f>
        <v>1.1018937489525726</v>
      </c>
      <c r="C329" s="168">
        <f>IFERROR((VLOOKUP(A329,'Team Stats'!$B$2:$T$366,5,0)+0.44*VLOOKUP(A329,'Team Stats'!$B$2:$T$366,11,0)+VLOOKUP(A329,'Team Stats'!$B$2:$T$366,19,0)-VLOOKUP(A329,'Team Stats'!$B$2:$T$366,13,0)),70)</f>
        <v>71.603999999999999</v>
      </c>
      <c r="D329" s="168">
        <f>IFERROR(VLOOKUP(A329,'Opponents stats vs'!$B$2:$D$366,3,0)/C329,1.05)</f>
        <v>1.0809451985922576</v>
      </c>
      <c r="E329" s="169">
        <f>IFERROR(VLOOKUP(A329,SOS!A:C,3,0),200)</f>
        <v>60</v>
      </c>
      <c r="F329">
        <f>IFERROR(VLOOKUP(A329,SOS!A:D,4,0),200)</f>
        <v>41</v>
      </c>
      <c r="G329">
        <f>B329*((366-F329)/365)^'Enhanced Matchup Model'!$F$14</f>
        <v>1.0955173100313191</v>
      </c>
      <c r="H329">
        <f>D329*(2-((366-F329)/365)^'Enhanced Matchup Model'!$F$14)</f>
        <v>1.0872004124389623</v>
      </c>
    </row>
    <row r="330" spans="1:8" ht="15" customHeight="1" x14ac:dyDescent="0.25">
      <c r="A330" s="170" t="s">
        <v>448</v>
      </c>
      <c r="B330" s="168">
        <f>IFERROR(VLOOKUP(A330,'Team Stats'!$B$2:$T$366,3,0)/(VLOOKUP(A330,'Team Stats'!$B$2:$T$366,5,0)+0.44*VLOOKUP(A330,'Team Stats'!$B$2:$T$366,11,0)+VLOOKUP(A330,'Team Stats'!$B$2:$T$366,19,0)-VLOOKUP(A330,'Team Stats'!$B$2:$T$366,13,0)),1)</f>
        <v>1.0433339261367005</v>
      </c>
      <c r="C330" s="168">
        <f>IFERROR((VLOOKUP(A330,'Team Stats'!$B$2:$T$366,5,0)+0.44*VLOOKUP(A330,'Team Stats'!$B$2:$T$366,11,0)+VLOOKUP(A330,'Team Stats'!$B$2:$T$366,19,0)-VLOOKUP(A330,'Team Stats'!$B$2:$T$366,13,0)),70)</f>
        <v>67.475999999999999</v>
      </c>
      <c r="D330" s="168">
        <f>IFERROR(VLOOKUP(A330,'Opponents stats vs'!$B$2:$D$366,3,0)/C330,1.05)</f>
        <v>0.99442764834904251</v>
      </c>
      <c r="E330" s="169">
        <f>IFERROR(VLOOKUP(A330,SOS!A:C,3,0),200)</f>
        <v>149</v>
      </c>
      <c r="F330">
        <f>IFERROR(VLOOKUP(A330,SOS!A:D,4,0),200)</f>
        <v>188</v>
      </c>
      <c r="G330">
        <f>B330*((366-F330)/365)^'Enhanced Matchup Model'!$F$14</f>
        <v>1.0065368665595928</v>
      </c>
      <c r="H330">
        <f>D330*(2-((366-F330)/365)^'Enhanced Matchup Model'!$F$14)</f>
        <v>1.0294998457584734</v>
      </c>
    </row>
    <row r="331" spans="1:8" ht="15" customHeight="1" x14ac:dyDescent="0.25">
      <c r="A331" s="167" t="s">
        <v>449</v>
      </c>
      <c r="B331" s="168">
        <f>IFERROR(VLOOKUP(A331,'Team Stats'!$B$2:$T$366,3,0)/(VLOOKUP(A331,'Team Stats'!$B$2:$T$366,5,0)+0.44*VLOOKUP(A331,'Team Stats'!$B$2:$T$366,11,0)+VLOOKUP(A331,'Team Stats'!$B$2:$T$366,19,0)-VLOOKUP(A331,'Team Stats'!$B$2:$T$366,13,0)),1)</f>
        <v>1.0558092034122311</v>
      </c>
      <c r="C331" s="168">
        <f>IFERROR((VLOOKUP(A331,'Team Stats'!$B$2:$T$366,5,0)+0.44*VLOOKUP(A331,'Team Stats'!$B$2:$T$366,11,0)+VLOOKUP(A331,'Team Stats'!$B$2:$T$366,19,0)-VLOOKUP(A331,'Team Stats'!$B$2:$T$366,13,0)),70)</f>
        <v>66.584000000000003</v>
      </c>
      <c r="D331" s="168">
        <f>IFERROR(VLOOKUP(A331,'Opponents stats vs'!$B$2:$D$366,3,0)/C331,1.05)</f>
        <v>0.94617325483599657</v>
      </c>
      <c r="E331" s="169">
        <f>IFERROR(VLOOKUP(A331,SOS!A:C,3,0),200)</f>
        <v>305</v>
      </c>
      <c r="F331">
        <f>IFERROR(VLOOKUP(A331,SOS!A:D,4,0),200)</f>
        <v>358</v>
      </c>
      <c r="G331">
        <f>B331*((366-F331)/365)^'Enhanced Matchup Model'!$F$14</f>
        <v>0.87221851120331884</v>
      </c>
      <c r="H331">
        <f>D331*(2-((366-F331)/365)^'Enhanced Matchup Model'!$F$14)</f>
        <v>1.1106997642124044</v>
      </c>
    </row>
    <row r="332" spans="1:8" ht="15" customHeight="1" x14ac:dyDescent="0.25">
      <c r="A332" s="170" t="s">
        <v>450</v>
      </c>
      <c r="B332" s="168">
        <f>IFERROR(VLOOKUP(A332,'Team Stats'!$B$2:$T$366,3,0)/(VLOOKUP(A332,'Team Stats'!$B$2:$T$366,5,0)+0.44*VLOOKUP(A332,'Team Stats'!$B$2:$T$366,11,0)+VLOOKUP(A332,'Team Stats'!$B$2:$T$366,19,0)-VLOOKUP(A332,'Team Stats'!$B$2:$T$366,13,0)),1)</f>
        <v>1.1411729141475213</v>
      </c>
      <c r="C332" s="168">
        <f>IFERROR((VLOOKUP(A332,'Team Stats'!$B$2:$T$366,5,0)+0.44*VLOOKUP(A332,'Team Stats'!$B$2:$T$366,11,0)+VLOOKUP(A332,'Team Stats'!$B$2:$T$366,19,0)-VLOOKUP(A332,'Team Stats'!$B$2:$T$366,13,0)),70)</f>
        <v>66.16</v>
      </c>
      <c r="D332" s="168">
        <f>IFERROR(VLOOKUP(A332,'Opponents stats vs'!$B$2:$D$366,3,0)/C332,1.05)</f>
        <v>1.0444377267230955</v>
      </c>
      <c r="E332" s="169">
        <f>IFERROR(VLOOKUP(A332,SOS!A:C,3,0),200)</f>
        <v>135</v>
      </c>
      <c r="F332">
        <f>IFERROR(VLOOKUP(A332,SOS!A:D,4,0),200)</f>
        <v>196</v>
      </c>
      <c r="G332">
        <f>B332*((366-F332)/365)^'Enhanced Matchup Model'!$F$14</f>
        <v>1.0983967973353213</v>
      </c>
      <c r="H332">
        <f>D332*(2-((366-F332)/365)^'Enhanced Matchup Model'!$F$14)</f>
        <v>1.0835877886002216</v>
      </c>
    </row>
    <row r="333" spans="1:8" ht="15" customHeight="1" x14ac:dyDescent="0.25">
      <c r="A333" s="167" t="s">
        <v>451</v>
      </c>
      <c r="B333" s="168">
        <f>IFERROR(VLOOKUP(A333,'Team Stats'!$B$2:$T$366,3,0)/(VLOOKUP(A333,'Team Stats'!$B$2:$T$366,5,0)+0.44*VLOOKUP(A333,'Team Stats'!$B$2:$T$366,11,0)+VLOOKUP(A333,'Team Stats'!$B$2:$T$366,19,0)-VLOOKUP(A333,'Team Stats'!$B$2:$T$366,13,0)),1)</f>
        <v>1.0377527285739847</v>
      </c>
      <c r="C333" s="168">
        <f>IFERROR((VLOOKUP(A333,'Team Stats'!$B$2:$T$366,5,0)+0.44*VLOOKUP(A333,'Team Stats'!$B$2:$T$366,11,0)+VLOOKUP(A333,'Team Stats'!$B$2:$T$366,19,0)-VLOOKUP(A333,'Team Stats'!$B$2:$T$366,13,0)),70)</f>
        <v>67.067999999999984</v>
      </c>
      <c r="D333" s="168">
        <f>IFERROR(VLOOKUP(A333,'Opponents stats vs'!$B$2:$D$366,3,0)/C333,1.05)</f>
        <v>1.0839744736685157</v>
      </c>
      <c r="E333" s="169">
        <f>IFERROR(VLOOKUP(A333,SOS!A:C,3,0),200)</f>
        <v>210</v>
      </c>
      <c r="F333">
        <f>IFERROR(VLOOKUP(A333,SOS!A:D,4,0),200)</f>
        <v>145</v>
      </c>
      <c r="G333">
        <f>B333*((366-F333)/365)^'Enhanced Matchup Model'!$F$14</f>
        <v>1.0120427415044191</v>
      </c>
      <c r="H333">
        <f>D333*(2-((366-F333)/365)^'Enhanced Matchup Model'!$F$14)</f>
        <v>1.1108295894725015</v>
      </c>
    </row>
    <row r="334" spans="1:8" ht="15" customHeight="1" x14ac:dyDescent="0.25">
      <c r="A334" s="170" t="s">
        <v>452</v>
      </c>
      <c r="B334" s="168">
        <f>IFERROR(VLOOKUP(A334,'Team Stats'!$B$2:$T$366,3,0)/(VLOOKUP(A334,'Team Stats'!$B$2:$T$366,5,0)+0.44*VLOOKUP(A334,'Team Stats'!$B$2:$T$366,11,0)+VLOOKUP(A334,'Team Stats'!$B$2:$T$366,19,0)-VLOOKUP(A334,'Team Stats'!$B$2:$T$366,13,0)),1)</f>
        <v>0.99523891470200199</v>
      </c>
      <c r="C334" s="168">
        <f>IFERROR((VLOOKUP(A334,'Team Stats'!$B$2:$T$366,5,0)+0.44*VLOOKUP(A334,'Team Stats'!$B$2:$T$366,11,0)+VLOOKUP(A334,'Team Stats'!$B$2:$T$366,19,0)-VLOOKUP(A334,'Team Stats'!$B$2:$T$366,13,0)),70)</f>
        <v>69.731999999999999</v>
      </c>
      <c r="D334" s="168">
        <f>IFERROR(VLOOKUP(A334,'Opponents stats vs'!$B$2:$D$366,3,0)/C334,1.05)</f>
        <v>1.1587219640910915</v>
      </c>
      <c r="E334" s="169">
        <f>IFERROR(VLOOKUP(A334,SOS!A:C,3,0),200)</f>
        <v>330</v>
      </c>
      <c r="F334">
        <f>IFERROR(VLOOKUP(A334,SOS!A:D,4,0),200)</f>
        <v>117</v>
      </c>
      <c r="G334">
        <f>B334*((366-F334)/365)^'Enhanced Matchup Model'!$F$14</f>
        <v>0.97638853931764846</v>
      </c>
      <c r="H334">
        <f>D334*(2-((366-F334)/365)^'Enhanced Matchup Model'!$F$14)</f>
        <v>1.1806687988325288</v>
      </c>
    </row>
    <row r="335" spans="1:8" ht="15" customHeight="1" x14ac:dyDescent="0.25">
      <c r="A335" s="167" t="s">
        <v>36</v>
      </c>
      <c r="B335" s="168">
        <f>IFERROR(VLOOKUP(A335,'Team Stats'!$B$2:$T$366,3,0)/(VLOOKUP(A335,'Team Stats'!$B$2:$T$366,5,0)+0.44*VLOOKUP(A335,'Team Stats'!$B$2:$T$366,11,0)+VLOOKUP(A335,'Team Stats'!$B$2:$T$366,19,0)-VLOOKUP(A335,'Team Stats'!$B$2:$T$366,13,0)),1)</f>
        <v>1.2222879101389299</v>
      </c>
      <c r="C335" s="168">
        <f>IFERROR((VLOOKUP(A335,'Team Stats'!$B$2:$T$366,5,0)+0.44*VLOOKUP(A335,'Team Stats'!$B$2:$T$366,11,0)+VLOOKUP(A335,'Team Stats'!$B$2:$T$366,19,0)-VLOOKUP(A335,'Team Stats'!$B$2:$T$366,13,0)),70)</f>
        <v>67.660000000000011</v>
      </c>
      <c r="D335" s="168">
        <f>IFERROR(VLOOKUP(A335,'Opponents stats vs'!$B$2:$D$366,3,0)/C335,1.05)</f>
        <v>1.041974578776234</v>
      </c>
      <c r="E335" s="169">
        <f>IFERROR(VLOOKUP(A335,SOS!A:C,3,0),200)</f>
        <v>29</v>
      </c>
      <c r="F335">
        <f>IFERROR(VLOOKUP(A335,SOS!A:D,4,0),200)</f>
        <v>81</v>
      </c>
      <c r="G335">
        <f>B335*((366-F335)/365)^'Enhanced Matchup Model'!$F$14</f>
        <v>1.207260846272314</v>
      </c>
      <c r="H335">
        <f>D335*(2-((366-F335)/365)^'Enhanced Matchup Model'!$F$14)</f>
        <v>1.0547848327374967</v>
      </c>
    </row>
    <row r="336" spans="1:8" ht="15" customHeight="1" x14ac:dyDescent="0.25">
      <c r="A336" s="170" t="s">
        <v>453</v>
      </c>
      <c r="B336" s="168">
        <f>IFERROR(VLOOKUP(A336,'Team Stats'!$B$2:$T$366,3,0)/(VLOOKUP(A336,'Team Stats'!$B$2:$T$366,5,0)+0.44*VLOOKUP(A336,'Team Stats'!$B$2:$T$366,11,0)+VLOOKUP(A336,'Team Stats'!$B$2:$T$366,19,0)-VLOOKUP(A336,'Team Stats'!$B$2:$T$366,13,0)),1)</f>
        <v>1.1016851004690484</v>
      </c>
      <c r="C336" s="168">
        <f>IFERROR((VLOOKUP(A336,'Team Stats'!$B$2:$T$366,5,0)+0.44*VLOOKUP(A336,'Team Stats'!$B$2:$T$366,11,0)+VLOOKUP(A336,'Team Stats'!$B$2:$T$366,19,0)-VLOOKUP(A336,'Team Stats'!$B$2:$T$366,13,0)),70)</f>
        <v>69.076000000000008</v>
      </c>
      <c r="D336" s="168">
        <f>IFERROR(VLOOKUP(A336,'Opponents stats vs'!$B$2:$D$366,3,0)/C336,1.05)</f>
        <v>1.0669407609010364</v>
      </c>
      <c r="E336" s="169">
        <f>IFERROR(VLOOKUP(A336,SOS!A:C,3,0),200)</f>
        <v>156</v>
      </c>
      <c r="F336">
        <f>IFERROR(VLOOKUP(A336,SOS!A:D,4,0),200)</f>
        <v>206</v>
      </c>
      <c r="G336">
        <f>B336*((366-F336)/365)^'Enhanced Matchup Model'!$F$14</f>
        <v>1.0571797405205521</v>
      </c>
      <c r="H336">
        <f>D336*(2-((366-F336)/365)^'Enhanced Matchup Model'!$F$14)</f>
        <v>1.1100425352532597</v>
      </c>
    </row>
    <row r="337" spans="1:8" ht="15" customHeight="1" x14ac:dyDescent="0.25">
      <c r="A337" s="167" t="s">
        <v>454</v>
      </c>
      <c r="B337" s="168">
        <f>IFERROR(VLOOKUP(A337,'Team Stats'!$B$2:$T$366,3,0)/(VLOOKUP(A337,'Team Stats'!$B$2:$T$366,5,0)+0.44*VLOOKUP(A337,'Team Stats'!$B$2:$T$366,11,0)+VLOOKUP(A337,'Team Stats'!$B$2:$T$366,19,0)-VLOOKUP(A337,'Team Stats'!$B$2:$T$366,13,0)),1)</f>
        <v>1.0942909112245494</v>
      </c>
      <c r="C337" s="168">
        <f>IFERROR((VLOOKUP(A337,'Team Stats'!$B$2:$T$366,5,0)+0.44*VLOOKUP(A337,'Team Stats'!$B$2:$T$366,11,0)+VLOOKUP(A337,'Team Stats'!$B$2:$T$366,19,0)-VLOOKUP(A337,'Team Stats'!$B$2:$T$366,13,0)),70)</f>
        <v>68.172000000000011</v>
      </c>
      <c r="D337" s="168">
        <f>IFERROR(VLOOKUP(A337,'Opponents stats vs'!$B$2:$D$366,3,0)/C337,1.05)</f>
        <v>1.1529660271079032</v>
      </c>
      <c r="E337" s="169">
        <f>IFERROR(VLOOKUP(A337,SOS!A:C,3,0),200)</f>
        <v>155</v>
      </c>
      <c r="F337">
        <f>IFERROR(VLOOKUP(A337,SOS!A:D,4,0),200)</f>
        <v>37</v>
      </c>
      <c r="G337">
        <f>B337*((366-F337)/365)^'Enhanced Matchup Model'!$F$14</f>
        <v>1.0886240982651816</v>
      </c>
      <c r="H337">
        <f>D337*(2-((366-F337)/365)^'Enhanced Matchup Model'!$F$14)</f>
        <v>1.1589366906280949</v>
      </c>
    </row>
    <row r="338" spans="1:8" ht="15" customHeight="1" x14ac:dyDescent="0.25">
      <c r="A338" s="170" t="s">
        <v>54</v>
      </c>
      <c r="B338" s="168">
        <f>IFERROR(VLOOKUP(A338,'Team Stats'!$B$2:$T$366,3,0)/(VLOOKUP(A338,'Team Stats'!$B$2:$T$366,5,0)+0.44*VLOOKUP(A338,'Team Stats'!$B$2:$T$366,11,0)+VLOOKUP(A338,'Team Stats'!$B$2:$T$366,19,0)-VLOOKUP(A338,'Team Stats'!$B$2:$T$366,13,0)),1)</f>
        <v>1.1491463484268829</v>
      </c>
      <c r="C338" s="168">
        <f>IFERROR((VLOOKUP(A338,'Team Stats'!$B$2:$T$366,5,0)+0.44*VLOOKUP(A338,'Team Stats'!$B$2:$T$366,11,0)+VLOOKUP(A338,'Team Stats'!$B$2:$T$366,19,0)-VLOOKUP(A338,'Team Stats'!$B$2:$T$366,13,0)),70)</f>
        <v>70.051999999999992</v>
      </c>
      <c r="D338" s="168">
        <f>IFERROR(VLOOKUP(A338,'Opponents stats vs'!$B$2:$D$366,3,0)/C338,1.05)</f>
        <v>0.96642494147204949</v>
      </c>
      <c r="E338" s="169">
        <f>IFERROR(VLOOKUP(A338,SOS!A:C,3,0),200)</f>
        <v>146</v>
      </c>
      <c r="F338">
        <f>IFERROR(VLOOKUP(A338,SOS!A:D,4,0),200)</f>
        <v>262</v>
      </c>
      <c r="G338">
        <f>B338*((366-F338)/365)^'Enhanced Matchup Model'!$F$14</f>
        <v>1.079225914472314</v>
      </c>
      <c r="H338">
        <f>D338*(2-((366-F338)/365)^'Enhanced Matchup Model'!$F$14)</f>
        <v>1.0252275921394325</v>
      </c>
    </row>
    <row r="339" spans="1:8" ht="15" customHeight="1" x14ac:dyDescent="0.25">
      <c r="A339" s="167" t="s">
        <v>455</v>
      </c>
      <c r="B339" s="168">
        <f>IFERROR(VLOOKUP(A339,'Team Stats'!$B$2:$T$366,3,0)/(VLOOKUP(A339,'Team Stats'!$B$2:$T$366,5,0)+0.44*VLOOKUP(A339,'Team Stats'!$B$2:$T$366,11,0)+VLOOKUP(A339,'Team Stats'!$B$2:$T$366,19,0)-VLOOKUP(A339,'Team Stats'!$B$2:$T$366,13,0)),1)</f>
        <v>1.195972069940562</v>
      </c>
      <c r="C339" s="168">
        <f>IFERROR((VLOOKUP(A339,'Team Stats'!$B$2:$T$366,5,0)+0.44*VLOOKUP(A339,'Team Stats'!$B$2:$T$366,11,0)+VLOOKUP(A339,'Team Stats'!$B$2:$T$366,19,0)-VLOOKUP(A339,'Team Stats'!$B$2:$T$366,13,0)),70)</f>
        <v>69.316000000000003</v>
      </c>
      <c r="D339" s="168">
        <f>IFERROR(VLOOKUP(A339,'Opponents stats vs'!$B$2:$D$366,3,0)/C339,1.05)</f>
        <v>1.0459345605632178</v>
      </c>
      <c r="E339" s="169">
        <f>IFERROR(VLOOKUP(A339,SOS!A:C,3,0),200)</f>
        <v>38</v>
      </c>
      <c r="F339">
        <f>IFERROR(VLOOKUP(A339,SOS!A:D,4,0),200)</f>
        <v>95</v>
      </c>
      <c r="G339">
        <f>B339*((366-F339)/365)^'Enhanced Matchup Model'!$F$14</f>
        <v>1.1782972357007824</v>
      </c>
      <c r="H339">
        <f>D339*(2-((366-F339)/365)^'Enhanced Matchup Model'!$F$14)</f>
        <v>1.0613920452723136</v>
      </c>
    </row>
    <row r="340" spans="1:8" ht="15" customHeight="1" x14ac:dyDescent="0.25">
      <c r="A340" s="170" t="s">
        <v>456</v>
      </c>
      <c r="B340" s="168">
        <f>IFERROR(VLOOKUP(A340,'Team Stats'!$B$2:$T$366,3,0)/(VLOOKUP(A340,'Team Stats'!$B$2:$T$366,5,0)+0.44*VLOOKUP(A340,'Team Stats'!$B$2:$T$366,11,0)+VLOOKUP(A340,'Team Stats'!$B$2:$T$366,19,0)-VLOOKUP(A340,'Team Stats'!$B$2:$T$366,13,0)),1)</f>
        <v>1.0590104136024003</v>
      </c>
      <c r="C340" s="168">
        <f>IFERROR((VLOOKUP(A340,'Team Stats'!$B$2:$T$366,5,0)+0.44*VLOOKUP(A340,'Team Stats'!$B$2:$T$366,11,0)+VLOOKUP(A340,'Team Stats'!$B$2:$T$366,19,0)-VLOOKUP(A340,'Team Stats'!$B$2:$T$366,13,0)),70)</f>
        <v>67.988</v>
      </c>
      <c r="D340" s="168">
        <f>IFERROR(VLOOKUP(A340,'Opponents stats vs'!$B$2:$D$366,3,0)/C340,1.05)</f>
        <v>1.1752073895393305</v>
      </c>
      <c r="E340" s="169">
        <f>IFERROR(VLOOKUP(A340,SOS!A:C,3,0),200)</f>
        <v>357</v>
      </c>
      <c r="F340">
        <f>IFERROR(VLOOKUP(A340,SOS!A:D,4,0),200)</f>
        <v>271</v>
      </c>
      <c r="G340">
        <f>B340*((366-F340)/365)^'Enhanced Matchup Model'!$F$14</f>
        <v>0.99008337413833425</v>
      </c>
      <c r="H340">
        <f>D340*(2-((366-F340)/365)^'Enhanced Matchup Model'!$F$14)</f>
        <v>1.2516972569445928</v>
      </c>
    </row>
    <row r="341" spans="1:8" ht="15" customHeight="1" x14ac:dyDescent="0.25">
      <c r="A341" s="167" t="s">
        <v>457</v>
      </c>
      <c r="B341" s="168">
        <f>IFERROR(VLOOKUP(A341,'Team Stats'!$B$2:$T$366,3,0)/(VLOOKUP(A341,'Team Stats'!$B$2:$T$366,5,0)+0.44*VLOOKUP(A341,'Team Stats'!$B$2:$T$366,11,0)+VLOOKUP(A341,'Team Stats'!$B$2:$T$366,19,0)-VLOOKUP(A341,'Team Stats'!$B$2:$T$366,13,0)),1)</f>
        <v>1.0844541378892523</v>
      </c>
      <c r="C341" s="168">
        <f>IFERROR((VLOOKUP(A341,'Team Stats'!$B$2:$T$366,5,0)+0.44*VLOOKUP(A341,'Team Stats'!$B$2:$T$366,11,0)+VLOOKUP(A341,'Team Stats'!$B$2:$T$366,19,0)-VLOOKUP(A341,'Team Stats'!$B$2:$T$366,13,0)),70)</f>
        <v>66.024000000000001</v>
      </c>
      <c r="D341" s="168">
        <f>IFERROR(VLOOKUP(A341,'Opponents stats vs'!$B$2:$D$366,3,0)/C341,1.05)</f>
        <v>1.0738519326305587</v>
      </c>
      <c r="E341" s="169">
        <f>IFERROR(VLOOKUP(A341,SOS!A:C,3,0),200)</f>
        <v>115</v>
      </c>
      <c r="F341">
        <f>IFERROR(VLOOKUP(A341,SOS!A:D,4,0),200)</f>
        <v>123</v>
      </c>
      <c r="G341">
        <f>B341*((366-F341)/365)^'Enhanced Matchup Model'!$F$14</f>
        <v>1.0626172473380866</v>
      </c>
      <c r="H341">
        <f>D341*(2-((366-F341)/365)^'Enhanced Matchup Model'!$F$14)</f>
        <v>1.0954753340282912</v>
      </c>
    </row>
    <row r="342" spans="1:8" ht="15" customHeight="1" x14ac:dyDescent="0.25">
      <c r="A342" s="170" t="s">
        <v>24</v>
      </c>
      <c r="B342" s="168">
        <f>IFERROR(VLOOKUP(A342,'Team Stats'!$B$2:$T$366,3,0)/(VLOOKUP(A342,'Team Stats'!$B$2:$T$366,5,0)+0.44*VLOOKUP(A342,'Team Stats'!$B$2:$T$366,11,0)+VLOOKUP(A342,'Team Stats'!$B$2:$T$366,19,0)-VLOOKUP(A342,'Team Stats'!$B$2:$T$366,13,0)),1)</f>
        <v>1.2279117032687858</v>
      </c>
      <c r="C342" s="168">
        <f>IFERROR((VLOOKUP(A342,'Team Stats'!$B$2:$T$366,5,0)+0.44*VLOOKUP(A342,'Team Stats'!$B$2:$T$366,11,0)+VLOOKUP(A342,'Team Stats'!$B$2:$T$366,19,0)-VLOOKUP(A342,'Team Stats'!$B$2:$T$366,13,0)),70)</f>
        <v>70.85199999999999</v>
      </c>
      <c r="D342" s="168">
        <f>IFERROR(VLOOKUP(A342,'Opponents stats vs'!$B$2:$D$366,3,0)/C342,1.05)</f>
        <v>1.0571331790210583</v>
      </c>
      <c r="E342" s="169">
        <f>IFERROR(VLOOKUP(A342,SOS!A:C,3,0),200)</f>
        <v>12</v>
      </c>
      <c r="F342">
        <f>IFERROR(VLOOKUP(A342,SOS!A:D,4,0),200)</f>
        <v>10</v>
      </c>
      <c r="G342">
        <f>B342*((366-F342)/365)^'Enhanced Matchup Model'!$F$14</f>
        <v>1.2263798192049133</v>
      </c>
      <c r="H342">
        <f>D342*(2-((366-F342)/365)^'Enhanced Matchup Model'!$F$14)</f>
        <v>1.0584520079450128</v>
      </c>
    </row>
    <row r="343" spans="1:8" ht="15" customHeight="1" x14ac:dyDescent="0.25">
      <c r="A343" s="167" t="s">
        <v>458</v>
      </c>
      <c r="B343" s="168">
        <f>IFERROR(VLOOKUP(A343,'Team Stats'!$B$2:$T$366,3,0)/(VLOOKUP(A343,'Team Stats'!$B$2:$T$366,5,0)+0.44*VLOOKUP(A343,'Team Stats'!$B$2:$T$366,11,0)+VLOOKUP(A343,'Team Stats'!$B$2:$T$366,19,0)-VLOOKUP(A343,'Team Stats'!$B$2:$T$366,13,0)),1)</f>
        <v>1.1396493386650262</v>
      </c>
      <c r="C343" s="168">
        <f>IFERROR((VLOOKUP(A343,'Team Stats'!$B$2:$T$366,5,0)+0.44*VLOOKUP(A343,'Team Stats'!$B$2:$T$366,11,0)+VLOOKUP(A343,'Team Stats'!$B$2:$T$366,19,0)-VLOOKUP(A343,'Team Stats'!$B$2:$T$366,13,0)),70)</f>
        <v>65.02</v>
      </c>
      <c r="D343" s="168">
        <f>IFERROR(VLOOKUP(A343,'Opponents stats vs'!$B$2:$D$366,3,0)/C343,1.05)</f>
        <v>1.0642879114118733</v>
      </c>
      <c r="E343" s="169">
        <f>IFERROR(VLOOKUP(A343,SOS!A:C,3,0),200)</f>
        <v>300</v>
      </c>
      <c r="F343">
        <f>IFERROR(VLOOKUP(A343,SOS!A:D,4,0),200)</f>
        <v>355</v>
      </c>
      <c r="G343">
        <f>B343*((366-F343)/365)^'Enhanced Matchup Model'!$F$14</f>
        <v>0.95659087515379793</v>
      </c>
      <c r="H343">
        <f>D343*(2-((366-F343)/365)^'Enhanced Matchup Model'!$F$14)</f>
        <v>1.2352412943400377</v>
      </c>
    </row>
    <row r="344" spans="1:8" ht="15" customHeight="1" x14ac:dyDescent="0.25">
      <c r="A344" s="170" t="s">
        <v>59</v>
      </c>
      <c r="B344" s="168">
        <f>IFERROR(VLOOKUP(A344,'Team Stats'!$B$2:$T$366,3,0)/(VLOOKUP(A344,'Team Stats'!$B$2:$T$366,5,0)+0.44*VLOOKUP(A344,'Team Stats'!$B$2:$T$366,11,0)+VLOOKUP(A344,'Team Stats'!$B$2:$T$366,19,0)-VLOOKUP(A344,'Team Stats'!$B$2:$T$366,13,0)),1)</f>
        <v>1.1585622407886036</v>
      </c>
      <c r="C344" s="168">
        <f>IFERROR((VLOOKUP(A344,'Team Stats'!$B$2:$T$366,5,0)+0.44*VLOOKUP(A344,'Team Stats'!$B$2:$T$366,11,0)+VLOOKUP(A344,'Team Stats'!$B$2:$T$366,19,0)-VLOOKUP(A344,'Team Stats'!$B$2:$T$366,13,0)),70)</f>
        <v>66.548000000000002</v>
      </c>
      <c r="D344" s="168">
        <f>IFERROR(VLOOKUP(A344,'Opponents stats vs'!$B$2:$D$366,3,0)/C344,1.05)</f>
        <v>1.0563803570355232</v>
      </c>
      <c r="E344" s="169">
        <f>IFERROR(VLOOKUP(A344,SOS!A:C,3,0),200)</f>
        <v>22</v>
      </c>
      <c r="F344">
        <f>IFERROR(VLOOKUP(A344,SOS!A:D,4,0),200)</f>
        <v>27</v>
      </c>
      <c r="G344">
        <f>B344*((366-F344)/365)^'Enhanced Matchup Model'!$F$14</f>
        <v>1.1542894114503033</v>
      </c>
      <c r="H344">
        <f>D344*(2-((366-F344)/365)^'Enhanced Matchup Model'!$F$14)</f>
        <v>1.0602763350184354</v>
      </c>
    </row>
    <row r="345" spans="1:8" ht="15" customHeight="1" x14ac:dyDescent="0.25">
      <c r="A345" s="167" t="s">
        <v>72</v>
      </c>
      <c r="B345" s="168">
        <f>IFERROR(VLOOKUP(A345,'Team Stats'!$B$2:$T$366,3,0)/(VLOOKUP(A345,'Team Stats'!$B$2:$T$366,5,0)+0.44*VLOOKUP(A345,'Team Stats'!$B$2:$T$366,11,0)+VLOOKUP(A345,'Team Stats'!$B$2:$T$366,19,0)-VLOOKUP(A345,'Team Stats'!$B$2:$T$366,13,0)),1)</f>
        <v>1.2034230700659656</v>
      </c>
      <c r="C345" s="168">
        <f>IFERROR((VLOOKUP(A345,'Team Stats'!$B$2:$T$366,5,0)+0.44*VLOOKUP(A345,'Team Stats'!$B$2:$T$366,11,0)+VLOOKUP(A345,'Team Stats'!$B$2:$T$366,19,0)-VLOOKUP(A345,'Team Stats'!$B$2:$T$366,13,0)),70)</f>
        <v>67.307999999999993</v>
      </c>
      <c r="D345" s="168">
        <f>IFERROR(VLOOKUP(A345,'Opponents stats vs'!$B$2:$D$366,3,0)/C345,1.05)</f>
        <v>1.0117668033517562</v>
      </c>
      <c r="E345" s="169">
        <f>IFERROR(VLOOKUP(A345,SOS!A:C,3,0),200)</f>
        <v>18</v>
      </c>
      <c r="F345">
        <f>IFERROR(VLOOKUP(A345,SOS!A:D,4,0),200)</f>
        <v>71</v>
      </c>
      <c r="G345">
        <f>B345*((366-F345)/365)^'Enhanced Matchup Model'!$F$14</f>
        <v>1.1906792641651966</v>
      </c>
      <c r="H345">
        <f>D345*(2-((366-F345)/365)^'Enhanced Matchup Model'!$F$14)</f>
        <v>1.0224810401646249</v>
      </c>
    </row>
    <row r="346" spans="1:8" ht="15" customHeight="1" x14ac:dyDescent="0.25">
      <c r="A346" s="170" t="s">
        <v>459</v>
      </c>
      <c r="B346" s="168">
        <f>IFERROR(VLOOKUP(A346,'Team Stats'!$B$2:$T$366,3,0)/(VLOOKUP(A346,'Team Stats'!$B$2:$T$366,5,0)+0.44*VLOOKUP(A346,'Team Stats'!$B$2:$T$366,11,0)+VLOOKUP(A346,'Team Stats'!$B$2:$T$366,19,0)-VLOOKUP(A346,'Team Stats'!$B$2:$T$366,13,0)),1)</f>
        <v>1.1362323862323862</v>
      </c>
      <c r="C346" s="168">
        <f>IFERROR((VLOOKUP(A346,'Team Stats'!$B$2:$T$366,5,0)+0.44*VLOOKUP(A346,'Team Stats'!$B$2:$T$366,11,0)+VLOOKUP(A346,'Team Stats'!$B$2:$T$366,19,0)-VLOOKUP(A346,'Team Stats'!$B$2:$T$366,13,0)),70)</f>
        <v>69.26400000000001</v>
      </c>
      <c r="D346" s="168">
        <f>IFERROR(VLOOKUP(A346,'Opponents stats vs'!$B$2:$D$366,3,0)/C346,1.05)</f>
        <v>1.0712635712635712</v>
      </c>
      <c r="E346" s="169">
        <f>IFERROR(VLOOKUP(A346,SOS!A:C,3,0),200)</f>
        <v>50</v>
      </c>
      <c r="F346">
        <f>IFERROR(VLOOKUP(A346,SOS!A:D,4,0),200)</f>
        <v>66</v>
      </c>
      <c r="G346">
        <f>B346*((366-F346)/365)^'Enhanced Matchup Model'!$F$14</f>
        <v>1.1251452301344871</v>
      </c>
      <c r="H346">
        <f>D346*(2-((366-F346)/365)^'Enhanced Matchup Model'!$F$14)</f>
        <v>1.0817167730737887</v>
      </c>
    </row>
    <row r="347" spans="1:8" ht="15" customHeight="1" x14ac:dyDescent="0.25">
      <c r="A347" s="167" t="s">
        <v>460</v>
      </c>
      <c r="B347" s="168">
        <f>IFERROR(VLOOKUP(A347,'Team Stats'!$B$2:$T$366,3,0)/(VLOOKUP(A347,'Team Stats'!$B$2:$T$366,5,0)+0.44*VLOOKUP(A347,'Team Stats'!$B$2:$T$366,11,0)+VLOOKUP(A347,'Team Stats'!$B$2:$T$366,19,0)-VLOOKUP(A347,'Team Stats'!$B$2:$T$366,13,0)),1)</f>
        <v>1.0720258002866698</v>
      </c>
      <c r="C347" s="168">
        <f>IFERROR((VLOOKUP(A347,'Team Stats'!$B$2:$T$366,5,0)+0.44*VLOOKUP(A347,'Team Stats'!$B$2:$T$366,11,0)+VLOOKUP(A347,'Team Stats'!$B$2:$T$366,19,0)-VLOOKUP(A347,'Team Stats'!$B$2:$T$366,13,0)),70)</f>
        <v>66.975999999999999</v>
      </c>
      <c r="D347" s="168">
        <f>IFERROR(VLOOKUP(A347,'Opponents stats vs'!$B$2:$D$366,3,0)/C347,1.05)</f>
        <v>1.073518872431916</v>
      </c>
      <c r="E347" s="169">
        <f>IFERROR(VLOOKUP(A347,SOS!A:C,3,0),200)</f>
        <v>313</v>
      </c>
      <c r="F347">
        <f>IFERROR(VLOOKUP(A347,SOS!A:D,4,0),200)</f>
        <v>338</v>
      </c>
      <c r="G347">
        <f>B347*((366-F347)/365)^'Enhanced Matchup Model'!$F$14</f>
        <v>0.94286278836616522</v>
      </c>
      <c r="H347">
        <f>D347*(2-((366-F347)/365)^'Enhanced Matchup Model'!$F$14)</f>
        <v>1.202861777126683</v>
      </c>
    </row>
    <row r="348" spans="1:8" ht="15" customHeight="1" x14ac:dyDescent="0.25">
      <c r="A348" s="170" t="s">
        <v>461</v>
      </c>
      <c r="B348" s="168">
        <f>IFERROR(VLOOKUP(A348,'Team Stats'!$B$2:$T$366,3,0)/(VLOOKUP(A348,'Team Stats'!$B$2:$T$366,5,0)+0.44*VLOOKUP(A348,'Team Stats'!$B$2:$T$366,11,0)+VLOOKUP(A348,'Team Stats'!$B$2:$T$366,19,0)-VLOOKUP(A348,'Team Stats'!$B$2:$T$366,13,0)),1)</f>
        <v>1.1309489637751882</v>
      </c>
      <c r="C348" s="168">
        <f>IFERROR((VLOOKUP(A348,'Team Stats'!$B$2:$T$366,5,0)+0.44*VLOOKUP(A348,'Team Stats'!$B$2:$T$366,11,0)+VLOOKUP(A348,'Team Stats'!$B$2:$T$366,19,0)-VLOOKUP(A348,'Team Stats'!$B$2:$T$366,13,0)),70)</f>
        <v>69.675999999999988</v>
      </c>
      <c r="D348" s="168">
        <f>IFERROR(VLOOKUP(A348,'Opponents stats vs'!$B$2:$D$366,3,0)/C348,1.05)</f>
        <v>1.1051151041965672</v>
      </c>
      <c r="E348" s="169">
        <f>IFERROR(VLOOKUP(A348,SOS!A:C,3,0),200)</f>
        <v>76</v>
      </c>
      <c r="F348">
        <f>IFERROR(VLOOKUP(A348,SOS!A:D,4,0),200)</f>
        <v>38</v>
      </c>
      <c r="G348">
        <f>B348*((366-F348)/365)^'Enhanced Matchup Model'!$F$14</f>
        <v>1.1249210821419993</v>
      </c>
      <c r="H348">
        <f>D348*(2-((366-F348)/365)^'Enhanced Matchup Model'!$F$14)</f>
        <v>1.1110052931020944</v>
      </c>
    </row>
    <row r="349" spans="1:8" ht="15" customHeight="1" x14ac:dyDescent="0.25">
      <c r="A349" s="167" t="s">
        <v>462</v>
      </c>
      <c r="B349" s="168">
        <f>IFERROR(VLOOKUP(A349,'Team Stats'!$B$2:$T$366,3,0)/(VLOOKUP(A349,'Team Stats'!$B$2:$T$366,5,0)+0.44*VLOOKUP(A349,'Team Stats'!$B$2:$T$366,11,0)+VLOOKUP(A349,'Team Stats'!$B$2:$T$366,19,0)-VLOOKUP(A349,'Team Stats'!$B$2:$T$366,13,0)),1)</f>
        <v>1.1256237158790725</v>
      </c>
      <c r="C349" s="168">
        <f>IFERROR((VLOOKUP(A349,'Team Stats'!$B$2:$T$366,5,0)+0.44*VLOOKUP(A349,'Team Stats'!$B$2:$T$366,11,0)+VLOOKUP(A349,'Team Stats'!$B$2:$T$366,19,0)-VLOOKUP(A349,'Team Stats'!$B$2:$T$366,13,0)),70)</f>
        <v>68.14</v>
      </c>
      <c r="D349" s="168">
        <f>IFERROR(VLOOKUP(A349,'Opponents stats vs'!$B$2:$D$366,3,0)/C349,1.05)</f>
        <v>1.0669210449075432</v>
      </c>
      <c r="E349" s="169">
        <f>IFERROR(VLOOKUP(A349,SOS!A:C,3,0),200)</f>
        <v>78</v>
      </c>
      <c r="F349">
        <f>IFERROR(VLOOKUP(A349,SOS!A:D,4,0),200)</f>
        <v>32</v>
      </c>
      <c r="G349">
        <f>B349*((366-F349)/365)^'Enhanced Matchup Model'!$F$14</f>
        <v>1.1206394704246652</v>
      </c>
      <c r="H349">
        <f>D349*(2-((366-F349)/365)^'Enhanced Matchup Model'!$F$14)</f>
        <v>1.0716453557880572</v>
      </c>
    </row>
    <row r="350" spans="1:8" ht="15" customHeight="1" x14ac:dyDescent="0.25">
      <c r="A350" s="170" t="s">
        <v>463</v>
      </c>
      <c r="B350" s="168">
        <f>IFERROR(VLOOKUP(A350,'Team Stats'!$B$2:$T$366,3,0)/(VLOOKUP(A350,'Team Stats'!$B$2:$T$366,5,0)+0.44*VLOOKUP(A350,'Team Stats'!$B$2:$T$366,11,0)+VLOOKUP(A350,'Team Stats'!$B$2:$T$366,19,0)-VLOOKUP(A350,'Team Stats'!$B$2:$T$366,13,0)),1)</f>
        <v>1.1197092273420097</v>
      </c>
      <c r="C350" s="168">
        <f>IFERROR((VLOOKUP(A350,'Team Stats'!$B$2:$T$366,5,0)+0.44*VLOOKUP(A350,'Team Stats'!$B$2:$T$366,11,0)+VLOOKUP(A350,'Team Stats'!$B$2:$T$366,19,0)-VLOOKUP(A350,'Team Stats'!$B$2:$T$366,13,0)),70)</f>
        <v>68.231999999999999</v>
      </c>
      <c r="D350" s="168">
        <f>IFERROR(VLOOKUP(A350,'Opponents stats vs'!$B$2:$D$366,3,0)/C350,1.05)</f>
        <v>1.1372962832688474</v>
      </c>
      <c r="E350" s="169">
        <f>IFERROR(VLOOKUP(A350,SOS!A:C,3,0),200)</f>
        <v>157</v>
      </c>
      <c r="F350">
        <f>IFERROR(VLOOKUP(A350,SOS!A:D,4,0),200)</f>
        <v>93</v>
      </c>
      <c r="G350">
        <f>B350*((366-F350)/365)^'Enhanced Matchup Model'!$F$14</f>
        <v>1.1035671042433077</v>
      </c>
      <c r="H350">
        <f>D350*(2-((366-F350)/365)^'Enhanced Matchup Model'!$F$14)</f>
        <v>1.1536919475680523</v>
      </c>
    </row>
    <row r="351" spans="1:8" ht="15" customHeight="1" x14ac:dyDescent="0.25">
      <c r="A351" s="167" t="s">
        <v>464</v>
      </c>
      <c r="B351" s="168">
        <f>IFERROR(VLOOKUP(A351,'Team Stats'!$B$2:$T$366,3,0)/(VLOOKUP(A351,'Team Stats'!$B$2:$T$366,5,0)+0.44*VLOOKUP(A351,'Team Stats'!$B$2:$T$366,11,0)+VLOOKUP(A351,'Team Stats'!$B$2:$T$366,19,0)-VLOOKUP(A351,'Team Stats'!$B$2:$T$366,13,0)),1)</f>
        <v>1.1484997457196136</v>
      </c>
      <c r="C351" s="168">
        <f>IFERROR((VLOOKUP(A351,'Team Stats'!$B$2:$T$366,5,0)+0.44*VLOOKUP(A351,'Team Stats'!$B$2:$T$366,11,0)+VLOOKUP(A351,'Team Stats'!$B$2:$T$366,19,0)-VLOOKUP(A351,'Team Stats'!$B$2:$T$366,13,0)),70)</f>
        <v>70.787999999999997</v>
      </c>
      <c r="D351" s="168">
        <f>IFERROR(VLOOKUP(A351,'Opponents stats vs'!$B$2:$D$366,3,0)/C351,1.05)</f>
        <v>1.0891676555348364</v>
      </c>
      <c r="E351" s="169">
        <f>IFERROR(VLOOKUP(A351,SOS!A:C,3,0),200)</f>
        <v>229</v>
      </c>
      <c r="F351">
        <f>IFERROR(VLOOKUP(A351,SOS!A:D,4,0),200)</f>
        <v>260</v>
      </c>
      <c r="G351">
        <f>B351*((366-F351)/365)^'Enhanced Matchup Model'!$F$14</f>
        <v>1.0796464309341276</v>
      </c>
      <c r="H351">
        <f>D351*(2-((366-F351)/365)^'Enhanced Matchup Model'!$F$14)</f>
        <v>1.1544639725085259</v>
      </c>
    </row>
    <row r="352" spans="1:8" ht="15" customHeight="1" x14ac:dyDescent="0.25">
      <c r="A352" s="170" t="s">
        <v>465</v>
      </c>
      <c r="B352" s="168">
        <f>IFERROR(VLOOKUP(A352,'Team Stats'!$B$2:$T$366,3,0)/(VLOOKUP(A352,'Team Stats'!$B$2:$T$366,5,0)+0.44*VLOOKUP(A352,'Team Stats'!$B$2:$T$366,11,0)+VLOOKUP(A352,'Team Stats'!$B$2:$T$366,19,0)-VLOOKUP(A352,'Team Stats'!$B$2:$T$366,13,0)),1)</f>
        <v>1.0908987872605689</v>
      </c>
      <c r="C352" s="168">
        <f>IFERROR((VLOOKUP(A352,'Team Stats'!$B$2:$T$366,5,0)+0.44*VLOOKUP(A352,'Team Stats'!$B$2:$T$366,11,0)+VLOOKUP(A352,'Team Stats'!$B$2:$T$366,19,0)-VLOOKUP(A352,'Team Stats'!$B$2:$T$366,13,0)),70)</f>
        <v>70.584000000000003</v>
      </c>
      <c r="D352" s="168">
        <f>IFERROR(VLOOKUP(A352,'Opponents stats vs'!$B$2:$D$366,3,0)/C352,1.05)</f>
        <v>1.1319845857418112</v>
      </c>
      <c r="E352" s="169">
        <f>IFERROR(VLOOKUP(A352,SOS!A:C,3,0),200)</f>
        <v>291</v>
      </c>
      <c r="F352">
        <f>IFERROR(VLOOKUP(A352,SOS!A:D,4,0),200)</f>
        <v>309</v>
      </c>
      <c r="G352">
        <f>B352*((366-F352)/365)^'Enhanced Matchup Model'!$F$14</f>
        <v>0.99417664946705164</v>
      </c>
      <c r="H352">
        <f>D352*(2-((366-F352)/365)^'Enhanced Matchup Model'!$F$14)</f>
        <v>1.2323495053483309</v>
      </c>
    </row>
    <row r="353" spans="1:8" ht="15" customHeight="1" x14ac:dyDescent="0.25">
      <c r="A353" s="167" t="s">
        <v>466</v>
      </c>
      <c r="B353" s="168">
        <f>IFERROR(VLOOKUP(A353,'Team Stats'!$B$2:$T$366,3,0)/(VLOOKUP(A353,'Team Stats'!$B$2:$T$366,5,0)+0.44*VLOOKUP(A353,'Team Stats'!$B$2:$T$366,11,0)+VLOOKUP(A353,'Team Stats'!$B$2:$T$366,19,0)-VLOOKUP(A353,'Team Stats'!$B$2:$T$366,13,0)),1)</f>
        <v>1.084247258225324</v>
      </c>
      <c r="C353" s="168">
        <f>IFERROR((VLOOKUP(A353,'Team Stats'!$B$2:$T$366,5,0)+0.44*VLOOKUP(A353,'Team Stats'!$B$2:$T$366,11,0)+VLOOKUP(A353,'Team Stats'!$B$2:$T$366,19,0)-VLOOKUP(A353,'Team Stats'!$B$2:$T$366,13,0)),70)</f>
        <v>64.191999999999993</v>
      </c>
      <c r="D353" s="168">
        <f>IFERROR(VLOOKUP(A353,'Opponents stats vs'!$B$2:$D$366,3,0)/C353,1.05)</f>
        <v>1.0079137587238287</v>
      </c>
      <c r="E353" s="169">
        <f>IFERROR(VLOOKUP(A353,SOS!A:C,3,0),200)</f>
        <v>71</v>
      </c>
      <c r="F353">
        <f>IFERROR(VLOOKUP(A353,SOS!A:D,4,0),200)</f>
        <v>74</v>
      </c>
      <c r="G353">
        <f>B353*((366-F353)/365)^'Enhanced Matchup Model'!$F$14</f>
        <v>1.0722173537230526</v>
      </c>
      <c r="H353">
        <f>D353*(2-((366-F353)/365)^'Enhanced Matchup Model'!$F$14)</f>
        <v>1.0190967302941873</v>
      </c>
    </row>
    <row r="354" spans="1:8" ht="15" customHeight="1" x14ac:dyDescent="0.25">
      <c r="A354" s="170" t="s">
        <v>467</v>
      </c>
      <c r="B354" s="168">
        <f>IFERROR(VLOOKUP(A354,'Team Stats'!$B$2:$T$366,3,0)/(VLOOKUP(A354,'Team Stats'!$B$2:$T$366,5,0)+0.44*VLOOKUP(A354,'Team Stats'!$B$2:$T$366,11,0)+VLOOKUP(A354,'Team Stats'!$B$2:$T$366,19,0)-VLOOKUP(A354,'Team Stats'!$B$2:$T$366,13,0)),1)</f>
        <v>1.1355132116746303</v>
      </c>
      <c r="C354" s="168">
        <f>IFERROR((VLOOKUP(A354,'Team Stats'!$B$2:$T$366,5,0)+0.44*VLOOKUP(A354,'Team Stats'!$B$2:$T$366,11,0)+VLOOKUP(A354,'Team Stats'!$B$2:$T$366,19,0)-VLOOKUP(A354,'Team Stats'!$B$2:$T$366,13,0)),70)</f>
        <v>69.483999999999995</v>
      </c>
      <c r="D354" s="168">
        <f>IFERROR(VLOOKUP(A354,'Opponents stats vs'!$B$2:$D$366,3,0)/C354,1.05)</f>
        <v>1.1196822290023603</v>
      </c>
      <c r="E354" s="169">
        <f>IFERROR(VLOOKUP(A354,SOS!A:C,3,0),200)</f>
        <v>166</v>
      </c>
      <c r="F354">
        <f>IFERROR(VLOOKUP(A354,SOS!A:D,4,0),200)</f>
        <v>186</v>
      </c>
      <c r="G354">
        <f>B354*((366-F354)/365)^'Enhanced Matchup Model'!$F$14</f>
        <v>1.0960772750551449</v>
      </c>
      <c r="H354">
        <f>D354*(2-((366-F354)/365)^'Enhanced Matchup Model'!$F$14)</f>
        <v>1.1585683616892548</v>
      </c>
    </row>
    <row r="355" spans="1:8" ht="15" customHeight="1" x14ac:dyDescent="0.25">
      <c r="A355" s="167" t="s">
        <v>468</v>
      </c>
      <c r="B355" s="168">
        <f>IFERROR(VLOOKUP(A355,'Team Stats'!$B$2:$T$366,3,0)/(VLOOKUP(A355,'Team Stats'!$B$2:$T$366,5,0)+0.44*VLOOKUP(A355,'Team Stats'!$B$2:$T$366,11,0)+VLOOKUP(A355,'Team Stats'!$B$2:$T$366,19,0)-VLOOKUP(A355,'Team Stats'!$B$2:$T$366,13,0)),1)</f>
        <v>0.97353894155766241</v>
      </c>
      <c r="C355" s="168">
        <f>IFERROR((VLOOKUP(A355,'Team Stats'!$B$2:$T$366,5,0)+0.44*VLOOKUP(A355,'Team Stats'!$B$2:$T$366,11,0)+VLOOKUP(A355,'Team Stats'!$B$2:$T$366,19,0)-VLOOKUP(A355,'Team Stats'!$B$2:$T$366,13,0)),70)</f>
        <v>66.664000000000001</v>
      </c>
      <c r="D355" s="168">
        <f>IFERROR(VLOOKUP(A355,'Opponents stats vs'!$B$2:$D$366,3,0)/C355,1.05)</f>
        <v>1.1520460818432736</v>
      </c>
      <c r="E355" s="169">
        <f>IFERROR(VLOOKUP(A355,SOS!A:C,3,0),200)</f>
        <v>365</v>
      </c>
      <c r="F355">
        <f>IFERROR(VLOOKUP(A355,SOS!A:D,4,0),200)</f>
        <v>351</v>
      </c>
      <c r="G355">
        <f>B355*((366-F355)/365)^'Enhanced Matchup Model'!$F$14</f>
        <v>0.82993340944543215</v>
      </c>
      <c r="H355">
        <f>D355*(2-((366-F355)/365)^'Enhanced Matchup Model'!$F$14)</f>
        <v>1.3219829827095182</v>
      </c>
    </row>
    <row r="356" spans="1:8" ht="15" customHeight="1" x14ac:dyDescent="0.25">
      <c r="A356" s="170" t="s">
        <v>469</v>
      </c>
      <c r="B356" s="168">
        <f>IFERROR(VLOOKUP(A356,'Team Stats'!$B$2:$T$366,3,0)/(VLOOKUP(A356,'Team Stats'!$B$2:$T$366,5,0)+0.44*VLOOKUP(A356,'Team Stats'!$B$2:$T$366,11,0)+VLOOKUP(A356,'Team Stats'!$B$2:$T$366,19,0)-VLOOKUP(A356,'Team Stats'!$B$2:$T$366,13,0)),1)</f>
        <v>1.1227375565610858</v>
      </c>
      <c r="C356" s="168">
        <f>IFERROR((VLOOKUP(A356,'Team Stats'!$B$2:$T$366,5,0)+0.44*VLOOKUP(A356,'Team Stats'!$B$2:$T$366,11,0)+VLOOKUP(A356,'Team Stats'!$B$2:$T$366,19,0)-VLOOKUP(A356,'Team Stats'!$B$2:$T$366,13,0)),70)</f>
        <v>70.720000000000013</v>
      </c>
      <c r="D356" s="168">
        <f>IFERROR(VLOOKUP(A356,'Opponents stats vs'!$B$2:$D$366,3,0)/C356,1.05)</f>
        <v>1.0591063348416287</v>
      </c>
      <c r="E356" s="169">
        <f>IFERROR(VLOOKUP(A356,SOS!A:C,3,0),200)</f>
        <v>104</v>
      </c>
      <c r="F356">
        <f>IFERROR(VLOOKUP(A356,SOS!A:D,4,0),200)</f>
        <v>149</v>
      </c>
      <c r="G356">
        <f>B356*((366-F356)/365)^'Enhanced Matchup Model'!$F$14</f>
        <v>1.0939225977767548</v>
      </c>
      <c r="H356">
        <f>D356*(2-((366-F356)/365)^'Enhanced Matchup Model'!$F$14)</f>
        <v>1.0862882040223139</v>
      </c>
    </row>
    <row r="357" spans="1:8" ht="15" customHeight="1" x14ac:dyDescent="0.25">
      <c r="A357" s="167" t="s">
        <v>470</v>
      </c>
      <c r="B357" s="168">
        <f>IFERROR(VLOOKUP(A357,'Team Stats'!$B$2:$T$366,3,0)/(VLOOKUP(A357,'Team Stats'!$B$2:$T$366,5,0)+0.44*VLOOKUP(A357,'Team Stats'!$B$2:$T$366,11,0)+VLOOKUP(A357,'Team Stats'!$B$2:$T$366,19,0)-VLOOKUP(A357,'Team Stats'!$B$2:$T$366,13,0)),1)</f>
        <v>1.072413001033651</v>
      </c>
      <c r="C357" s="168">
        <f>IFERROR((VLOOKUP(A357,'Team Stats'!$B$2:$T$366,5,0)+0.44*VLOOKUP(A357,'Team Stats'!$B$2:$T$366,11,0)+VLOOKUP(A357,'Team Stats'!$B$2:$T$366,19,0)-VLOOKUP(A357,'Team Stats'!$B$2:$T$366,13,0)),70)</f>
        <v>69.656000000000006</v>
      </c>
      <c r="D357" s="168">
        <f>IFERROR(VLOOKUP(A357,'Opponents stats vs'!$B$2:$D$366,3,0)/C357,1.05)</f>
        <v>1.1384518203744112</v>
      </c>
      <c r="E357" s="169">
        <f>IFERROR(VLOOKUP(A357,SOS!A:C,3,0),200)</f>
        <v>261</v>
      </c>
      <c r="F357">
        <f>IFERROR(VLOOKUP(A357,SOS!A:D,4,0),200)</f>
        <v>177</v>
      </c>
      <c r="G357">
        <f>B357*((366-F357)/365)^'Enhanced Matchup Model'!$F$14</f>
        <v>1.0376968952656207</v>
      </c>
      <c r="H357">
        <f>D357*(2-((366-F357)/365)^'Enhanced Matchup Model'!$F$14)</f>
        <v>1.1753057318523872</v>
      </c>
    </row>
    <row r="358" spans="1:8" ht="15" customHeight="1" x14ac:dyDescent="0.25">
      <c r="A358" s="170" t="s">
        <v>471</v>
      </c>
      <c r="B358" s="168">
        <f>IFERROR(VLOOKUP(A358,'Team Stats'!$B$2:$T$366,3,0)/(VLOOKUP(A358,'Team Stats'!$B$2:$T$366,5,0)+0.44*VLOOKUP(A358,'Team Stats'!$B$2:$T$366,11,0)+VLOOKUP(A358,'Team Stats'!$B$2:$T$366,19,0)-VLOOKUP(A358,'Team Stats'!$B$2:$T$366,13,0)),1)</f>
        <v>1.1510727584372602</v>
      </c>
      <c r="C358" s="168">
        <f>IFERROR((VLOOKUP(A358,'Team Stats'!$B$2:$T$366,5,0)+0.44*VLOOKUP(A358,'Team Stats'!$B$2:$T$366,11,0)+VLOOKUP(A358,'Team Stats'!$B$2:$T$366,19,0)-VLOOKUP(A358,'Team Stats'!$B$2:$T$366,13,0)),70)</f>
        <v>67.675999999999988</v>
      </c>
      <c r="D358" s="168">
        <f>IFERROR(VLOOKUP(A358,'Opponents stats vs'!$B$2:$D$366,3,0)/C358,1.05)</f>
        <v>1.0417282345292276</v>
      </c>
      <c r="E358" s="169">
        <f>IFERROR(VLOOKUP(A358,SOS!A:C,3,0),200)</f>
        <v>69</v>
      </c>
      <c r="F358">
        <f>IFERROR(VLOOKUP(A358,SOS!A:D,4,0),200)</f>
        <v>112</v>
      </c>
      <c r="G358">
        <f>B358*((366-F358)/365)^'Enhanced Matchup Model'!$F$14</f>
        <v>1.1303939345880436</v>
      </c>
      <c r="H358">
        <f>D358*(2-((366-F358)/365)^'Enhanced Matchup Model'!$F$14)</f>
        <v>1.0604427028394943</v>
      </c>
    </row>
    <row r="359" spans="1:8" ht="15" customHeight="1" x14ac:dyDescent="0.25">
      <c r="A359" s="167" t="s">
        <v>472</v>
      </c>
      <c r="B359" s="168">
        <f>IFERROR(VLOOKUP(A359,'Team Stats'!$B$2:$T$366,3,0)/(VLOOKUP(A359,'Team Stats'!$B$2:$T$366,5,0)+0.44*VLOOKUP(A359,'Team Stats'!$B$2:$T$366,11,0)+VLOOKUP(A359,'Team Stats'!$B$2:$T$366,19,0)-VLOOKUP(A359,'Team Stats'!$B$2:$T$366,13,0)),1)</f>
        <v>1.1511538882204968</v>
      </c>
      <c r="C359" s="168">
        <f>IFERROR((VLOOKUP(A359,'Team Stats'!$B$2:$T$366,5,0)+0.44*VLOOKUP(A359,'Team Stats'!$B$2:$T$366,11,0)+VLOOKUP(A359,'Team Stats'!$B$2:$T$366,19,0)-VLOOKUP(A359,'Team Stats'!$B$2:$T$366,13,0)),70)</f>
        <v>73.143999999999991</v>
      </c>
      <c r="D359" s="168">
        <f>IFERROR(VLOOKUP(A359,'Opponents stats vs'!$B$2:$D$366,3,0)/C359,1.05)</f>
        <v>1.0636552553866347</v>
      </c>
      <c r="E359" s="169">
        <f>IFERROR(VLOOKUP(A359,SOS!A:C,3,0),200)</f>
        <v>116</v>
      </c>
      <c r="F359">
        <f>IFERROR(VLOOKUP(A359,SOS!A:D,4,0),200)</f>
        <v>181</v>
      </c>
      <c r="G359">
        <f>B359*((366-F359)/365)^'Enhanced Matchup Model'!$F$14</f>
        <v>1.1126980525312757</v>
      </c>
      <c r="H359">
        <f>D359*(2-((366-F359)/365)^'Enhanced Matchup Model'!$F$14)</f>
        <v>1.0991880821873641</v>
      </c>
    </row>
    <row r="360" spans="1:8" ht="15" customHeight="1" x14ac:dyDescent="0.25">
      <c r="A360" s="170" t="s">
        <v>473</v>
      </c>
      <c r="B360" s="168">
        <f>IFERROR(VLOOKUP(A360,'Team Stats'!$B$2:$T$366,3,0)/(VLOOKUP(A360,'Team Stats'!$B$2:$T$366,5,0)+0.44*VLOOKUP(A360,'Team Stats'!$B$2:$T$366,11,0)+VLOOKUP(A360,'Team Stats'!$B$2:$T$366,19,0)-VLOOKUP(A360,'Team Stats'!$B$2:$T$366,13,0)),1)</f>
        <v>1.1875211553650007</v>
      </c>
      <c r="C360" s="168">
        <f>IFERROR((VLOOKUP(A360,'Team Stats'!$B$2:$T$366,5,0)+0.44*VLOOKUP(A360,'Team Stats'!$B$2:$T$366,11,0)+VLOOKUP(A360,'Team Stats'!$B$2:$T$366,19,0)-VLOOKUP(A360,'Team Stats'!$B$2:$T$366,13,0)),70)</f>
        <v>70.903999999999996</v>
      </c>
      <c r="D360" s="168">
        <f>IFERROR(VLOOKUP(A360,'Opponents stats vs'!$B$2:$D$366,3,0)/C360,1.05)</f>
        <v>1.0563578923615029</v>
      </c>
      <c r="E360" s="169">
        <f>IFERROR(VLOOKUP(A360,SOS!A:C,3,0),200)</f>
        <v>158</v>
      </c>
      <c r="F360">
        <f>IFERROR(VLOOKUP(A360,SOS!A:D,4,0),200)</f>
        <v>247</v>
      </c>
      <c r="G360">
        <f>B360*((366-F360)/365)^'Enhanced Matchup Model'!$F$14</f>
        <v>1.1228042815623673</v>
      </c>
      <c r="H360">
        <f>D360*(2-((366-F360)/365)^'Enhanced Matchup Model'!$F$14)</f>
        <v>1.1139267029056505</v>
      </c>
    </row>
    <row r="361" spans="1:8" ht="15" customHeight="1" x14ac:dyDescent="0.25">
      <c r="A361" s="167" t="s">
        <v>78</v>
      </c>
      <c r="B361" s="168">
        <f>IFERROR(VLOOKUP(A361,'Team Stats'!$B$2:$T$366,3,0)/(VLOOKUP(A361,'Team Stats'!$B$2:$T$366,5,0)+0.44*VLOOKUP(A361,'Team Stats'!$B$2:$T$366,11,0)+VLOOKUP(A361,'Team Stats'!$B$2:$T$366,19,0)-VLOOKUP(A361,'Team Stats'!$B$2:$T$366,13,0)),1)</f>
        <v>1.1932899060356259</v>
      </c>
      <c r="C361" s="168">
        <f>IFERROR((VLOOKUP(A361,'Team Stats'!$B$2:$T$366,5,0)+0.44*VLOOKUP(A361,'Team Stats'!$B$2:$T$366,11,0)+VLOOKUP(A361,'Team Stats'!$B$2:$T$366,19,0)-VLOOKUP(A361,'Team Stats'!$B$2:$T$366,13,0)),70)</f>
        <v>69.387999999999991</v>
      </c>
      <c r="D361" s="168">
        <f>IFERROR(VLOOKUP(A361,'Opponents stats vs'!$B$2:$D$366,3,0)/C361,1.05)</f>
        <v>1.0808785380757482</v>
      </c>
      <c r="E361" s="169">
        <f>IFERROR(VLOOKUP(A361,SOS!A:C,3,0),200)</f>
        <v>24</v>
      </c>
      <c r="F361">
        <f>IFERROR(VLOOKUP(A361,SOS!A:D,4,0),200)</f>
        <v>31</v>
      </c>
      <c r="G361">
        <f>B361*((366-F361)/365)^'Enhanced Matchup Model'!$F$14</f>
        <v>1.1881836284571168</v>
      </c>
      <c r="H361">
        <f>D361*(2-((366-F361)/365)^'Enhanced Matchup Model'!$F$14)</f>
        <v>1.085503789505557</v>
      </c>
    </row>
    <row r="362" spans="1:8" ht="15" customHeight="1" x14ac:dyDescent="0.25">
      <c r="A362" s="170" t="s">
        <v>474</v>
      </c>
      <c r="B362" s="168">
        <f>IFERROR(VLOOKUP(A362,'Team Stats'!$B$2:$T$366,3,0)/(VLOOKUP(A362,'Team Stats'!$B$2:$T$366,5,0)+0.44*VLOOKUP(A362,'Team Stats'!$B$2:$T$366,11,0)+VLOOKUP(A362,'Team Stats'!$B$2:$T$366,19,0)-VLOOKUP(A362,'Team Stats'!$B$2:$T$366,13,0)),1)</f>
        <v>1.167050759321633</v>
      </c>
      <c r="C362" s="168">
        <f>IFERROR((VLOOKUP(A362,'Team Stats'!$B$2:$T$366,5,0)+0.44*VLOOKUP(A362,'Team Stats'!$B$2:$T$366,11,0)+VLOOKUP(A362,'Team Stats'!$B$2:$T$366,19,0)-VLOOKUP(A362,'Team Stats'!$B$2:$T$366,13,0)),70)</f>
        <v>67.692000000000007</v>
      </c>
      <c r="D362" s="168">
        <f>IFERROR(VLOOKUP(A362,'Opponents stats vs'!$B$2:$D$366,3,0)/C362,1.05)</f>
        <v>1.1404597293624061</v>
      </c>
      <c r="E362" s="169">
        <f>IFERROR(VLOOKUP(A362,SOS!A:C,3,0),200)</f>
        <v>222</v>
      </c>
      <c r="F362">
        <f>IFERROR(VLOOKUP(A362,SOS!A:D,4,0),200)</f>
        <v>281</v>
      </c>
      <c r="G362">
        <f>B362*((366-F362)/365)^'Enhanced Matchup Model'!$F$14</f>
        <v>1.0850407491056366</v>
      </c>
      <c r="H362">
        <f>D362*(2-((366-F362)/365)^'Enhanced Matchup Model'!$F$14)</f>
        <v>1.220601157067152</v>
      </c>
    </row>
    <row r="363" spans="1:8" ht="15" customHeight="1" x14ac:dyDescent="0.25">
      <c r="A363" s="167" t="s">
        <v>62</v>
      </c>
      <c r="B363" s="168">
        <f>IFERROR(VLOOKUP(A363,'Team Stats'!$B$2:$T$366,3,0)/(VLOOKUP(A363,'Team Stats'!$B$2:$T$366,5,0)+0.44*VLOOKUP(A363,'Team Stats'!$B$2:$T$366,11,0)+VLOOKUP(A363,'Team Stats'!$B$2:$T$366,19,0)-VLOOKUP(A363,'Team Stats'!$B$2:$T$366,13,0)),1)</f>
        <v>1.1812525679403652</v>
      </c>
      <c r="C363" s="168">
        <f>IFERROR((VLOOKUP(A363,'Team Stats'!$B$2:$T$366,5,0)+0.44*VLOOKUP(A363,'Team Stats'!$B$2:$T$366,11,0)+VLOOKUP(A363,'Team Stats'!$B$2:$T$366,19,0)-VLOOKUP(A363,'Team Stats'!$B$2:$T$366,13,0)),70)</f>
        <v>68.147999999999996</v>
      </c>
      <c r="D363" s="168">
        <f>IFERROR(VLOOKUP(A363,'Opponents stats vs'!$B$2:$D$366,3,0)/C363,1.05)</f>
        <v>1.0756001643481834</v>
      </c>
      <c r="E363" s="169">
        <f>IFERROR(VLOOKUP(A363,SOS!A:C,3,0),200)</f>
        <v>190</v>
      </c>
      <c r="F363">
        <f>IFERROR(VLOOKUP(A363,SOS!A:D,4,0),200)</f>
        <v>270</v>
      </c>
      <c r="G363">
        <f>B363*((366-F363)/365)^'Enhanced Matchup Model'!$F$14</f>
        <v>1.1049476028780074</v>
      </c>
      <c r="H363">
        <f>D363*(2-((366-F363)/365)^'Enhanced Matchup Model'!$F$14)</f>
        <v>1.1450803375043428</v>
      </c>
    </row>
    <row r="364" spans="1:8" ht="15" customHeight="1" x14ac:dyDescent="0.25">
      <c r="A364" s="170" t="s">
        <v>475</v>
      </c>
      <c r="B364" s="168">
        <f>IFERROR(VLOOKUP(A364,'Team Stats'!$B$2:$T$366,3,0)/(VLOOKUP(A364,'Team Stats'!$B$2:$T$366,5,0)+0.44*VLOOKUP(A364,'Team Stats'!$B$2:$T$366,11,0)+VLOOKUP(A364,'Team Stats'!$B$2:$T$366,19,0)-VLOOKUP(A364,'Team Stats'!$B$2:$T$366,13,0)),1)</f>
        <v>1.1429080330107464</v>
      </c>
      <c r="C364" s="168">
        <f>IFERROR((VLOOKUP(A364,'Team Stats'!$B$2:$T$366,5,0)+0.44*VLOOKUP(A364,'Team Stats'!$B$2:$T$366,11,0)+VLOOKUP(A364,'Team Stats'!$B$2:$T$366,19,0)-VLOOKUP(A364,'Team Stats'!$B$2:$T$366,13,0)),70)</f>
        <v>67.372</v>
      </c>
      <c r="D364" s="168">
        <f>IFERROR(VLOOKUP(A364,'Opponents stats vs'!$B$2:$D$366,3,0)/C364,1.05)</f>
        <v>1.0805675948465236</v>
      </c>
      <c r="E364" s="169">
        <f>IFERROR(VLOOKUP(A364,SOS!A:C,3,0),200)</f>
        <v>103</v>
      </c>
      <c r="F364">
        <f>IFERROR(VLOOKUP(A364,SOS!A:D,4,0),200)</f>
        <v>103</v>
      </c>
      <c r="G364">
        <f>B364*((366-F364)/365)^'Enhanced Matchup Model'!$F$14</f>
        <v>1.1243316322586554</v>
      </c>
      <c r="H364">
        <f>D364*(2-((366-F364)/365)^'Enhanced Matchup Model'!$F$14)</f>
        <v>1.0981307373757732</v>
      </c>
    </row>
    <row r="365" spans="1:8" ht="15" customHeight="1" x14ac:dyDescent="0.25">
      <c r="A365" s="167" t="s">
        <v>476</v>
      </c>
      <c r="B365" s="168">
        <f>IFERROR(VLOOKUP(A365,'Team Stats'!$B$2:$T$366,3,0)/(VLOOKUP(A365,'Team Stats'!$B$2:$T$366,5,0)+0.44*VLOOKUP(A365,'Team Stats'!$B$2:$T$366,11,0)+VLOOKUP(A365,'Team Stats'!$B$2:$T$366,19,0)-VLOOKUP(A365,'Team Stats'!$B$2:$T$366,13,0)),1)</f>
        <v>1.1018044859182643</v>
      </c>
      <c r="C365" s="168">
        <f>IFERROR((VLOOKUP(A365,'Team Stats'!$B$2:$T$366,5,0)+0.44*VLOOKUP(A365,'Team Stats'!$B$2:$T$366,11,0)+VLOOKUP(A365,'Team Stats'!$B$2:$T$366,19,0)-VLOOKUP(A365,'Team Stats'!$B$2:$T$366,13,0)),70)</f>
        <v>71.155999999999992</v>
      </c>
      <c r="D365" s="168">
        <f>IFERROR(VLOOKUP(A365,'Opponents stats vs'!$B$2:$D$366,3,0)/C365,1.05)</f>
        <v>1.1200742031592559</v>
      </c>
      <c r="E365" s="169">
        <f>IFERROR(VLOOKUP(A365,SOS!A:C,3,0),200)</f>
        <v>80</v>
      </c>
      <c r="F365">
        <f>IFERROR(VLOOKUP(A365,SOS!A:D,4,0),200)</f>
        <v>33</v>
      </c>
      <c r="G365">
        <f>B365*((366-F365)/365)^'Enhanced Matchup Model'!$F$14</f>
        <v>1.0967612672437714</v>
      </c>
      <c r="H365">
        <f>D365*(2-((366-F365)/365)^'Enhanced Matchup Model'!$F$14)</f>
        <v>1.1252010466331983</v>
      </c>
    </row>
    <row r="366" spans="1:8" ht="15" customHeight="1" x14ac:dyDescent="0.25">
      <c r="A366" s="170" t="s">
        <v>71</v>
      </c>
      <c r="B366" s="168">
        <f>IFERROR(VLOOKUP(A366,'Team Stats'!$B$2:$T$366,3,0)/(VLOOKUP(A366,'Team Stats'!$B$2:$T$366,5,0)+0.44*VLOOKUP(A366,'Team Stats'!$B$2:$T$366,11,0)+VLOOKUP(A366,'Team Stats'!$B$2:$T$366,19,0)-VLOOKUP(A366,'Team Stats'!$B$2:$T$366,13,0)),1)</f>
        <v>1.2338958446742878</v>
      </c>
      <c r="C366" s="168">
        <f>IFERROR((VLOOKUP(A366,'Team Stats'!$B$2:$T$366,5,0)+0.44*VLOOKUP(A366,'Team Stats'!$B$2:$T$366,11,0)+VLOOKUP(A366,'Team Stats'!$B$2:$T$366,19,0)-VLOOKUP(A366,'Team Stats'!$B$2:$T$366,13,0)),70)</f>
        <v>66.131999999999991</v>
      </c>
      <c r="D366" s="168">
        <f>IFERROR(VLOOKUP(A366,'Opponents stats vs'!$B$2:$D$366,3,0)/C366,1.05)</f>
        <v>1.0705861005262205</v>
      </c>
      <c r="E366" s="169">
        <f>IFERROR(VLOOKUP(A366,SOS!A:C,3,0),200)</f>
        <v>62</v>
      </c>
      <c r="F366">
        <f>IFERROR(VLOOKUP(A366,SOS!A:D,4,0),200)</f>
        <v>162</v>
      </c>
      <c r="G366">
        <f>B366*((366-F366)/365)^'Enhanced Matchup Model'!$F$14</f>
        <v>1.1985202241411284</v>
      </c>
      <c r="H366">
        <f>D366*(2-((366-F366)/365)^'Enhanced Matchup Model'!$F$14)</f>
        <v>1.1012796536358735</v>
      </c>
    </row>
    <row r="367" spans="1:8" ht="15" customHeight="1" x14ac:dyDescent="0.25">
      <c r="A367" s="167" t="s">
        <v>477</v>
      </c>
      <c r="B367" s="168">
        <f>IFERROR(VLOOKUP(A367,'Team Stats'!$B$2:$T$366,3,0)/(VLOOKUP(A367,'Team Stats'!$B$2:$T$366,5,0)+0.44*VLOOKUP(A367,'Team Stats'!$B$2:$T$366,11,0)+VLOOKUP(A367,'Team Stats'!$B$2:$T$366,19,0)-VLOOKUP(A367,'Team Stats'!$B$2:$T$366,13,0)),1)</f>
        <v>1.1243192598231537</v>
      </c>
      <c r="C367" s="168">
        <f>IFERROR((VLOOKUP(A367,'Team Stats'!$B$2:$T$366,5,0)+0.44*VLOOKUP(A367,'Team Stats'!$B$2:$T$366,11,0)+VLOOKUP(A367,'Team Stats'!$B$2:$T$366,19,0)-VLOOKUP(A367,'Team Stats'!$B$2:$T$366,13,0)),70)</f>
        <v>68.308000000000007</v>
      </c>
      <c r="D367" s="168">
        <f>IFERROR(VLOOKUP(A367,'Opponents stats vs'!$B$2:$D$366,3,0)/C367,1.05)</f>
        <v>1.0789365813667506</v>
      </c>
      <c r="E367" s="169">
        <f>IFERROR(VLOOKUP(A367,SOS!A:C,3,0),200)</f>
        <v>273</v>
      </c>
      <c r="F367">
        <f>IFERROR(VLOOKUP(A367,SOS!A:D,4,0),200)</f>
        <v>273</v>
      </c>
      <c r="G367">
        <f>B367*((366-F367)/365)^'Enhanced Matchup Model'!$F$14</f>
        <v>1.0500238278549878</v>
      </c>
      <c r="H367">
        <f>D367*(2-((366-F367)/365)^'Enhanced Matchup Model'!$F$14)</f>
        <v>1.1502331091799516</v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79"/>
  <sheetViews>
    <sheetView showGridLines="0" zoomScaleNormal="100" workbookViewId="0">
      <pane ySplit="8" topLeftCell="A49" activePane="bottomLeft" state="frozen"/>
      <selection pane="bottomLeft" activeCell="P7" sqref="P7"/>
    </sheetView>
  </sheetViews>
  <sheetFormatPr defaultColWidth="8.5703125" defaultRowHeight="15" x14ac:dyDescent="0.25"/>
  <cols>
    <col min="1" max="1" width="22" customWidth="1"/>
    <col min="2" max="2" width="28" customWidth="1"/>
    <col min="3" max="3" width="9" customWidth="1"/>
    <col min="4" max="4" width="28" customWidth="1"/>
    <col min="5" max="6" width="9" customWidth="1"/>
    <col min="7" max="7" width="10" customWidth="1"/>
    <col min="12" max="12" width="27" customWidth="1"/>
    <col min="13" max="13" width="24.28515625" customWidth="1"/>
    <col min="14" max="14" width="23.85546875" customWidth="1"/>
    <col min="16" max="16" width="20.140625" customWidth="1"/>
    <col min="17" max="17" width="19.85546875" customWidth="1"/>
  </cols>
  <sheetData>
    <row r="1" spans="1:17" ht="31.5" customHeight="1" x14ac:dyDescent="0.25">
      <c r="A1" s="274" t="s">
        <v>478</v>
      </c>
      <c r="B1" s="261"/>
      <c r="C1" s="261"/>
      <c r="D1" s="261"/>
      <c r="E1" s="261"/>
      <c r="F1" s="261"/>
      <c r="G1" s="261"/>
    </row>
    <row r="2" spans="1:17" ht="19.5" customHeight="1" x14ac:dyDescent="0.25">
      <c r="A2" s="277" t="s">
        <v>479</v>
      </c>
      <c r="B2" s="261"/>
      <c r="C2" s="261"/>
      <c r="D2" s="261"/>
      <c r="E2" s="261"/>
      <c r="F2" s="261"/>
      <c r="G2" s="261"/>
    </row>
    <row r="3" spans="1:17" ht="30" customHeight="1" x14ac:dyDescent="0.25">
      <c r="A3" s="276" t="str">
        <f>'⚙️ Sim Engine'!I77</f>
        <v>Duke Blue Devils</v>
      </c>
      <c r="B3" s="261"/>
      <c r="C3" s="261"/>
      <c r="D3" s="261"/>
      <c r="E3" s="261"/>
      <c r="F3" s="261"/>
      <c r="G3" s="261"/>
      <c r="L3" s="171" t="s">
        <v>480</v>
      </c>
      <c r="M3" s="172" t="s">
        <v>481</v>
      </c>
      <c r="N3" s="173" t="s">
        <v>482</v>
      </c>
      <c r="P3" s="174" t="s">
        <v>483</v>
      </c>
      <c r="Q3" s="175" t="s">
        <v>484</v>
      </c>
    </row>
    <row r="4" spans="1:17" ht="30" customHeight="1" x14ac:dyDescent="0.25">
      <c r="A4" s="261"/>
      <c r="B4" s="261"/>
      <c r="C4" s="261"/>
      <c r="D4" s="261"/>
      <c r="E4" s="261"/>
      <c r="F4" s="261"/>
      <c r="G4" s="261"/>
      <c r="M4" s="176" t="str">
        <f>'⚙️ Sim Engine'!I69</f>
        <v>Duke Blue Devils</v>
      </c>
      <c r="N4" s="177" t="str">
        <f>'⚙️ Sim Engine'!I70</f>
        <v>Florida Gators</v>
      </c>
      <c r="P4" s="178" t="str">
        <f>'⚙️ Sim Engine'!I71</f>
        <v>Michigan Wolverines</v>
      </c>
      <c r="Q4" s="179" t="str">
        <f>'⚙️ Sim Engine'!I72</f>
        <v>Arizona Wildcats</v>
      </c>
    </row>
    <row r="5" spans="1:17" ht="19.5" customHeight="1" x14ac:dyDescent="0.25">
      <c r="A5" s="278" t="s">
        <v>485</v>
      </c>
      <c r="B5" s="261"/>
      <c r="C5" s="261"/>
      <c r="D5" s="261"/>
      <c r="E5" s="261"/>
      <c r="F5" s="261"/>
      <c r="G5" s="261"/>
    </row>
    <row r="6" spans="1:17" ht="18" customHeight="1" x14ac:dyDescent="0.25"/>
    <row r="7" spans="1:17" ht="25.5" customHeight="1" x14ac:dyDescent="0.25"/>
    <row r="9" spans="1:17" ht="21.75" customHeight="1" x14ac:dyDescent="0.25">
      <c r="A9" s="273" t="s">
        <v>486</v>
      </c>
      <c r="B9" s="261"/>
      <c r="C9" s="261"/>
      <c r="D9" s="261"/>
      <c r="E9" s="261"/>
      <c r="F9" s="261"/>
      <c r="G9" s="261"/>
    </row>
    <row r="10" spans="1:17" ht="19.5" customHeight="1" x14ac:dyDescent="0.25">
      <c r="A10" s="166" t="s">
        <v>104</v>
      </c>
      <c r="B10" s="166" t="s">
        <v>105</v>
      </c>
      <c r="C10" s="166" t="s">
        <v>106</v>
      </c>
      <c r="D10" s="166" t="s">
        <v>107</v>
      </c>
      <c r="E10" s="166" t="s">
        <v>108</v>
      </c>
      <c r="F10" s="166" t="s">
        <v>109</v>
      </c>
      <c r="G10" s="166" t="s">
        <v>110</v>
      </c>
    </row>
    <row r="11" spans="1:17" ht="16.5" customHeight="1" x14ac:dyDescent="0.25">
      <c r="A11" s="180" t="str">
        <f>'⚙️ Sim Engine'!A5</f>
        <v>First Four</v>
      </c>
      <c r="B11" s="181" t="str">
        <f>'⚙️ Sim Engine'!C5</f>
        <v>Howard Bison</v>
      </c>
      <c r="C11" s="82">
        <f>'⚙️ Sim Engine'!D5</f>
        <v>60.9</v>
      </c>
      <c r="D11" s="181" t="str">
        <f>'⚙️ Sim Engine'!E5</f>
        <v>UMBC Retrievers</v>
      </c>
      <c r="E11" s="82">
        <f>'⚙️ Sim Engine'!F5</f>
        <v>61.9</v>
      </c>
      <c r="F11" s="83">
        <f>'⚙️ Sim Engine'!G5</f>
        <v>-1</v>
      </c>
      <c r="G11" s="84">
        <f>'⚙️ Sim Engine'!H5</f>
        <v>0.46434632916602836</v>
      </c>
    </row>
    <row r="12" spans="1:17" ht="16.5" customHeight="1" x14ac:dyDescent="0.25">
      <c r="A12" s="180" t="str">
        <f>'⚙️ Sim Engine'!A6</f>
        <v>First Four</v>
      </c>
      <c r="B12" s="181" t="str">
        <f>'⚙️ Sim Engine'!C6</f>
        <v>Santa Clara Broncos</v>
      </c>
      <c r="C12" s="82">
        <f>'⚙️ Sim Engine'!D6</f>
        <v>67.2</v>
      </c>
      <c r="D12" s="181" t="str">
        <f>'⚙️ Sim Engine'!E6</f>
        <v>New Mexico Lobos</v>
      </c>
      <c r="E12" s="82">
        <f>'⚙️ Sim Engine'!F6</f>
        <v>66</v>
      </c>
      <c r="F12" s="83">
        <f>'⚙️ Sim Engine'!G6</f>
        <v>1.2000000000000028</v>
      </c>
      <c r="G12" s="84">
        <f>'⚙️ Sim Engine'!H6</f>
        <v>0.5427524941173193</v>
      </c>
    </row>
    <row r="13" spans="1:17" ht="16.5" customHeight="1" x14ac:dyDescent="0.25">
      <c r="A13" s="180" t="str">
        <f>'⚙️ Sim Engine'!A7</f>
        <v>First Four</v>
      </c>
      <c r="B13" s="181" t="str">
        <f>'⚙️ Sim Engine'!C7</f>
        <v>Long Island University Sharks</v>
      </c>
      <c r="C13" s="82">
        <f>'⚙️ Sim Engine'!D7</f>
        <v>62.7</v>
      </c>
      <c r="D13" s="181" t="str">
        <f>'⚙️ Sim Engine'!E7</f>
        <v>Bethune-Cookman Wildcats</v>
      </c>
      <c r="E13" s="82">
        <f>'⚙️ Sim Engine'!F7</f>
        <v>66</v>
      </c>
      <c r="F13" s="83">
        <f>'⚙️ Sim Engine'!G7</f>
        <v>-3.2999999999999972</v>
      </c>
      <c r="G13" s="84">
        <f>'⚙️ Sim Engine'!H7</f>
        <v>0.38427817569314809</v>
      </c>
    </row>
    <row r="14" spans="1:17" ht="16.5" customHeight="1" x14ac:dyDescent="0.25">
      <c r="A14" s="180" t="str">
        <f>'⚙️ Sim Engine'!A8</f>
        <v>First Four</v>
      </c>
      <c r="B14" s="181" t="str">
        <f>'⚙️ Sim Engine'!C8</f>
        <v>TCU Horned Frogs</v>
      </c>
      <c r="C14" s="82">
        <f>'⚙️ Sim Engine'!D8</f>
        <v>64.900000000000006</v>
      </c>
      <c r="D14" s="181" t="str">
        <f>'⚙️ Sim Engine'!E8</f>
        <v>Indiana Hoosiers</v>
      </c>
      <c r="E14" s="82">
        <f>'⚙️ Sim Engine'!F8</f>
        <v>64.900000000000006</v>
      </c>
      <c r="F14" s="83">
        <f>'⚙️ Sim Engine'!G8</f>
        <v>0</v>
      </c>
      <c r="G14" s="84">
        <f>'⚙️ Sim Engine'!H8</f>
        <v>0.5</v>
      </c>
    </row>
    <row r="15" spans="1:17" ht="16.5" customHeight="1" x14ac:dyDescent="0.25">
      <c r="A15" s="182" t="str">
        <f>'⚙️ Sim Engine'!A10</f>
        <v>Round of 64</v>
      </c>
      <c r="B15" s="183" t="str">
        <f>'⚙️ Sim Engine'!C10</f>
        <v>Duke Blue Devils</v>
      </c>
      <c r="C15" s="82">
        <f>'⚙️ Sim Engine'!D10</f>
        <v>80.5</v>
      </c>
      <c r="D15" s="183" t="str">
        <f>'⚙️ Sim Engine'!E10</f>
        <v>UMBC Retrievers</v>
      </c>
      <c r="E15" s="82">
        <f>'⚙️ Sim Engine'!F10</f>
        <v>44</v>
      </c>
      <c r="F15" s="91">
        <f>'⚙️ Sim Engine'!G10</f>
        <v>36.5</v>
      </c>
      <c r="G15" s="92">
        <f>'⚙️ Sim Engine'!H10</f>
        <v>0.99459109871630247</v>
      </c>
    </row>
    <row r="16" spans="1:17" ht="16.5" customHeight="1" x14ac:dyDescent="0.25">
      <c r="A16" s="182" t="str">
        <f>'⚙️ Sim Engine'!A11</f>
        <v>Round of 64</v>
      </c>
      <c r="B16" s="183" t="str">
        <f>'⚙️ Sim Engine'!C11</f>
        <v>UCF Knights</v>
      </c>
      <c r="C16" s="82">
        <f>'⚙️ Sim Engine'!D11</f>
        <v>68.599999999999994</v>
      </c>
      <c r="D16" s="183" t="str">
        <f>'⚙️ Sim Engine'!E11</f>
        <v>Missouri Tigers</v>
      </c>
      <c r="E16" s="82">
        <f>'⚙️ Sim Engine'!F11</f>
        <v>68.3</v>
      </c>
      <c r="F16" s="91">
        <f>'⚙️ Sim Engine'!G11</f>
        <v>0.29999999999999716</v>
      </c>
      <c r="G16" s="92">
        <f>'⚙️ Sim Engine'!H11</f>
        <v>0.51071264607375244</v>
      </c>
    </row>
    <row r="17" spans="1:7" ht="16.5" customHeight="1" x14ac:dyDescent="0.25">
      <c r="A17" s="182" t="str">
        <f>'⚙️ Sim Engine'!A12</f>
        <v>Round of 64</v>
      </c>
      <c r="B17" s="183" t="str">
        <f>'⚙️ Sim Engine'!C12</f>
        <v>Vanderbilt Commodores</v>
      </c>
      <c r="C17" s="82">
        <f>'⚙️ Sim Engine'!D12</f>
        <v>70.099999999999994</v>
      </c>
      <c r="D17" s="183" t="str">
        <f>'⚙️ Sim Engine'!E12</f>
        <v>Liberty Flames</v>
      </c>
      <c r="E17" s="82">
        <f>'⚙️ Sim Engine'!F12</f>
        <v>63.1</v>
      </c>
      <c r="F17" s="91">
        <f>'⚙️ Sim Engine'!G12</f>
        <v>6.9999999999999929</v>
      </c>
      <c r="G17" s="92">
        <f>'⚙️ Sim Engine'!H12</f>
        <v>0.73105857863000467</v>
      </c>
    </row>
    <row r="18" spans="1:7" ht="16.5" customHeight="1" x14ac:dyDescent="0.25">
      <c r="A18" s="182" t="str">
        <f>'⚙️ Sim Engine'!A13</f>
        <v>Round of 64</v>
      </c>
      <c r="B18" s="183" t="str">
        <f>'⚙️ Sim Engine'!C13</f>
        <v>Gonzaga Bulldogs</v>
      </c>
      <c r="C18" s="82">
        <f>'⚙️ Sim Engine'!D13</f>
        <v>71.5</v>
      </c>
      <c r="D18" s="183" t="str">
        <f>'⚙️ Sim Engine'!E13</f>
        <v>Stephen F. Austin Lumberjacks</v>
      </c>
      <c r="E18" s="82">
        <f>'⚙️ Sim Engine'!F13</f>
        <v>55.6</v>
      </c>
      <c r="F18" s="91">
        <f>'⚙️ Sim Engine'!G13</f>
        <v>15.899999999999999</v>
      </c>
      <c r="G18" s="92">
        <f>'⚙️ Sim Engine'!H13</f>
        <v>0.90648296039525511</v>
      </c>
    </row>
    <row r="19" spans="1:7" ht="16.5" customHeight="1" x14ac:dyDescent="0.25">
      <c r="A19" s="182" t="str">
        <f>'⚙️ Sim Engine'!A14</f>
        <v>Round of 64</v>
      </c>
      <c r="B19" s="183" t="str">
        <f>'⚙️ Sim Engine'!C14</f>
        <v>Louisville Cardinals</v>
      </c>
      <c r="C19" s="82">
        <f>'⚙️ Sim Engine'!D14</f>
        <v>76.5</v>
      </c>
      <c r="D19" s="183" t="str">
        <f>'⚙️ Sim Engine'!E14</f>
        <v>Miami (OH) RedHawks</v>
      </c>
      <c r="E19" s="82">
        <f>'⚙️ Sim Engine'!F14</f>
        <v>62.5</v>
      </c>
      <c r="F19" s="91">
        <f>'⚙️ Sim Engine'!G14</f>
        <v>14</v>
      </c>
      <c r="G19" s="92">
        <f>'⚙️ Sim Engine'!H14</f>
        <v>0.88079707797788231</v>
      </c>
    </row>
    <row r="20" spans="1:7" ht="16.5" customHeight="1" x14ac:dyDescent="0.25">
      <c r="A20" s="182" t="str">
        <f>'⚙️ Sim Engine'!A15</f>
        <v>Round of 64</v>
      </c>
      <c r="B20" s="183" t="str">
        <f>'⚙️ Sim Engine'!C15</f>
        <v>Iowa State Cyclones</v>
      </c>
      <c r="C20" s="82">
        <f>'⚙️ Sim Engine'!D15</f>
        <v>76</v>
      </c>
      <c r="D20" s="183" t="str">
        <f>'⚙️ Sim Engine'!E15</f>
        <v>Navy Midshipmen</v>
      </c>
      <c r="E20" s="82">
        <f>'⚙️ Sim Engine'!F15</f>
        <v>46.5</v>
      </c>
      <c r="F20" s="91">
        <f>'⚙️ Sim Engine'!G15</f>
        <v>29.5</v>
      </c>
      <c r="G20" s="92">
        <f>'⚙️ Sim Engine'!H15</f>
        <v>0.98543247277121604</v>
      </c>
    </row>
    <row r="21" spans="1:7" ht="16.5" customHeight="1" x14ac:dyDescent="0.25">
      <c r="A21" s="182" t="str">
        <f>'⚙️ Sim Engine'!A16</f>
        <v>Round of 64</v>
      </c>
      <c r="B21" s="183" t="str">
        <f>'⚙️ Sim Engine'!C16</f>
        <v>Utah State Aggies</v>
      </c>
      <c r="C21" s="82">
        <f>'⚙️ Sim Engine'!D16</f>
        <v>66.7</v>
      </c>
      <c r="D21" s="183" t="str">
        <f>'⚙️ Sim Engine'!E16</f>
        <v>UCLA Bruins</v>
      </c>
      <c r="E21" s="82">
        <f>'⚙️ Sim Engine'!F16</f>
        <v>64.099999999999994</v>
      </c>
      <c r="F21" s="91">
        <f>'⚙️ Sim Engine'!G16</f>
        <v>2.6000000000000085</v>
      </c>
      <c r="G21" s="92">
        <f>'⚙️ Sim Engine'!H16</f>
        <v>0.59180412650033076</v>
      </c>
    </row>
    <row r="22" spans="1:7" ht="16.5" customHeight="1" x14ac:dyDescent="0.25">
      <c r="A22" s="182" t="str">
        <f>'⚙️ Sim Engine'!A17</f>
        <v>Round of 64</v>
      </c>
      <c r="B22" s="183" t="str">
        <f>'⚙️ Sim Engine'!C17</f>
        <v>Illinois Fighting Illini</v>
      </c>
      <c r="C22" s="82">
        <f>'⚙️ Sim Engine'!D17</f>
        <v>76.599999999999994</v>
      </c>
      <c r="D22" s="183" t="str">
        <f>'⚙️ Sim Engine'!E17</f>
        <v>East Tennessee State Buccaneers</v>
      </c>
      <c r="E22" s="82">
        <f>'⚙️ Sim Engine'!F17</f>
        <v>53.8</v>
      </c>
      <c r="F22" s="91">
        <f>'⚙️ Sim Engine'!G17</f>
        <v>22.799999999999997</v>
      </c>
      <c r="G22" s="92">
        <f>'⚙️ Sim Engine'!H17</f>
        <v>0.96292893463158968</v>
      </c>
    </row>
    <row r="23" spans="1:7" ht="16.5" customHeight="1" x14ac:dyDescent="0.25">
      <c r="A23" s="182" t="str">
        <f>'⚙️ Sim Engine'!A18</f>
        <v>Round of 64</v>
      </c>
      <c r="B23" s="183" t="str">
        <f>'⚙️ Sim Engine'!C18</f>
        <v>UConn Huskies</v>
      </c>
      <c r="C23" s="82">
        <f>'⚙️ Sim Engine'!D18</f>
        <v>69</v>
      </c>
      <c r="D23" s="183" t="str">
        <f>'⚙️ Sim Engine'!E18</f>
        <v>Merrimack Warriors</v>
      </c>
      <c r="E23" s="82">
        <f>'⚙️ Sim Engine'!F18</f>
        <v>52.4</v>
      </c>
      <c r="F23" s="91">
        <f>'⚙️ Sim Engine'!G18</f>
        <v>16.600000000000001</v>
      </c>
      <c r="G23" s="92">
        <f>'⚙️ Sim Engine'!H18</f>
        <v>0.91462248122977574</v>
      </c>
    </row>
    <row r="24" spans="1:7" ht="16.5" customHeight="1" x14ac:dyDescent="0.25">
      <c r="A24" s="182" t="str">
        <f>'⚙️ Sim Engine'!A19</f>
        <v>Round of 64</v>
      </c>
      <c r="B24" s="183" t="str">
        <f>'⚙️ Sim Engine'!C19</f>
        <v>Saint Louis Billikens</v>
      </c>
      <c r="C24" s="82">
        <f>'⚙️ Sim Engine'!D19</f>
        <v>70.5</v>
      </c>
      <c r="D24" s="183" t="str">
        <f>'⚙️ Sim Engine'!E19</f>
        <v>NC State Wolfpack</v>
      </c>
      <c r="E24" s="82">
        <f>'⚙️ Sim Engine'!F19</f>
        <v>66.7</v>
      </c>
      <c r="F24" s="91">
        <f>'⚙️ Sim Engine'!G19</f>
        <v>3.7999999999999972</v>
      </c>
      <c r="G24" s="92">
        <f>'⚙️ Sim Engine'!H19</f>
        <v>0.63247681131615163</v>
      </c>
    </row>
    <row r="25" spans="1:7" ht="16.5" customHeight="1" x14ac:dyDescent="0.25">
      <c r="A25" s="182" t="str">
        <f>'⚙️ Sim Engine'!A20</f>
        <v>Round of 64</v>
      </c>
      <c r="B25" s="183" t="str">
        <f>'⚙️ Sim Engine'!C20</f>
        <v>Tennessee Volunteers</v>
      </c>
      <c r="C25" s="82">
        <f>'⚙️ Sim Engine'!D20</f>
        <v>68.5</v>
      </c>
      <c r="D25" s="183" t="str">
        <f>'⚙️ Sim Engine'!E20</f>
        <v>South Florida Bulls</v>
      </c>
      <c r="E25" s="82">
        <f>'⚙️ Sim Engine'!F20</f>
        <v>66.400000000000006</v>
      </c>
      <c r="F25" s="91">
        <f>'⚙️ Sim Engine'!G20</f>
        <v>2.0999999999999943</v>
      </c>
      <c r="G25" s="92">
        <f>'⚙️ Sim Engine'!H20</f>
        <v>0.57444251681165881</v>
      </c>
    </row>
    <row r="26" spans="1:7" ht="16.5" customHeight="1" x14ac:dyDescent="0.25">
      <c r="A26" s="182" t="str">
        <f>'⚙️ Sim Engine'!A21</f>
        <v>Round of 64</v>
      </c>
      <c r="B26" s="183" t="str">
        <f>'⚙️ Sim Engine'!C21</f>
        <v>Kansas Jayhawks</v>
      </c>
      <c r="C26" s="82">
        <f>'⚙️ Sim Engine'!D21</f>
        <v>67.7</v>
      </c>
      <c r="D26" s="183" t="str">
        <f>'⚙️ Sim Engine'!E21</f>
        <v>Utah Valley Wolverines</v>
      </c>
      <c r="E26" s="82">
        <f>'⚙️ Sim Engine'!F21</f>
        <v>58.6</v>
      </c>
      <c r="F26" s="91">
        <f>'⚙️ Sim Engine'!G21</f>
        <v>9.1000000000000014</v>
      </c>
      <c r="G26" s="92">
        <f>'⚙️ Sim Engine'!H21</f>
        <v>0.78583498304255861</v>
      </c>
    </row>
    <row r="27" spans="1:7" ht="16.5" customHeight="1" x14ac:dyDescent="0.25">
      <c r="A27" s="182" t="str">
        <f>'⚙️ Sim Engine'!A22</f>
        <v>Round of 64</v>
      </c>
      <c r="B27" s="183" t="str">
        <f>'⚙️ Sim Engine'!C22</f>
        <v>St. John's Red Storm</v>
      </c>
      <c r="C27" s="82">
        <f>'⚙️ Sim Engine'!D22</f>
        <v>68.3</v>
      </c>
      <c r="D27" s="183" t="str">
        <f>'⚙️ Sim Engine'!E22</f>
        <v>Santa Clara Broncos</v>
      </c>
      <c r="E27" s="82">
        <f>'⚙️ Sim Engine'!F22</f>
        <v>66.099999999999994</v>
      </c>
      <c r="F27" s="91">
        <f>'⚙️ Sim Engine'!G22</f>
        <v>2.2000000000000028</v>
      </c>
      <c r="G27" s="92">
        <f>'⚙️ Sim Engine'!H22</f>
        <v>0.57793100919144658</v>
      </c>
    </row>
    <row r="28" spans="1:7" ht="16.5" customHeight="1" x14ac:dyDescent="0.25">
      <c r="A28" s="182" t="str">
        <f>'⚙️ Sim Engine'!A23</f>
        <v>Round of 64</v>
      </c>
      <c r="B28" s="183" t="str">
        <f>'⚙️ Sim Engine'!C23</f>
        <v>Purdue Boilermakers</v>
      </c>
      <c r="C28" s="82">
        <f>'⚙️ Sim Engine'!D23</f>
        <v>74.400000000000006</v>
      </c>
      <c r="D28" s="183" t="str">
        <f>'⚙️ Sim Engine'!E23</f>
        <v>Hawai'i Rainbow Warriors</v>
      </c>
      <c r="E28" s="82">
        <f>'⚙️ Sim Engine'!F23</f>
        <v>54.9</v>
      </c>
      <c r="F28" s="91">
        <f>'⚙️ Sim Engine'!G23</f>
        <v>19.500000000000007</v>
      </c>
      <c r="G28" s="92">
        <f>'⚙️ Sim Engine'!H23</f>
        <v>0.94189895134831569</v>
      </c>
    </row>
    <row r="29" spans="1:7" ht="16.5" customHeight="1" x14ac:dyDescent="0.25">
      <c r="A29" s="182" t="str">
        <f>'⚙️ Sim Engine'!A24</f>
        <v>Round of 64</v>
      </c>
      <c r="B29" s="183" t="str">
        <f>'⚙️ Sim Engine'!C24</f>
        <v>Villanova Wildcats</v>
      </c>
      <c r="C29" s="82">
        <f>'⚙️ Sim Engine'!D24</f>
        <v>67.7</v>
      </c>
      <c r="D29" s="183" t="str">
        <f>'⚙️ Sim Engine'!E24</f>
        <v>Texas Longhorns</v>
      </c>
      <c r="E29" s="82">
        <f>'⚙️ Sim Engine'!F24</f>
        <v>65.8</v>
      </c>
      <c r="F29" s="91">
        <f>'⚙️ Sim Engine'!G24</f>
        <v>1.9000000000000057</v>
      </c>
      <c r="G29" s="92">
        <f>'⚙️ Sim Engine'!H24</f>
        <v>0.56744358349733237</v>
      </c>
    </row>
    <row r="30" spans="1:7" ht="16.5" customHeight="1" x14ac:dyDescent="0.25">
      <c r="A30" s="182" t="str">
        <f>'⚙️ Sim Engine'!A25</f>
        <v>Round of 64</v>
      </c>
      <c r="B30" s="183" t="str">
        <f>'⚙️ Sim Engine'!C25</f>
        <v>Florida Gators</v>
      </c>
      <c r="C30" s="82">
        <f>'⚙️ Sim Engine'!D25</f>
        <v>77.099999999999994</v>
      </c>
      <c r="D30" s="183" t="str">
        <f>'⚙️ Sim Engine'!E25</f>
        <v>Wright State Raiders</v>
      </c>
      <c r="E30" s="82">
        <f>'⚙️ Sim Engine'!F25</f>
        <v>58</v>
      </c>
      <c r="F30" s="91">
        <f>'⚙️ Sim Engine'!G25</f>
        <v>19.099999999999994</v>
      </c>
      <c r="G30" s="92">
        <f>'⚙️ Sim Engine'!H25</f>
        <v>0.93869167495057515</v>
      </c>
    </row>
    <row r="31" spans="1:7" ht="16.5" customHeight="1" x14ac:dyDescent="0.25">
      <c r="A31" s="182" t="str">
        <f>'⚙️ Sim Engine'!A26</f>
        <v>Round of 64</v>
      </c>
      <c r="B31" s="183" t="str">
        <f>'⚙️ Sim Engine'!C26</f>
        <v>Michigan Wolverines</v>
      </c>
      <c r="C31" s="82">
        <f>'⚙️ Sim Engine'!D26</f>
        <v>79.5</v>
      </c>
      <c r="D31" s="183" t="str">
        <f>'⚙️ Sim Engine'!E26</f>
        <v>Bethune-Cookman Wildcats</v>
      </c>
      <c r="E31" s="82">
        <f>'⚙️ Sim Engine'!F26</f>
        <v>55.2</v>
      </c>
      <c r="F31" s="91">
        <f>'⚙️ Sim Engine'!G26</f>
        <v>24.299999999999997</v>
      </c>
      <c r="G31" s="92">
        <f>'⚙️ Sim Engine'!H26</f>
        <v>0.96986380085081481</v>
      </c>
    </row>
    <row r="32" spans="1:7" ht="16.5" customHeight="1" x14ac:dyDescent="0.25">
      <c r="A32" s="182" t="str">
        <f>'⚙️ Sim Engine'!A27</f>
        <v>Round of 64</v>
      </c>
      <c r="B32" s="183" t="str">
        <f>'⚙️ Sim Engine'!C27</f>
        <v>Clemson Tigers</v>
      </c>
      <c r="C32" s="82">
        <f>'⚙️ Sim Engine'!D27</f>
        <v>60.7</v>
      </c>
      <c r="D32" s="183" t="str">
        <f>'⚙️ Sim Engine'!E27</f>
        <v>Iowa Hawkeyes</v>
      </c>
      <c r="E32" s="82">
        <f>'⚙️ Sim Engine'!F27</f>
        <v>60.7</v>
      </c>
      <c r="F32" s="91">
        <f>'⚙️ Sim Engine'!G27</f>
        <v>0</v>
      </c>
      <c r="G32" s="92">
        <f>'⚙️ Sim Engine'!H27</f>
        <v>0.5</v>
      </c>
    </row>
    <row r="33" spans="1:7" ht="16.5" customHeight="1" x14ac:dyDescent="0.25">
      <c r="A33" s="182" t="str">
        <f>'⚙️ Sim Engine'!A28</f>
        <v>Round of 64</v>
      </c>
      <c r="B33" s="183" t="str">
        <f>'⚙️ Sim Engine'!C28</f>
        <v>Arkansas Razorbacks</v>
      </c>
      <c r="C33" s="82">
        <f>'⚙️ Sim Engine'!D28</f>
        <v>71.2</v>
      </c>
      <c r="D33" s="183" t="str">
        <f>'⚙️ Sim Engine'!E28</f>
        <v>Yale Bulldogs</v>
      </c>
      <c r="E33" s="82">
        <f>'⚙️ Sim Engine'!F28</f>
        <v>67</v>
      </c>
      <c r="F33" s="91">
        <f>'⚙️ Sim Engine'!G28</f>
        <v>4.2000000000000028</v>
      </c>
      <c r="G33" s="92">
        <f>'⚙️ Sim Engine'!H28</f>
        <v>0.64565630622579562</v>
      </c>
    </row>
    <row r="34" spans="1:7" ht="16.5" customHeight="1" x14ac:dyDescent="0.25">
      <c r="A34" s="182" t="str">
        <f>'⚙️ Sim Engine'!A29</f>
        <v>Round of 64</v>
      </c>
      <c r="B34" s="183" t="str">
        <f>'⚙️ Sim Engine'!C29</f>
        <v>Virginia Cavaliers</v>
      </c>
      <c r="C34" s="82">
        <f>'⚙️ Sim Engine'!D29</f>
        <v>76.400000000000006</v>
      </c>
      <c r="D34" s="183" t="str">
        <f>'⚙️ Sim Engine'!E29</f>
        <v>High Point Panthers</v>
      </c>
      <c r="E34" s="82">
        <f>'⚙️ Sim Engine'!F29</f>
        <v>56.1</v>
      </c>
      <c r="F34" s="91">
        <f>'⚙️ Sim Engine'!G29</f>
        <v>20.300000000000004</v>
      </c>
      <c r="G34" s="92">
        <f>'⚙️ Sim Engine'!H29</f>
        <v>0.94784643692158232</v>
      </c>
    </row>
    <row r="35" spans="1:7" ht="16.5" customHeight="1" x14ac:dyDescent="0.25">
      <c r="A35" s="182" t="str">
        <f>'⚙️ Sim Engine'!A30</f>
        <v>Round of 64</v>
      </c>
      <c r="B35" s="183" t="str">
        <f>'⚙️ Sim Engine'!C30</f>
        <v>BYU Cougars</v>
      </c>
      <c r="C35" s="82">
        <f>'⚙️ Sim Engine'!D30</f>
        <v>68</v>
      </c>
      <c r="D35" s="183" t="str">
        <f>'⚙️ Sim Engine'!E30</f>
        <v>Ohio State Buckeyes</v>
      </c>
      <c r="E35" s="82">
        <f>'⚙️ Sim Engine'!F30</f>
        <v>67.099999999999994</v>
      </c>
      <c r="F35" s="91">
        <f>'⚙️ Sim Engine'!G30</f>
        <v>0.90000000000000568</v>
      </c>
      <c r="G35" s="92">
        <f>'⚙️ Sim Engine'!H30</f>
        <v>0.53209865178991844</v>
      </c>
    </row>
    <row r="36" spans="1:7" ht="16.5" customHeight="1" x14ac:dyDescent="0.25">
      <c r="A36" s="182" t="str">
        <f>'⚙️ Sim Engine'!A31</f>
        <v>Round of 64</v>
      </c>
      <c r="B36" s="183" t="str">
        <f>'⚙️ Sim Engine'!C31</f>
        <v>Nebraska Cornhuskers</v>
      </c>
      <c r="C36" s="82">
        <f>'⚙️ Sim Engine'!D31</f>
        <v>69</v>
      </c>
      <c r="D36" s="183" t="str">
        <f>'⚙️ Sim Engine'!E31</f>
        <v>Troy Trojans</v>
      </c>
      <c r="E36" s="82">
        <f>'⚙️ Sim Engine'!F31</f>
        <v>59.4</v>
      </c>
      <c r="F36" s="91">
        <f>'⚙️ Sim Engine'!G31</f>
        <v>9.6000000000000014</v>
      </c>
      <c r="G36" s="92">
        <f>'⚙️ Sim Engine'!H31</f>
        <v>0.79761086272383264</v>
      </c>
    </row>
    <row r="37" spans="1:7" ht="16.5" customHeight="1" x14ac:dyDescent="0.25">
      <c r="A37" s="182" t="str">
        <f>'⚙️ Sim Engine'!A32</f>
        <v>Round of 64</v>
      </c>
      <c r="B37" s="183" t="str">
        <f>'⚙️ Sim Engine'!C32</f>
        <v>Wisconsin Badgers</v>
      </c>
      <c r="C37" s="82">
        <f>'⚙️ Sim Engine'!D32</f>
        <v>70.7</v>
      </c>
      <c r="D37" s="183" t="str">
        <f>'⚙️ Sim Engine'!E32</f>
        <v>Texas A&amp;M Aggies</v>
      </c>
      <c r="E37" s="82">
        <f>'⚙️ Sim Engine'!F32</f>
        <v>69.599999999999994</v>
      </c>
      <c r="F37" s="91">
        <f>'⚙️ Sim Engine'!G32</f>
        <v>1.1000000000000085</v>
      </c>
      <c r="G37" s="92">
        <f>'⚙️ Sim Engine'!H32</f>
        <v>0.53920507036945498</v>
      </c>
    </row>
    <row r="38" spans="1:7" ht="16.5" customHeight="1" x14ac:dyDescent="0.25">
      <c r="A38" s="182" t="str">
        <f>'⚙️ Sim Engine'!A33</f>
        <v>Round of 64</v>
      </c>
      <c r="B38" s="183" t="str">
        <f>'⚙️ Sim Engine'!C33</f>
        <v>Houston Cougars</v>
      </c>
      <c r="C38" s="82">
        <f>'⚙️ Sim Engine'!D33</f>
        <v>72.599999999999994</v>
      </c>
      <c r="D38" s="183" t="str">
        <f>'⚙️ Sim Engine'!E33</f>
        <v>Austin Peay Governors</v>
      </c>
      <c r="E38" s="82">
        <f>'⚙️ Sim Engine'!F33</f>
        <v>53.7</v>
      </c>
      <c r="F38" s="91">
        <f>'⚙️ Sim Engine'!G33</f>
        <v>18.899999999999991</v>
      </c>
      <c r="G38" s="92">
        <f>'⚙️ Sim Engine'!H33</f>
        <v>0.9370266439430035</v>
      </c>
    </row>
    <row r="39" spans="1:7" ht="16.5" customHeight="1" x14ac:dyDescent="0.25">
      <c r="A39" s="182" t="str">
        <f>'⚙️ Sim Engine'!A34</f>
        <v>Round of 64</v>
      </c>
      <c r="B39" s="183" t="str">
        <f>'⚙️ Sim Engine'!C34</f>
        <v>Arizona Wildcats</v>
      </c>
      <c r="C39" s="82">
        <f>'⚙️ Sim Engine'!D34</f>
        <v>80.8</v>
      </c>
      <c r="D39" s="183" t="str">
        <f>'⚙️ Sim Engine'!E34</f>
        <v>Tennessee State Tigers</v>
      </c>
      <c r="E39" s="82">
        <f>'⚙️ Sim Engine'!F34</f>
        <v>53.1</v>
      </c>
      <c r="F39" s="91">
        <f>'⚙️ Sim Engine'!G34</f>
        <v>27.699999999999996</v>
      </c>
      <c r="G39" s="92">
        <f>'⚙️ Sim Engine'!H34</f>
        <v>0.98124097049921444</v>
      </c>
    </row>
    <row r="40" spans="1:7" ht="16.5" customHeight="1" x14ac:dyDescent="0.25">
      <c r="A40" s="182" t="str">
        <f>'⚙️ Sim Engine'!A35</f>
        <v>Round of 64</v>
      </c>
      <c r="B40" s="183" t="str">
        <f>'⚙️ Sim Engine'!C35</f>
        <v>Miami Hurricanes</v>
      </c>
      <c r="C40" s="82">
        <f>'⚙️ Sim Engine'!D35</f>
        <v>69.5</v>
      </c>
      <c r="D40" s="183" t="str">
        <f>'⚙️ Sim Engine'!E35</f>
        <v>Georgia Bulldogs</v>
      </c>
      <c r="E40" s="82">
        <f>'⚙️ Sim Engine'!F35</f>
        <v>68.7</v>
      </c>
      <c r="F40" s="91">
        <f>'⚙️ Sim Engine'!G35</f>
        <v>0.79999999999999716</v>
      </c>
      <c r="G40" s="92">
        <f>'⚙️ Sim Engine'!H35</f>
        <v>0.52854037098226514</v>
      </c>
    </row>
    <row r="41" spans="1:7" ht="16.5" customHeight="1" x14ac:dyDescent="0.25">
      <c r="A41" s="182" t="str">
        <f>'⚙️ Sim Engine'!A36</f>
        <v>Round of 64</v>
      </c>
      <c r="B41" s="183" t="str">
        <f>'⚙️ Sim Engine'!C36</f>
        <v>North Carolina Tar Heels</v>
      </c>
      <c r="C41" s="82">
        <f>'⚙️ Sim Engine'!D36</f>
        <v>68.099999999999994</v>
      </c>
      <c r="D41" s="183" t="str">
        <f>'⚙️ Sim Engine'!E36</f>
        <v>Belmont Bruins</v>
      </c>
      <c r="E41" s="82">
        <f>'⚙️ Sim Engine'!F36</f>
        <v>65.099999999999994</v>
      </c>
      <c r="F41" s="91">
        <f>'⚙️ Sim Engine'!G36</f>
        <v>3</v>
      </c>
      <c r="G41" s="92">
        <f>'⚙️ Sim Engine'!H36</f>
        <v>0.60553248722058572</v>
      </c>
    </row>
    <row r="42" spans="1:7" ht="16.5" customHeight="1" x14ac:dyDescent="0.25">
      <c r="A42" s="182" t="str">
        <f>'⚙️ Sim Engine'!A37</f>
        <v>Round of 64</v>
      </c>
      <c r="B42" s="183" t="str">
        <f>'⚙️ Sim Engine'!C37</f>
        <v>Alabama Crimson Tide</v>
      </c>
      <c r="C42" s="82">
        <f>'⚙️ Sim Engine'!D37</f>
        <v>75</v>
      </c>
      <c r="D42" s="183" t="str">
        <f>'⚙️ Sim Engine'!E37</f>
        <v>UNC Wilmington Seahawks</v>
      </c>
      <c r="E42" s="82">
        <f>'⚙️ Sim Engine'!F37</f>
        <v>61.1</v>
      </c>
      <c r="F42" s="91">
        <f>'⚙️ Sim Engine'!G37</f>
        <v>13.899999999999999</v>
      </c>
      <c r="G42" s="92">
        <f>'⚙️ Sim Engine'!H37</f>
        <v>0.87928899133423088</v>
      </c>
    </row>
    <row r="43" spans="1:7" ht="16.5" customHeight="1" x14ac:dyDescent="0.25">
      <c r="A43" s="182" t="str">
        <f>'⚙️ Sim Engine'!A38</f>
        <v>Round of 64</v>
      </c>
      <c r="B43" s="183" t="str">
        <f>'⚙️ Sim Engine'!C38</f>
        <v>Kentucky Wildcats</v>
      </c>
      <c r="C43" s="82">
        <f>'⚙️ Sim Engine'!D38</f>
        <v>67.099999999999994</v>
      </c>
      <c r="D43" s="183" t="str">
        <f>'⚙️ Sim Engine'!E38</f>
        <v>Indiana Hoosiers</v>
      </c>
      <c r="E43" s="82">
        <f>'⚙️ Sim Engine'!F38</f>
        <v>65</v>
      </c>
      <c r="F43" s="91">
        <f>'⚙️ Sim Engine'!G38</f>
        <v>2.0999999999999943</v>
      </c>
      <c r="G43" s="92">
        <f>'⚙️ Sim Engine'!H38</f>
        <v>0.57444251681165881</v>
      </c>
    </row>
    <row r="44" spans="1:7" ht="16.5" customHeight="1" x14ac:dyDescent="0.25">
      <c r="A44" s="182" t="str">
        <f>'⚙️ Sim Engine'!A39</f>
        <v>Round of 64</v>
      </c>
      <c r="B44" s="183" t="str">
        <f>'⚙️ Sim Engine'!C39</f>
        <v>Texas Tech Red Raiders</v>
      </c>
      <c r="C44" s="82">
        <f>'⚙️ Sim Engine'!D39</f>
        <v>75.8</v>
      </c>
      <c r="D44" s="183" t="str">
        <f>'⚙️ Sim Engine'!E39</f>
        <v>North Dakota State Bison</v>
      </c>
      <c r="E44" s="82">
        <f>'⚙️ Sim Engine'!F39</f>
        <v>56.2</v>
      </c>
      <c r="F44" s="91">
        <f>'⚙️ Sim Engine'!G39</f>
        <v>19.599999999999994</v>
      </c>
      <c r="G44" s="92">
        <f>'⚙️ Sim Engine'!H39</f>
        <v>0.94267582410113127</v>
      </c>
    </row>
    <row r="45" spans="1:7" ht="16.5" customHeight="1" x14ac:dyDescent="0.25">
      <c r="A45" s="182" t="str">
        <f>'⚙️ Sim Engine'!A40</f>
        <v>Round of 64</v>
      </c>
      <c r="B45" s="183" t="str">
        <f>'⚙️ Sim Engine'!C40</f>
        <v>Saint Mary's Gaels</v>
      </c>
      <c r="C45" s="82">
        <f>'⚙️ Sim Engine'!D40</f>
        <v>67.599999999999994</v>
      </c>
      <c r="D45" s="183" t="str">
        <f>'⚙️ Sim Engine'!E40</f>
        <v>SMU Mustangs</v>
      </c>
      <c r="E45" s="82">
        <f>'⚙️ Sim Engine'!F40</f>
        <v>63.6</v>
      </c>
      <c r="F45" s="91">
        <f>'⚙️ Sim Engine'!G40</f>
        <v>3.9999999999999929</v>
      </c>
      <c r="G45" s="92">
        <f>'⚙️ Sim Engine'!H40</f>
        <v>0.63909274516285097</v>
      </c>
    </row>
    <row r="46" spans="1:7" ht="16.5" customHeight="1" x14ac:dyDescent="0.25">
      <c r="A46" s="182" t="str">
        <f>'⚙️ Sim Engine'!A41</f>
        <v>Round of 64</v>
      </c>
      <c r="B46" s="183" t="str">
        <f>'⚙️ Sim Engine'!C41</f>
        <v>Michigan State Spartans</v>
      </c>
      <c r="C46" s="82">
        <f>'⚙️ Sim Engine'!D41</f>
        <v>72.3</v>
      </c>
      <c r="D46" s="183" t="str">
        <f>'⚙️ Sim Engine'!E41</f>
        <v>Portland State Vikings</v>
      </c>
      <c r="E46" s="82">
        <f>'⚙️ Sim Engine'!F41</f>
        <v>53.9</v>
      </c>
      <c r="F46" s="91">
        <f>'⚙️ Sim Engine'!G41</f>
        <v>18.399999999999999</v>
      </c>
      <c r="G46" s="92">
        <f>'⚙️ Sim Engine'!H41</f>
        <v>0.93267790507977577</v>
      </c>
    </row>
    <row r="47" spans="1:7" ht="16.5" customHeight="1" x14ac:dyDescent="0.25">
      <c r="A47" s="184" t="str">
        <f>'⚙️ Sim Engine'!A43</f>
        <v>Round of 32</v>
      </c>
      <c r="B47" s="185" t="str">
        <f>'⚙️ Sim Engine'!C43</f>
        <v>Duke Blue Devils</v>
      </c>
      <c r="C47" s="82">
        <f>'⚙️ Sim Engine'!D43</f>
        <v>71</v>
      </c>
      <c r="D47" s="185" t="str">
        <f>'⚙️ Sim Engine'!E43</f>
        <v>UCF Knights</v>
      </c>
      <c r="E47" s="82">
        <f>'⚙️ Sim Engine'!F43</f>
        <v>61.5</v>
      </c>
      <c r="F47" s="100">
        <f>'⚙️ Sim Engine'!G43</f>
        <v>9.5</v>
      </c>
      <c r="G47" s="101">
        <f>'⚙️ Sim Engine'!H43</f>
        <v>0.79529494472803752</v>
      </c>
    </row>
    <row r="48" spans="1:7" ht="16.5" customHeight="1" x14ac:dyDescent="0.25">
      <c r="A48" s="184" t="str">
        <f>'⚙️ Sim Engine'!A44</f>
        <v>Round of 32</v>
      </c>
      <c r="B48" s="185" t="str">
        <f>'⚙️ Sim Engine'!C44</f>
        <v>Gonzaga Bulldogs</v>
      </c>
      <c r="C48" s="82">
        <f>'⚙️ Sim Engine'!D44</f>
        <v>69.5</v>
      </c>
      <c r="D48" s="185" t="str">
        <f>'⚙️ Sim Engine'!E44</f>
        <v>Vanderbilt Commodores</v>
      </c>
      <c r="E48" s="82">
        <f>'⚙️ Sim Engine'!F44</f>
        <v>67.099999999999994</v>
      </c>
      <c r="F48" s="100">
        <f>'⚙️ Sim Engine'!G44</f>
        <v>2.4000000000000057</v>
      </c>
      <c r="G48" s="101">
        <f>'⚙️ Sim Engine'!H44</f>
        <v>0.58488438971721979</v>
      </c>
    </row>
    <row r="49" spans="1:7" ht="16.5" customHeight="1" x14ac:dyDescent="0.25">
      <c r="A49" s="184" t="str">
        <f>'⚙️ Sim Engine'!A45</f>
        <v>Round of 32</v>
      </c>
      <c r="B49" s="185" t="str">
        <f>'⚙️ Sim Engine'!C45</f>
        <v>Iowa State Cyclones</v>
      </c>
      <c r="C49" s="82">
        <f>'⚙️ Sim Engine'!D45</f>
        <v>66.599999999999994</v>
      </c>
      <c r="D49" s="185" t="str">
        <f>'⚙️ Sim Engine'!E45</f>
        <v>Louisville Cardinals</v>
      </c>
      <c r="E49" s="82">
        <f>'⚙️ Sim Engine'!F45</f>
        <v>65.099999999999994</v>
      </c>
      <c r="F49" s="100">
        <f>'⚙️ Sim Engine'!G45</f>
        <v>1.5</v>
      </c>
      <c r="G49" s="101">
        <f>'⚙️ Sim Engine'!H45</f>
        <v>0.55336737279965287</v>
      </c>
    </row>
    <row r="50" spans="1:7" ht="16.5" customHeight="1" x14ac:dyDescent="0.25">
      <c r="A50" s="184" t="str">
        <f>'⚙️ Sim Engine'!A46</f>
        <v>Round of 32</v>
      </c>
      <c r="B50" s="185" t="str">
        <f>'⚙️ Sim Engine'!C46</f>
        <v>Illinois Fighting Illini</v>
      </c>
      <c r="C50" s="82">
        <f>'⚙️ Sim Engine'!D46</f>
        <v>68.3</v>
      </c>
      <c r="D50" s="185" t="str">
        <f>'⚙️ Sim Engine'!E46</f>
        <v>Utah State Aggies</v>
      </c>
      <c r="E50" s="82">
        <f>'⚙️ Sim Engine'!F46</f>
        <v>64.900000000000006</v>
      </c>
      <c r="F50" s="100">
        <f>'⚙️ Sim Engine'!G46</f>
        <v>3.3999999999999915</v>
      </c>
      <c r="G50" s="101">
        <f>'⚙️ Sim Engine'!H46</f>
        <v>0.61909630917262459</v>
      </c>
    </row>
    <row r="51" spans="1:7" ht="16.5" customHeight="1" x14ac:dyDescent="0.25">
      <c r="A51" s="184" t="str">
        <f>'⚙️ Sim Engine'!A47</f>
        <v>Round of 32</v>
      </c>
      <c r="B51" s="185" t="str">
        <f>'⚙️ Sim Engine'!C47</f>
        <v>UConn Huskies</v>
      </c>
      <c r="C51" s="82">
        <f>'⚙️ Sim Engine'!D47</f>
        <v>65.099999999999994</v>
      </c>
      <c r="D51" s="185" t="str">
        <f>'⚙️ Sim Engine'!E47</f>
        <v>Saint Louis Billikens</v>
      </c>
      <c r="E51" s="82">
        <f>'⚙️ Sim Engine'!F47</f>
        <v>64.5</v>
      </c>
      <c r="F51" s="100">
        <f>'⚙️ Sim Engine'!G47</f>
        <v>0.59999999999999432</v>
      </c>
      <c r="G51" s="101">
        <f>'⚙️ Sim Engine'!H47</f>
        <v>0.52141546152672391</v>
      </c>
    </row>
    <row r="52" spans="1:7" ht="16.5" customHeight="1" x14ac:dyDescent="0.25">
      <c r="A52" s="184" t="str">
        <f>'⚙️ Sim Engine'!A48</f>
        <v>Round of 32</v>
      </c>
      <c r="B52" s="185" t="str">
        <f>'⚙️ Sim Engine'!C48</f>
        <v>Kansas Jayhawks</v>
      </c>
      <c r="C52" s="82">
        <f>'⚙️ Sim Engine'!D48</f>
        <v>63</v>
      </c>
      <c r="D52" s="185" t="str">
        <f>'⚙️ Sim Engine'!E48</f>
        <v>Tennessee Volunteers</v>
      </c>
      <c r="E52" s="82">
        <f>'⚙️ Sim Engine'!F48</f>
        <v>64.599999999999994</v>
      </c>
      <c r="F52" s="100">
        <f>'⚙️ Sim Engine'!G48</f>
        <v>-1.5999999999999943</v>
      </c>
      <c r="G52" s="101">
        <f>'⚙️ Sim Engine'!H48</f>
        <v>0.44310463514496229</v>
      </c>
    </row>
    <row r="53" spans="1:7" ht="16.5" customHeight="1" x14ac:dyDescent="0.25">
      <c r="A53" s="184" t="str">
        <f>'⚙️ Sim Engine'!A49</f>
        <v>Round of 32</v>
      </c>
      <c r="B53" s="185" t="str">
        <f>'⚙️ Sim Engine'!C49</f>
        <v>Purdue Boilermakers</v>
      </c>
      <c r="C53" s="82">
        <f>'⚙️ Sim Engine'!D49</f>
        <v>66.099999999999994</v>
      </c>
      <c r="D53" s="185" t="str">
        <f>'⚙️ Sim Engine'!E49</f>
        <v>St. John's Red Storm</v>
      </c>
      <c r="E53" s="82">
        <f>'⚙️ Sim Engine'!F49</f>
        <v>65.2</v>
      </c>
      <c r="F53" s="100">
        <f>'⚙️ Sim Engine'!G49</f>
        <v>0.89999999999999147</v>
      </c>
      <c r="G53" s="101">
        <f>'⚙️ Sim Engine'!H49</f>
        <v>0.532098651789918</v>
      </c>
    </row>
    <row r="54" spans="1:7" ht="16.5" customHeight="1" x14ac:dyDescent="0.25">
      <c r="A54" s="184" t="str">
        <f>'⚙️ Sim Engine'!A50</f>
        <v>Round of 32</v>
      </c>
      <c r="B54" s="185" t="str">
        <f>'⚙️ Sim Engine'!C50</f>
        <v>Florida Gators</v>
      </c>
      <c r="C54" s="82">
        <f>'⚙️ Sim Engine'!D50</f>
        <v>68.5</v>
      </c>
      <c r="D54" s="185" t="str">
        <f>'⚙️ Sim Engine'!E50</f>
        <v>Villanova Wildcats</v>
      </c>
      <c r="E54" s="82">
        <f>'⚙️ Sim Engine'!F50</f>
        <v>63.6</v>
      </c>
      <c r="F54" s="100">
        <f>'⚙️ Sim Engine'!G50</f>
        <v>4.8999999999999986</v>
      </c>
      <c r="G54" s="101">
        <f>'⚙️ Sim Engine'!H50</f>
        <v>0.66818777216816605</v>
      </c>
    </row>
    <row r="55" spans="1:7" ht="16.5" customHeight="1" x14ac:dyDescent="0.25">
      <c r="A55" s="184" t="str">
        <f>'⚙️ Sim Engine'!A51</f>
        <v>Round of 32</v>
      </c>
      <c r="B55" s="185" t="str">
        <f>'⚙️ Sim Engine'!C51</f>
        <v>Michigan Wolverines</v>
      </c>
      <c r="C55" s="82">
        <f>'⚙️ Sim Engine'!D51</f>
        <v>66.7</v>
      </c>
      <c r="D55" s="185" t="str">
        <f>'⚙️ Sim Engine'!E51</f>
        <v>Iowa Hawkeyes</v>
      </c>
      <c r="E55" s="82">
        <f>'⚙️ Sim Engine'!F51</f>
        <v>60.4</v>
      </c>
      <c r="F55" s="100">
        <f>'⚙️ Sim Engine'!G51</f>
        <v>6.3000000000000043</v>
      </c>
      <c r="G55" s="101">
        <f>'⚙️ Sim Engine'!H51</f>
        <v>0.71094950262500411</v>
      </c>
    </row>
    <row r="56" spans="1:7" ht="16.5" customHeight="1" x14ac:dyDescent="0.25">
      <c r="A56" s="184" t="str">
        <f>'⚙️ Sim Engine'!A52</f>
        <v>Round of 32</v>
      </c>
      <c r="B56" s="185" t="str">
        <f>'⚙️ Sim Engine'!C52</f>
        <v>Virginia Cavaliers</v>
      </c>
      <c r="C56" s="82">
        <f>'⚙️ Sim Engine'!D52</f>
        <v>68.8</v>
      </c>
      <c r="D56" s="185" t="str">
        <f>'⚙️ Sim Engine'!E52</f>
        <v>Arkansas Razorbacks</v>
      </c>
      <c r="E56" s="82">
        <f>'⚙️ Sim Engine'!F52</f>
        <v>68.3</v>
      </c>
      <c r="F56" s="100">
        <f>'⚙️ Sim Engine'!G52</f>
        <v>0.5</v>
      </c>
      <c r="G56" s="101">
        <f>'⚙️ Sim Engine'!H52</f>
        <v>0.51784955440613467</v>
      </c>
    </row>
    <row r="57" spans="1:7" ht="16.5" customHeight="1" x14ac:dyDescent="0.25">
      <c r="A57" s="184" t="str">
        <f>'⚙️ Sim Engine'!A53</f>
        <v>Round of 32</v>
      </c>
      <c r="B57" s="185" t="str">
        <f>'⚙️ Sim Engine'!C53</f>
        <v>Nebraska Cornhuskers</v>
      </c>
      <c r="C57" s="82">
        <f>'⚙️ Sim Engine'!D53</f>
        <v>66.3</v>
      </c>
      <c r="D57" s="185" t="str">
        <f>'⚙️ Sim Engine'!E53</f>
        <v>BYU Cougars</v>
      </c>
      <c r="E57" s="82">
        <f>'⚙️ Sim Engine'!F53</f>
        <v>64.7</v>
      </c>
      <c r="F57" s="100">
        <f>'⚙️ Sim Engine'!G53</f>
        <v>1.5999999999999943</v>
      </c>
      <c r="G57" s="101">
        <f>'⚙️ Sim Engine'!H53</f>
        <v>0.55689536485503766</v>
      </c>
    </row>
    <row r="58" spans="1:7" ht="16.5" customHeight="1" x14ac:dyDescent="0.25">
      <c r="A58" s="184" t="str">
        <f>'⚙️ Sim Engine'!A54</f>
        <v>Round of 32</v>
      </c>
      <c r="B58" s="185" t="str">
        <f>'⚙️ Sim Engine'!C54</f>
        <v>Houston Cougars</v>
      </c>
      <c r="C58" s="82">
        <f>'⚙️ Sim Engine'!D54</f>
        <v>66.3</v>
      </c>
      <c r="D58" s="185" t="str">
        <f>'⚙️ Sim Engine'!E54</f>
        <v>Wisconsin Badgers</v>
      </c>
      <c r="E58" s="82">
        <f>'⚙️ Sim Engine'!F54</f>
        <v>61.8</v>
      </c>
      <c r="F58" s="100">
        <f>'⚙️ Sim Engine'!G54</f>
        <v>4.5</v>
      </c>
      <c r="G58" s="101">
        <f>'⚙️ Sim Engine'!H54</f>
        <v>0.65539903577126535</v>
      </c>
    </row>
    <row r="59" spans="1:7" ht="16.5" customHeight="1" x14ac:dyDescent="0.25">
      <c r="A59" s="184" t="str">
        <f>'⚙️ Sim Engine'!A55</f>
        <v>Round of 32</v>
      </c>
      <c r="B59" s="185" t="str">
        <f>'⚙️ Sim Engine'!C55</f>
        <v>Arizona Wildcats</v>
      </c>
      <c r="C59" s="82">
        <f>'⚙️ Sim Engine'!D55</f>
        <v>69</v>
      </c>
      <c r="D59" s="185" t="str">
        <f>'⚙️ Sim Engine'!E55</f>
        <v>Miami Hurricanes</v>
      </c>
      <c r="E59" s="82">
        <f>'⚙️ Sim Engine'!F55</f>
        <v>64.2</v>
      </c>
      <c r="F59" s="100">
        <f>'⚙️ Sim Engine'!G55</f>
        <v>4.7999999999999972</v>
      </c>
      <c r="G59" s="101">
        <f>'⚙️ Sim Engine'!H55</f>
        <v>0.66501287112251484</v>
      </c>
    </row>
    <row r="60" spans="1:7" ht="16.5" customHeight="1" x14ac:dyDescent="0.25">
      <c r="A60" s="184" t="str">
        <f>'⚙️ Sim Engine'!A56</f>
        <v>Round of 32</v>
      </c>
      <c r="B60" s="185" t="str">
        <f>'⚙️ Sim Engine'!C56</f>
        <v>Alabama Crimson Tide</v>
      </c>
      <c r="C60" s="82">
        <f>'⚙️ Sim Engine'!D56</f>
        <v>70.099999999999994</v>
      </c>
      <c r="D60" s="185" t="str">
        <f>'⚙️ Sim Engine'!E56</f>
        <v>North Carolina Tar Heels</v>
      </c>
      <c r="E60" s="82">
        <f>'⚙️ Sim Engine'!F56</f>
        <v>70.099999999999994</v>
      </c>
      <c r="F60" s="100">
        <f>'⚙️ Sim Engine'!G56</f>
        <v>0</v>
      </c>
      <c r="G60" s="101">
        <f>'⚙️ Sim Engine'!H56</f>
        <v>0.5</v>
      </c>
    </row>
    <row r="61" spans="1:7" ht="16.5" customHeight="1" x14ac:dyDescent="0.25">
      <c r="A61" s="184" t="str">
        <f>'⚙️ Sim Engine'!A57</f>
        <v>Round of 32</v>
      </c>
      <c r="B61" s="185" t="str">
        <f>'⚙️ Sim Engine'!C57</f>
        <v>Texas Tech Red Raiders</v>
      </c>
      <c r="C61" s="82">
        <f>'⚙️ Sim Engine'!D57</f>
        <v>67.7</v>
      </c>
      <c r="D61" s="185" t="str">
        <f>'⚙️ Sim Engine'!E57</f>
        <v>Kentucky Wildcats</v>
      </c>
      <c r="E61" s="82">
        <f>'⚙️ Sim Engine'!F57</f>
        <v>66.3</v>
      </c>
      <c r="F61" s="100">
        <f>'⚙️ Sim Engine'!G57</f>
        <v>1.4000000000000057</v>
      </c>
      <c r="G61" s="101">
        <f>'⚙️ Sim Engine'!H57</f>
        <v>0.54983399731247806</v>
      </c>
    </row>
    <row r="62" spans="1:7" ht="16.5" customHeight="1" x14ac:dyDescent="0.25">
      <c r="A62" s="184" t="str">
        <f>'⚙️ Sim Engine'!A58</f>
        <v>Round of 32</v>
      </c>
      <c r="B62" s="185" t="str">
        <f>'⚙️ Sim Engine'!C58</f>
        <v>Michigan State Spartans</v>
      </c>
      <c r="C62" s="82">
        <f>'⚙️ Sim Engine'!D58</f>
        <v>62.9</v>
      </c>
      <c r="D62" s="185" t="str">
        <f>'⚙️ Sim Engine'!E58</f>
        <v>Saint Mary's Gaels</v>
      </c>
      <c r="E62" s="82">
        <f>'⚙️ Sim Engine'!F58</f>
        <v>62.2</v>
      </c>
      <c r="F62" s="100">
        <f>'⚙️ Sim Engine'!G58</f>
        <v>0.69999999999999574</v>
      </c>
      <c r="G62" s="101">
        <f>'⚙️ Sim Engine'!H58</f>
        <v>0.52497918747893979</v>
      </c>
    </row>
    <row r="63" spans="1:7" ht="16.5" customHeight="1" x14ac:dyDescent="0.25">
      <c r="A63" s="186" t="str">
        <f>'⚙️ Sim Engine'!A60</f>
        <v>Sweet 16</v>
      </c>
      <c r="B63" s="187" t="str">
        <f>'⚙️ Sim Engine'!C60</f>
        <v>Duke Blue Devils</v>
      </c>
      <c r="C63" s="82">
        <f>'⚙️ Sim Engine'!D60</f>
        <v>65.400000000000006</v>
      </c>
      <c r="D63" s="187" t="str">
        <f>'⚙️ Sim Engine'!E60</f>
        <v>Gonzaga Bulldogs</v>
      </c>
      <c r="E63" s="82">
        <f>'⚙️ Sim Engine'!F60</f>
        <v>63.1</v>
      </c>
      <c r="F63" s="112">
        <f>'⚙️ Sim Engine'!G60</f>
        <v>2.3000000000000043</v>
      </c>
      <c r="G63" s="113">
        <f>'⚙️ Sim Engine'!H60</f>
        <v>0.58141174286290653</v>
      </c>
    </row>
    <row r="64" spans="1:7" ht="16.5" customHeight="1" x14ac:dyDescent="0.25">
      <c r="A64" s="186" t="str">
        <f>'⚙️ Sim Engine'!A61</f>
        <v>Sweet 16</v>
      </c>
      <c r="B64" s="187" t="str">
        <f>'⚙️ Sim Engine'!C61</f>
        <v>Illinois Fighting Illini</v>
      </c>
      <c r="C64" s="82">
        <f>'⚙️ Sim Engine'!D61</f>
        <v>65.8</v>
      </c>
      <c r="D64" s="187" t="str">
        <f>'⚙️ Sim Engine'!E61</f>
        <v>Iowa State Cyclones</v>
      </c>
      <c r="E64" s="82">
        <f>'⚙️ Sim Engine'!F61</f>
        <v>64.900000000000006</v>
      </c>
      <c r="F64" s="112">
        <f>'⚙️ Sim Engine'!G61</f>
        <v>0.89999999999999147</v>
      </c>
      <c r="G64" s="113">
        <f>'⚙️ Sim Engine'!H61</f>
        <v>0.532098651789918</v>
      </c>
    </row>
    <row r="65" spans="1:7" ht="16.5" customHeight="1" x14ac:dyDescent="0.25">
      <c r="A65" s="186" t="str">
        <f>'⚙️ Sim Engine'!A62</f>
        <v>Sweet 16</v>
      </c>
      <c r="B65" s="187" t="str">
        <f>'⚙️ Sim Engine'!C62</f>
        <v>UConn Huskies</v>
      </c>
      <c r="C65" s="82">
        <f>'⚙️ Sim Engine'!D62</f>
        <v>64.599999999999994</v>
      </c>
      <c r="D65" s="187" t="str">
        <f>'⚙️ Sim Engine'!E62</f>
        <v>Tennessee Volunteers</v>
      </c>
      <c r="E65" s="82">
        <f>'⚙️ Sim Engine'!F62</f>
        <v>62.5</v>
      </c>
      <c r="F65" s="112">
        <f>'⚙️ Sim Engine'!G62</f>
        <v>2.0999999999999943</v>
      </c>
      <c r="G65" s="113">
        <f>'⚙️ Sim Engine'!H62</f>
        <v>0.57444251681165881</v>
      </c>
    </row>
    <row r="66" spans="1:7" ht="16.5" customHeight="1" x14ac:dyDescent="0.25">
      <c r="A66" s="186" t="str">
        <f>'⚙️ Sim Engine'!A63</f>
        <v>Sweet 16</v>
      </c>
      <c r="B66" s="187" t="str">
        <f>'⚙️ Sim Engine'!C63</f>
        <v>Florida Gators</v>
      </c>
      <c r="C66" s="82">
        <f>'⚙️ Sim Engine'!D63</f>
        <v>67.5</v>
      </c>
      <c r="D66" s="187" t="str">
        <f>'⚙️ Sim Engine'!E63</f>
        <v>Purdue Boilermakers</v>
      </c>
      <c r="E66" s="82">
        <f>'⚙️ Sim Engine'!F63</f>
        <v>66.2</v>
      </c>
      <c r="F66" s="112">
        <f>'⚙️ Sim Engine'!G63</f>
        <v>1.2999999999999972</v>
      </c>
      <c r="G66" s="113">
        <f>'⚙️ Sim Engine'!H63</f>
        <v>0.54629558740614637</v>
      </c>
    </row>
    <row r="67" spans="1:7" ht="16.5" customHeight="1" x14ac:dyDescent="0.25">
      <c r="A67" s="186" t="str">
        <f>'⚙️ Sim Engine'!A64</f>
        <v>Sweet 16</v>
      </c>
      <c r="B67" s="187" t="str">
        <f>'⚙️ Sim Engine'!C64</f>
        <v>Michigan Wolverines</v>
      </c>
      <c r="C67" s="82">
        <f>'⚙️ Sim Engine'!D64</f>
        <v>68.099999999999994</v>
      </c>
      <c r="D67" s="187" t="str">
        <f>'⚙️ Sim Engine'!E64</f>
        <v>Virginia Cavaliers</v>
      </c>
      <c r="E67" s="82">
        <f>'⚙️ Sim Engine'!F64</f>
        <v>63.9</v>
      </c>
      <c r="F67" s="112">
        <f>'⚙️ Sim Engine'!G64</f>
        <v>4.1999999999999957</v>
      </c>
      <c r="G67" s="113">
        <f>'⚙️ Sim Engine'!H64</f>
        <v>0.64565630622579528</v>
      </c>
    </row>
    <row r="68" spans="1:7" ht="16.5" customHeight="1" x14ac:dyDescent="0.25">
      <c r="A68" s="186" t="str">
        <f>'⚙️ Sim Engine'!A65</f>
        <v>Sweet 16</v>
      </c>
      <c r="B68" s="187" t="str">
        <f>'⚙️ Sim Engine'!C65</f>
        <v>Houston Cougars</v>
      </c>
      <c r="C68" s="82">
        <f>'⚙️ Sim Engine'!D65</f>
        <v>62.7</v>
      </c>
      <c r="D68" s="187" t="str">
        <f>'⚙️ Sim Engine'!E65</f>
        <v>Arizona Wildcats</v>
      </c>
      <c r="E68" s="82">
        <f>'⚙️ Sim Engine'!F65</f>
        <v>63.8</v>
      </c>
      <c r="F68" s="112">
        <f>'⚙️ Sim Engine'!G65</f>
        <v>-1.0999999999999943</v>
      </c>
      <c r="G68" s="113">
        <f>'⚙️ Sim Engine'!H65</f>
        <v>0.46079492963054552</v>
      </c>
    </row>
    <row r="69" spans="1:7" ht="16.5" customHeight="1" x14ac:dyDescent="0.25">
      <c r="A69" s="186" t="str">
        <f>'⚙️ Sim Engine'!A66</f>
        <v>Sweet 16</v>
      </c>
      <c r="B69" s="187" t="str">
        <f>'⚙️ Sim Engine'!C66</f>
        <v>Arizona Wildcats</v>
      </c>
      <c r="C69" s="82">
        <f>'⚙️ Sim Engine'!D66</f>
        <v>68.5</v>
      </c>
      <c r="D69" s="187" t="str">
        <f>'⚙️ Sim Engine'!E66</f>
        <v>North Carolina Tar Heels</v>
      </c>
      <c r="E69" s="82">
        <f>'⚙️ Sim Engine'!F66</f>
        <v>64</v>
      </c>
      <c r="F69" s="112">
        <f>'⚙️ Sim Engine'!G66</f>
        <v>4.5</v>
      </c>
      <c r="G69" s="113">
        <f>'⚙️ Sim Engine'!H66</f>
        <v>0.65539903577126535</v>
      </c>
    </row>
    <row r="70" spans="1:7" ht="16.5" customHeight="1" x14ac:dyDescent="0.25">
      <c r="A70" s="186" t="str">
        <f>'⚙️ Sim Engine'!A67</f>
        <v>Sweet 16</v>
      </c>
      <c r="B70" s="187" t="str">
        <f>'⚙️ Sim Engine'!C67</f>
        <v>Michigan State Spartans</v>
      </c>
      <c r="C70" s="82">
        <f>'⚙️ Sim Engine'!D67</f>
        <v>65.7</v>
      </c>
      <c r="D70" s="187" t="str">
        <f>'⚙️ Sim Engine'!E67</f>
        <v>Texas Tech Red Raiders</v>
      </c>
      <c r="E70" s="82">
        <f>'⚙️ Sim Engine'!F67</f>
        <v>64.099999999999994</v>
      </c>
      <c r="F70" s="112">
        <f>'⚙️ Sim Engine'!G67</f>
        <v>1.6000000000000085</v>
      </c>
      <c r="G70" s="113">
        <f>'⚙️ Sim Engine'!H67</f>
        <v>0.55689536485503821</v>
      </c>
    </row>
    <row r="71" spans="1:7" ht="16.5" customHeight="1" x14ac:dyDescent="0.25">
      <c r="A71" s="188" t="str">
        <f>'⚙️ Sim Engine'!A69</f>
        <v>Elite 8</v>
      </c>
      <c r="B71" s="189" t="str">
        <f>'⚙️ Sim Engine'!C69</f>
        <v>Duke Blue Devils</v>
      </c>
      <c r="C71" s="82">
        <f>'⚙️ Sim Engine'!D69</f>
        <v>66.400000000000006</v>
      </c>
      <c r="D71" s="189" t="str">
        <f>'⚙️ Sim Engine'!E69</f>
        <v>Illinois Fighting Illini</v>
      </c>
      <c r="E71" s="82">
        <f>'⚙️ Sim Engine'!F69</f>
        <v>63.8</v>
      </c>
      <c r="F71" s="124">
        <f>'⚙️ Sim Engine'!G69</f>
        <v>2.6000000000000085</v>
      </c>
      <c r="G71" s="125">
        <f>'⚙️ Sim Engine'!H69</f>
        <v>0.59180412650033076</v>
      </c>
    </row>
    <row r="72" spans="1:7" ht="16.5" customHeight="1" x14ac:dyDescent="0.25">
      <c r="A72" s="188" t="str">
        <f>'⚙️ Sim Engine'!A70</f>
        <v>Elite 8</v>
      </c>
      <c r="B72" s="189" t="str">
        <f>'⚙️ Sim Engine'!C70</f>
        <v>UConn Huskies</v>
      </c>
      <c r="C72" s="82">
        <f>'⚙️ Sim Engine'!D70</f>
        <v>64.8</v>
      </c>
      <c r="D72" s="189" t="str">
        <f>'⚙️ Sim Engine'!E70</f>
        <v>Florida Gators</v>
      </c>
      <c r="E72" s="82">
        <f>'⚙️ Sim Engine'!F70</f>
        <v>65.599999999999994</v>
      </c>
      <c r="F72" s="124">
        <f>'⚙️ Sim Engine'!G70</f>
        <v>-0.79999999999999716</v>
      </c>
      <c r="G72" s="125">
        <f>'⚙️ Sim Engine'!H70</f>
        <v>0.47145962901773492</v>
      </c>
    </row>
    <row r="73" spans="1:7" ht="16.5" customHeight="1" x14ac:dyDescent="0.25">
      <c r="A73" s="188" t="str">
        <f>'⚙️ Sim Engine'!A71</f>
        <v>Elite 8</v>
      </c>
      <c r="B73" s="189" t="str">
        <f>'⚙️ Sim Engine'!C71</f>
        <v>Michigan Wolverines</v>
      </c>
      <c r="C73" s="82">
        <f>'⚙️ Sim Engine'!D71</f>
        <v>68.2</v>
      </c>
      <c r="D73" s="189" t="str">
        <f>'⚙️ Sim Engine'!E71</f>
        <v>Arizona Wildcats</v>
      </c>
      <c r="E73" s="82">
        <f>'⚙️ Sim Engine'!F71</f>
        <v>67.400000000000006</v>
      </c>
      <c r="F73" s="124">
        <f>'⚙️ Sim Engine'!G71</f>
        <v>0.79999999999999716</v>
      </c>
      <c r="G73" s="125">
        <f>'⚙️ Sim Engine'!H71</f>
        <v>0.52854037098226514</v>
      </c>
    </row>
    <row r="74" spans="1:7" ht="16.5" customHeight="1" x14ac:dyDescent="0.25">
      <c r="A74" s="188" t="str">
        <f>'⚙️ Sim Engine'!A72</f>
        <v>Elite 8</v>
      </c>
      <c r="B74" s="189" t="str">
        <f>'⚙️ Sim Engine'!C72</f>
        <v>Arizona Wildcats</v>
      </c>
      <c r="C74" s="82">
        <f>'⚙️ Sim Engine'!D72</f>
        <v>66.099999999999994</v>
      </c>
      <c r="D74" s="189" t="str">
        <f>'⚙️ Sim Engine'!E72</f>
        <v>Michigan State Spartans</v>
      </c>
      <c r="E74" s="82">
        <f>'⚙️ Sim Engine'!F72</f>
        <v>63.5</v>
      </c>
      <c r="F74" s="124">
        <f>'⚙️ Sim Engine'!G72</f>
        <v>2.5999999999999943</v>
      </c>
      <c r="G74" s="125">
        <f>'⚙️ Sim Engine'!H72</f>
        <v>0.59180412650033032</v>
      </c>
    </row>
    <row r="75" spans="1:7" ht="16.5" customHeight="1" x14ac:dyDescent="0.25">
      <c r="A75" s="190" t="str">
        <f>'⚙️ Sim Engine'!A74</f>
        <v>Final Four</v>
      </c>
      <c r="B75" s="191" t="str">
        <f>'⚙️ Sim Engine'!C74</f>
        <v>Duke Blue Devils</v>
      </c>
      <c r="C75" s="82">
        <f>'⚙️ Sim Engine'!D74</f>
        <v>67</v>
      </c>
      <c r="D75" s="191" t="str">
        <f>'⚙️ Sim Engine'!E74</f>
        <v>Florida Gators</v>
      </c>
      <c r="E75" s="82">
        <f>'⚙️ Sim Engine'!F74</f>
        <v>64.3</v>
      </c>
      <c r="F75" s="136">
        <f>'⚙️ Sim Engine'!G74</f>
        <v>2.7000000000000028</v>
      </c>
      <c r="G75" s="137">
        <f>'⚙️ Sim Engine'!H74</f>
        <v>0.5952505765163526</v>
      </c>
    </row>
    <row r="76" spans="1:7" ht="16.5" customHeight="1" x14ac:dyDescent="0.25">
      <c r="A76" s="190" t="str">
        <f>'⚙️ Sim Engine'!A75</f>
        <v>Final Four</v>
      </c>
      <c r="B76" s="191" t="str">
        <f>'⚙️ Sim Engine'!C75</f>
        <v>Michigan Wolverines</v>
      </c>
      <c r="C76" s="82">
        <f>'⚙️ Sim Engine'!D75</f>
        <v>68.2</v>
      </c>
      <c r="D76" s="191" t="str">
        <f>'⚙️ Sim Engine'!E75</f>
        <v>Arizona Wildcats</v>
      </c>
      <c r="E76" s="82">
        <f>'⚙️ Sim Engine'!F75</f>
        <v>67.400000000000006</v>
      </c>
      <c r="F76" s="136">
        <f>'⚙️ Sim Engine'!G75</f>
        <v>0.79999999999999716</v>
      </c>
      <c r="G76" s="137">
        <f>'⚙️ Sim Engine'!H75</f>
        <v>0.52854037098226514</v>
      </c>
    </row>
    <row r="77" spans="1:7" ht="21.75" customHeight="1" x14ac:dyDescent="0.25">
      <c r="A77" s="140" t="str">
        <f>'⚙️ Sim Engine'!A77</f>
        <v>Championship</v>
      </c>
      <c r="B77" s="141" t="str">
        <f>'⚙️ Sim Engine'!C77</f>
        <v>Duke Blue Devils</v>
      </c>
      <c r="C77" s="142">
        <f>'⚙️ Sim Engine'!D77</f>
        <v>65.599999999999994</v>
      </c>
      <c r="D77" s="141" t="str">
        <f>'⚙️ Sim Engine'!E77</f>
        <v>Michigan Wolverines</v>
      </c>
      <c r="E77" s="142">
        <f>'⚙️ Sim Engine'!F77</f>
        <v>64.8</v>
      </c>
      <c r="F77" s="142">
        <f>'⚙️ Sim Engine'!G77</f>
        <v>0.79999999999999716</v>
      </c>
      <c r="G77" s="143">
        <f>'⚙️ Sim Engine'!H77</f>
        <v>0.52854037098226514</v>
      </c>
    </row>
    <row r="79" spans="1:7" ht="24" customHeight="1" x14ac:dyDescent="0.25">
      <c r="A79" s="275" t="s">
        <v>487</v>
      </c>
      <c r="B79" s="261"/>
      <c r="C79" s="261"/>
      <c r="D79" s="261"/>
      <c r="E79" s="261"/>
      <c r="F79" s="261"/>
      <c r="G79" s="261"/>
    </row>
  </sheetData>
  <mergeCells count="6">
    <mergeCell ref="A1:G1"/>
    <mergeCell ref="A9:G9"/>
    <mergeCell ref="A79:G79"/>
    <mergeCell ref="A3:G4"/>
    <mergeCell ref="A2:G2"/>
    <mergeCell ref="A5:G5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5"/>
  <sheetViews>
    <sheetView zoomScaleNormal="100" workbookViewId="0">
      <selection activeCell="M20" sqref="M20"/>
    </sheetView>
  </sheetViews>
  <sheetFormatPr defaultColWidth="8.5703125" defaultRowHeight="15" x14ac:dyDescent="0.25"/>
  <cols>
    <col min="1" max="1" width="8" customWidth="1"/>
    <col min="2" max="2" width="35" customWidth="1"/>
    <col min="3" max="3" width="40" customWidth="1"/>
    <col min="4" max="5" width="15" customWidth="1"/>
  </cols>
  <sheetData>
    <row r="1" spans="1:5" ht="24" customHeight="1" x14ac:dyDescent="0.4">
      <c r="A1" s="282" t="s">
        <v>488</v>
      </c>
      <c r="B1" s="261"/>
      <c r="C1" s="261"/>
      <c r="D1" s="261"/>
      <c r="E1" s="261"/>
    </row>
    <row r="3" spans="1:5" ht="18.75" customHeight="1" x14ac:dyDescent="0.3">
      <c r="A3" s="285" t="s">
        <v>489</v>
      </c>
      <c r="B3" s="261"/>
      <c r="C3" s="261"/>
      <c r="D3" s="261"/>
      <c r="E3" s="261"/>
    </row>
    <row r="5" spans="1:5" ht="15.75" customHeight="1" x14ac:dyDescent="0.25">
      <c r="A5" t="s">
        <v>490</v>
      </c>
      <c r="B5" s="280" t="s">
        <v>491</v>
      </c>
      <c r="C5" s="261"/>
      <c r="D5" s="261"/>
      <c r="E5" s="261"/>
    </row>
    <row r="6" spans="1:5" ht="15.75" customHeight="1" x14ac:dyDescent="0.25">
      <c r="A6" t="s">
        <v>492</v>
      </c>
      <c r="B6" s="280" t="s">
        <v>493</v>
      </c>
      <c r="C6" s="261"/>
      <c r="D6" s="261"/>
      <c r="E6" s="261"/>
    </row>
    <row r="7" spans="1:5" ht="15" customHeight="1" x14ac:dyDescent="0.25">
      <c r="B7" s="279" t="s">
        <v>494</v>
      </c>
      <c r="C7" s="261"/>
      <c r="D7" s="261"/>
      <c r="E7" s="261"/>
    </row>
    <row r="8" spans="1:5" ht="15" customHeight="1" x14ac:dyDescent="0.25">
      <c r="B8" s="279" t="s">
        <v>495</v>
      </c>
      <c r="C8" s="261"/>
      <c r="D8" s="261"/>
      <c r="E8" s="261"/>
    </row>
    <row r="9" spans="1:5" ht="15" customHeight="1" x14ac:dyDescent="0.25">
      <c r="B9" s="279" t="s">
        <v>496</v>
      </c>
      <c r="C9" s="261"/>
      <c r="D9" s="261"/>
      <c r="E9" s="261"/>
    </row>
    <row r="10" spans="1:5" ht="15.75" customHeight="1" x14ac:dyDescent="0.25">
      <c r="A10" t="s">
        <v>497</v>
      </c>
      <c r="B10" s="280" t="s">
        <v>498</v>
      </c>
      <c r="C10" s="261"/>
      <c r="D10" s="261"/>
      <c r="E10" s="261"/>
    </row>
    <row r="13" spans="1:5" ht="17.25" customHeight="1" x14ac:dyDescent="0.3">
      <c r="A13" s="288" t="s">
        <v>499</v>
      </c>
      <c r="B13" s="261"/>
      <c r="C13" s="261"/>
      <c r="D13" s="261"/>
      <c r="E13" s="261"/>
    </row>
    <row r="15" spans="1:5" ht="18.75" customHeight="1" x14ac:dyDescent="0.3">
      <c r="A15" s="192" t="s">
        <v>500</v>
      </c>
      <c r="B15" s="147" t="s">
        <v>501</v>
      </c>
      <c r="C15" s="279" t="s">
        <v>502</v>
      </c>
      <c r="D15" s="261"/>
      <c r="E15" s="261"/>
    </row>
    <row r="16" spans="1:5" ht="18.75" customHeight="1" x14ac:dyDescent="0.3">
      <c r="A16" s="192" t="s">
        <v>503</v>
      </c>
      <c r="B16" s="147" t="s">
        <v>168</v>
      </c>
      <c r="C16" s="279" t="s">
        <v>504</v>
      </c>
      <c r="D16" s="261"/>
      <c r="E16" s="261"/>
    </row>
    <row r="17" spans="1:5" ht="18.75" customHeight="1" x14ac:dyDescent="0.3">
      <c r="A17" s="192" t="s">
        <v>505</v>
      </c>
      <c r="B17" s="147" t="s">
        <v>169</v>
      </c>
      <c r="C17" s="279" t="s">
        <v>506</v>
      </c>
      <c r="D17" s="261"/>
      <c r="E17" s="261"/>
    </row>
    <row r="18" spans="1:5" ht="18.75" customHeight="1" x14ac:dyDescent="0.3">
      <c r="A18" s="192" t="s">
        <v>507</v>
      </c>
      <c r="B18" s="147" t="s">
        <v>508</v>
      </c>
      <c r="C18" s="279" t="s">
        <v>509</v>
      </c>
      <c r="D18" s="261"/>
      <c r="E18" s="261"/>
    </row>
    <row r="19" spans="1:5" ht="18.75" customHeight="1" x14ac:dyDescent="0.3">
      <c r="A19" s="192" t="s">
        <v>510</v>
      </c>
      <c r="B19" s="147" t="s">
        <v>172</v>
      </c>
      <c r="C19" s="279" t="s">
        <v>511</v>
      </c>
      <c r="D19" s="261"/>
      <c r="E19" s="261"/>
    </row>
    <row r="22" spans="1:5" ht="17.25" customHeight="1" x14ac:dyDescent="0.3">
      <c r="A22" s="286" t="s">
        <v>512</v>
      </c>
      <c r="B22" s="261"/>
      <c r="C22" s="261"/>
      <c r="D22" s="261"/>
      <c r="E22" s="261"/>
    </row>
    <row r="24" spans="1:5" ht="15" customHeight="1" x14ac:dyDescent="0.25">
      <c r="A24" s="193" t="s">
        <v>513</v>
      </c>
      <c r="B24" s="193" t="s">
        <v>514</v>
      </c>
      <c r="C24" s="193" t="s">
        <v>515</v>
      </c>
    </row>
    <row r="25" spans="1:5" ht="15" customHeight="1" x14ac:dyDescent="0.25">
      <c r="A25" t="s">
        <v>516</v>
      </c>
      <c r="B25" s="281" t="s">
        <v>517</v>
      </c>
      <c r="C25" s="261"/>
      <c r="D25" s="261"/>
      <c r="E25" s="261"/>
    </row>
    <row r="26" spans="1:5" ht="15" customHeight="1" x14ac:dyDescent="0.25">
      <c r="A26" t="s">
        <v>518</v>
      </c>
      <c r="B26" s="281" t="s">
        <v>519</v>
      </c>
      <c r="C26" s="261"/>
      <c r="D26" s="261"/>
      <c r="E26" s="261"/>
    </row>
    <row r="27" spans="1:5" ht="15" customHeight="1" x14ac:dyDescent="0.25">
      <c r="A27" t="s">
        <v>520</v>
      </c>
      <c r="B27" s="281" t="s">
        <v>521</v>
      </c>
      <c r="C27" s="261"/>
      <c r="D27" s="261"/>
      <c r="E27" s="261"/>
    </row>
    <row r="28" spans="1:5" ht="15" customHeight="1" x14ac:dyDescent="0.25">
      <c r="A28" t="s">
        <v>522</v>
      </c>
      <c r="B28" s="281" t="s">
        <v>523</v>
      </c>
      <c r="C28" s="261"/>
      <c r="D28" s="261"/>
      <c r="E28" s="261"/>
    </row>
    <row r="29" spans="1:5" ht="15" customHeight="1" x14ac:dyDescent="0.25">
      <c r="A29" t="s">
        <v>524</v>
      </c>
      <c r="B29" s="281" t="s">
        <v>525</v>
      </c>
      <c r="C29" s="261"/>
      <c r="D29" s="261"/>
      <c r="E29" s="261"/>
    </row>
    <row r="30" spans="1:5" ht="15" customHeight="1" x14ac:dyDescent="0.25">
      <c r="A30" t="s">
        <v>526</v>
      </c>
      <c r="B30" s="281" t="s">
        <v>527</v>
      </c>
      <c r="C30" s="261"/>
      <c r="D30" s="261"/>
      <c r="E30" s="261"/>
    </row>
    <row r="31" spans="1:5" ht="15" customHeight="1" x14ac:dyDescent="0.25">
      <c r="A31" t="s">
        <v>528</v>
      </c>
      <c r="B31" s="281" t="s">
        <v>529</v>
      </c>
      <c r="C31" s="261"/>
      <c r="D31" s="261"/>
      <c r="E31" s="261"/>
    </row>
    <row r="32" spans="1:5" ht="15" customHeight="1" x14ac:dyDescent="0.25">
      <c r="A32" t="s">
        <v>530</v>
      </c>
      <c r="B32" s="281" t="s">
        <v>531</v>
      </c>
      <c r="C32" s="261"/>
      <c r="D32" s="261"/>
      <c r="E32" s="261"/>
    </row>
    <row r="35" spans="1:5" ht="17.25" customHeight="1" x14ac:dyDescent="0.3">
      <c r="A35" s="287" t="s">
        <v>532</v>
      </c>
      <c r="B35" s="261"/>
      <c r="C35" s="261"/>
      <c r="D35" s="261"/>
      <c r="E35" s="261"/>
    </row>
    <row r="37" spans="1:5" ht="15" customHeight="1" x14ac:dyDescent="0.25">
      <c r="A37" s="284" t="s">
        <v>533</v>
      </c>
      <c r="B37" s="261"/>
      <c r="C37" s="261"/>
      <c r="D37" s="261"/>
      <c r="E37" s="261"/>
    </row>
    <row r="38" spans="1:5" ht="15" customHeight="1" x14ac:dyDescent="0.25">
      <c r="A38" s="261" t="s">
        <v>534</v>
      </c>
      <c r="B38" s="261"/>
      <c r="C38" s="261"/>
      <c r="D38" s="261"/>
      <c r="E38" s="261"/>
    </row>
    <row r="39" spans="1:5" ht="15" customHeight="1" x14ac:dyDescent="0.25">
      <c r="A39" s="261" t="s">
        <v>535</v>
      </c>
      <c r="B39" s="261"/>
      <c r="C39" s="261"/>
      <c r="D39" s="261"/>
      <c r="E39" s="261"/>
    </row>
    <row r="40" spans="1:5" ht="15" customHeight="1" x14ac:dyDescent="0.25">
      <c r="A40" s="261" t="s">
        <v>536</v>
      </c>
      <c r="B40" s="261"/>
      <c r="C40" s="261"/>
      <c r="D40" s="261"/>
      <c r="E40" s="261"/>
    </row>
    <row r="41" spans="1:5" ht="15" customHeight="1" x14ac:dyDescent="0.25">
      <c r="A41" s="261" t="s">
        <v>537</v>
      </c>
      <c r="B41" s="261"/>
      <c r="C41" s="261"/>
      <c r="D41" s="261"/>
      <c r="E41" s="261"/>
    </row>
    <row r="42" spans="1:5" ht="15" customHeight="1" x14ac:dyDescent="0.25">
      <c r="A42" s="261" t="s">
        <v>538</v>
      </c>
      <c r="B42" s="261"/>
      <c r="C42" s="261"/>
      <c r="D42" s="261"/>
      <c r="E42" s="261"/>
    </row>
    <row r="45" spans="1:5" ht="17.25" customHeight="1" x14ac:dyDescent="0.3">
      <c r="A45" s="283" t="s">
        <v>539</v>
      </c>
      <c r="B45" s="261"/>
      <c r="C45" s="261"/>
      <c r="D45" s="261"/>
      <c r="E45" s="261"/>
    </row>
    <row r="47" spans="1:5" ht="15" customHeight="1" x14ac:dyDescent="0.25">
      <c r="A47" s="279" t="s">
        <v>540</v>
      </c>
      <c r="B47" s="261"/>
      <c r="C47" s="261"/>
      <c r="D47" s="261"/>
      <c r="E47" s="261"/>
    </row>
    <row r="48" spans="1:5" ht="15" customHeight="1" x14ac:dyDescent="0.25">
      <c r="A48" s="279" t="s">
        <v>541</v>
      </c>
      <c r="B48" s="261"/>
      <c r="C48" s="261"/>
      <c r="D48" s="261"/>
      <c r="E48" s="261"/>
    </row>
    <row r="49" spans="1:5" ht="15" customHeight="1" x14ac:dyDescent="0.25">
      <c r="A49" s="279" t="s">
        <v>542</v>
      </c>
      <c r="B49" s="261"/>
      <c r="C49" s="261"/>
      <c r="D49" s="261"/>
      <c r="E49" s="261"/>
    </row>
    <row r="50" spans="1:5" ht="15" customHeight="1" x14ac:dyDescent="0.25">
      <c r="A50" s="279" t="s">
        <v>543</v>
      </c>
      <c r="B50" s="261"/>
      <c r="C50" s="261"/>
      <c r="D50" s="261"/>
      <c r="E50" s="261"/>
    </row>
    <row r="51" spans="1:5" ht="15" customHeight="1" x14ac:dyDescent="0.25">
      <c r="A51" s="279" t="s">
        <v>544</v>
      </c>
      <c r="B51" s="261"/>
      <c r="C51" s="261"/>
      <c r="D51" s="261"/>
      <c r="E51" s="261"/>
    </row>
    <row r="53" spans="1:5" ht="15" customHeight="1" x14ac:dyDescent="0.25">
      <c r="A53" s="195" t="s">
        <v>545</v>
      </c>
    </row>
    <row r="54" spans="1:5" ht="15" customHeight="1" x14ac:dyDescent="0.25">
      <c r="A54" t="s">
        <v>546</v>
      </c>
    </row>
    <row r="55" spans="1:5" ht="15" customHeight="1" x14ac:dyDescent="0.25">
      <c r="A55" t="s">
        <v>547</v>
      </c>
    </row>
  </sheetData>
  <mergeCells count="36">
    <mergeCell ref="A13:E13"/>
    <mergeCell ref="B10:E10"/>
    <mergeCell ref="B28:E28"/>
    <mergeCell ref="A40:E40"/>
    <mergeCell ref="A51:E51"/>
    <mergeCell ref="A49:E49"/>
    <mergeCell ref="A1:E1"/>
    <mergeCell ref="A45:E45"/>
    <mergeCell ref="B5:E5"/>
    <mergeCell ref="B32:E32"/>
    <mergeCell ref="B26:E26"/>
    <mergeCell ref="A41:E41"/>
    <mergeCell ref="B7:E7"/>
    <mergeCell ref="C17:E17"/>
    <mergeCell ref="B25:E25"/>
    <mergeCell ref="A37:E37"/>
    <mergeCell ref="A3:E3"/>
    <mergeCell ref="B31:E31"/>
    <mergeCell ref="B27:E27"/>
    <mergeCell ref="A50:E50"/>
    <mergeCell ref="C16:E16"/>
    <mergeCell ref="A39:E39"/>
    <mergeCell ref="B9:E9"/>
    <mergeCell ref="A48:E48"/>
    <mergeCell ref="B6:E6"/>
    <mergeCell ref="B30:E30"/>
    <mergeCell ref="C19:E19"/>
    <mergeCell ref="A42:E42"/>
    <mergeCell ref="C18:E18"/>
    <mergeCell ref="A47:E47"/>
    <mergeCell ref="A22:E22"/>
    <mergeCell ref="C15:E15"/>
    <mergeCell ref="A35:E35"/>
    <mergeCell ref="B8:E8"/>
    <mergeCell ref="A38:E38"/>
    <mergeCell ref="B29:E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78"/>
  <sheetViews>
    <sheetView zoomScaleNormal="100" workbookViewId="0">
      <selection activeCell="L53" sqref="L53"/>
    </sheetView>
  </sheetViews>
  <sheetFormatPr defaultColWidth="8.5703125" defaultRowHeight="15" x14ac:dyDescent="0.25"/>
  <cols>
    <col min="1" max="1" width="25" customWidth="1"/>
    <col min="2" max="2" width="30" customWidth="1"/>
    <col min="3" max="3" width="12" customWidth="1"/>
    <col min="4" max="4" width="50" customWidth="1"/>
    <col min="5" max="6" width="15" customWidth="1"/>
  </cols>
  <sheetData>
    <row r="1" spans="1:6" ht="21" customHeight="1" x14ac:dyDescent="0.35">
      <c r="A1" s="291" t="s">
        <v>548</v>
      </c>
      <c r="B1" s="261"/>
      <c r="C1" s="261"/>
      <c r="D1" s="261"/>
      <c r="E1" s="261"/>
      <c r="F1" s="261"/>
    </row>
    <row r="3" spans="1:6" ht="17.25" customHeight="1" x14ac:dyDescent="0.3">
      <c r="A3" s="290" t="s">
        <v>549</v>
      </c>
      <c r="B3" s="261"/>
      <c r="C3" s="261"/>
      <c r="D3" s="261"/>
      <c r="E3" s="261"/>
      <c r="F3" s="261"/>
    </row>
    <row r="5" spans="1:6" ht="15" customHeight="1" x14ac:dyDescent="0.25">
      <c r="A5" s="147" t="s">
        <v>550</v>
      </c>
    </row>
    <row r="6" spans="1:6" ht="27.75" customHeight="1" x14ac:dyDescent="0.25">
      <c r="A6" s="281" t="s">
        <v>551</v>
      </c>
      <c r="B6" s="261"/>
      <c r="C6" s="261"/>
      <c r="D6" s="261"/>
      <c r="E6" s="261"/>
      <c r="F6" s="261"/>
    </row>
    <row r="8" spans="1:6" ht="15" customHeight="1" x14ac:dyDescent="0.25">
      <c r="A8" s="147" t="s">
        <v>552</v>
      </c>
    </row>
    <row r="9" spans="1:6" ht="27.75" customHeight="1" x14ac:dyDescent="0.25">
      <c r="A9" s="281" t="s">
        <v>553</v>
      </c>
      <c r="B9" s="261"/>
      <c r="C9" s="261"/>
      <c r="D9" s="261"/>
      <c r="E9" s="261"/>
      <c r="F9" s="261"/>
    </row>
    <row r="11" spans="1:6" ht="15" customHeight="1" x14ac:dyDescent="0.25">
      <c r="A11" s="147" t="s">
        <v>554</v>
      </c>
    </row>
    <row r="12" spans="1:6" ht="15" customHeight="1" x14ac:dyDescent="0.25">
      <c r="A12" s="281" t="s">
        <v>555</v>
      </c>
      <c r="B12" s="261"/>
      <c r="C12" s="261"/>
      <c r="D12" s="261"/>
      <c r="E12" s="261"/>
      <c r="F12" s="261"/>
    </row>
    <row r="14" spans="1:6" ht="15" customHeight="1" x14ac:dyDescent="0.25">
      <c r="A14" s="147" t="s">
        <v>556</v>
      </c>
    </row>
    <row r="15" spans="1:6" ht="15" customHeight="1" x14ac:dyDescent="0.25">
      <c r="A15" s="281" t="s">
        <v>557</v>
      </c>
      <c r="B15" s="261"/>
      <c r="C15" s="261"/>
      <c r="D15" s="261"/>
      <c r="E15" s="261"/>
      <c r="F15" s="261"/>
    </row>
    <row r="17" spans="1:6" ht="15" customHeight="1" x14ac:dyDescent="0.25">
      <c r="A17" s="147" t="s">
        <v>558</v>
      </c>
    </row>
    <row r="18" spans="1:6" ht="15" customHeight="1" x14ac:dyDescent="0.25">
      <c r="A18" s="281" t="s">
        <v>559</v>
      </c>
      <c r="B18" s="261"/>
      <c r="C18" s="261"/>
      <c r="D18" s="261"/>
      <c r="E18" s="261"/>
      <c r="F18" s="261"/>
    </row>
    <row r="20" spans="1:6" ht="15" customHeight="1" x14ac:dyDescent="0.25">
      <c r="A20" s="147" t="s">
        <v>560</v>
      </c>
    </row>
    <row r="21" spans="1:6" ht="15" customHeight="1" x14ac:dyDescent="0.25">
      <c r="A21" s="281" t="s">
        <v>561</v>
      </c>
      <c r="B21" s="261"/>
      <c r="C21" s="261"/>
      <c r="D21" s="261"/>
      <c r="E21" s="261"/>
      <c r="F21" s="261"/>
    </row>
    <row r="23" spans="1:6" ht="15" customHeight="1" x14ac:dyDescent="0.25">
      <c r="A23" s="147" t="s">
        <v>562</v>
      </c>
    </row>
    <row r="24" spans="1:6" ht="15" customHeight="1" x14ac:dyDescent="0.25">
      <c r="A24" s="281" t="s">
        <v>563</v>
      </c>
      <c r="B24" s="261"/>
      <c r="C24" s="261"/>
      <c r="D24" s="261"/>
      <c r="E24" s="261"/>
      <c r="F24" s="261"/>
    </row>
    <row r="27" spans="1:6" ht="17.25" customHeight="1" x14ac:dyDescent="0.3">
      <c r="A27" s="289" t="s">
        <v>564</v>
      </c>
      <c r="B27" s="261"/>
      <c r="C27" s="261"/>
      <c r="D27" s="261"/>
      <c r="E27" s="261"/>
      <c r="F27" s="261"/>
    </row>
    <row r="29" spans="1:6" ht="15" customHeight="1" x14ac:dyDescent="0.25">
      <c r="A29" s="193" t="s">
        <v>565</v>
      </c>
      <c r="B29" s="193" t="s">
        <v>566</v>
      </c>
      <c r="C29" s="193" t="s">
        <v>567</v>
      </c>
      <c r="D29" s="193" t="s">
        <v>568</v>
      </c>
    </row>
    <row r="30" spans="1:6" ht="15" customHeight="1" x14ac:dyDescent="0.25">
      <c r="A30" t="s">
        <v>569</v>
      </c>
      <c r="B30" t="s">
        <v>570</v>
      </c>
      <c r="C30" t="s">
        <v>571</v>
      </c>
      <c r="D30" s="194" t="s">
        <v>572</v>
      </c>
    </row>
    <row r="31" spans="1:6" ht="15" customHeight="1" x14ac:dyDescent="0.25">
      <c r="A31" t="s">
        <v>573</v>
      </c>
      <c r="B31" t="s">
        <v>574</v>
      </c>
      <c r="C31" t="s">
        <v>575</v>
      </c>
      <c r="D31" s="194" t="s">
        <v>576</v>
      </c>
    </row>
    <row r="32" spans="1:6" ht="15" customHeight="1" x14ac:dyDescent="0.25">
      <c r="A32" t="s">
        <v>140</v>
      </c>
      <c r="B32" t="s">
        <v>577</v>
      </c>
      <c r="C32" t="s">
        <v>578</v>
      </c>
      <c r="D32" s="194" t="s">
        <v>579</v>
      </c>
    </row>
    <row r="33" spans="1:6" ht="30" customHeight="1" x14ac:dyDescent="0.25">
      <c r="A33" t="s">
        <v>580</v>
      </c>
      <c r="B33" t="s">
        <v>581</v>
      </c>
      <c r="C33">
        <v>0.7</v>
      </c>
      <c r="D33" s="194" t="s">
        <v>582</v>
      </c>
    </row>
    <row r="34" spans="1:6" ht="15" customHeight="1" x14ac:dyDescent="0.25">
      <c r="A34" t="s">
        <v>583</v>
      </c>
      <c r="B34" t="s">
        <v>584</v>
      </c>
      <c r="C34" t="s">
        <v>585</v>
      </c>
      <c r="D34" s="194" t="s">
        <v>586</v>
      </c>
    </row>
    <row r="37" spans="1:6" ht="17.25" customHeight="1" x14ac:dyDescent="0.3">
      <c r="A37" s="288" t="s">
        <v>587</v>
      </c>
      <c r="B37" s="261"/>
      <c r="C37" s="261"/>
      <c r="D37" s="261"/>
      <c r="E37" s="261"/>
      <c r="F37" s="261"/>
    </row>
    <row r="39" spans="1:6" ht="15" customHeight="1" x14ac:dyDescent="0.25">
      <c r="A39" t="s">
        <v>588</v>
      </c>
    </row>
    <row r="40" spans="1:6" ht="15" customHeight="1" x14ac:dyDescent="0.25">
      <c r="A40" t="s">
        <v>589</v>
      </c>
    </row>
    <row r="41" spans="1:6" ht="15" customHeight="1" x14ac:dyDescent="0.25">
      <c r="A41" t="s">
        <v>590</v>
      </c>
    </row>
    <row r="42" spans="1:6" ht="15" customHeight="1" x14ac:dyDescent="0.25">
      <c r="A42" t="s">
        <v>591</v>
      </c>
    </row>
    <row r="43" spans="1:6" ht="15" customHeight="1" x14ac:dyDescent="0.25">
      <c r="A43" t="s">
        <v>592</v>
      </c>
    </row>
    <row r="44" spans="1:6" ht="15" customHeight="1" x14ac:dyDescent="0.25">
      <c r="A44" t="s">
        <v>593</v>
      </c>
    </row>
    <row r="45" spans="1:6" ht="15" customHeight="1" x14ac:dyDescent="0.25">
      <c r="A45" t="s">
        <v>594</v>
      </c>
    </row>
    <row r="48" spans="1:6" ht="17.25" customHeight="1" x14ac:dyDescent="0.3">
      <c r="A48" s="287" t="s">
        <v>595</v>
      </c>
      <c r="B48" s="261"/>
      <c r="C48" s="261"/>
      <c r="D48" s="261"/>
      <c r="E48" s="261"/>
      <c r="F48" s="261"/>
    </row>
    <row r="50" spans="1:6" ht="15" customHeight="1" x14ac:dyDescent="0.25">
      <c r="A50" s="193" t="s">
        <v>596</v>
      </c>
      <c r="B50" s="193" t="s">
        <v>597</v>
      </c>
    </row>
    <row r="51" spans="1:6" ht="15" customHeight="1" x14ac:dyDescent="0.25">
      <c r="A51" t="s">
        <v>598</v>
      </c>
      <c r="B51" t="s">
        <v>599</v>
      </c>
    </row>
    <row r="52" spans="1:6" ht="15" customHeight="1" x14ac:dyDescent="0.25">
      <c r="A52" t="s">
        <v>600</v>
      </c>
      <c r="B52" t="s">
        <v>601</v>
      </c>
    </row>
    <row r="53" spans="1:6" ht="15" customHeight="1" x14ac:dyDescent="0.25">
      <c r="A53" t="s">
        <v>602</v>
      </c>
      <c r="B53" t="s">
        <v>603</v>
      </c>
    </row>
    <row r="54" spans="1:6" ht="15" customHeight="1" x14ac:dyDescent="0.25">
      <c r="A54" t="s">
        <v>604</v>
      </c>
      <c r="B54" t="s">
        <v>605</v>
      </c>
    </row>
    <row r="55" spans="1:6" ht="15" customHeight="1" x14ac:dyDescent="0.25">
      <c r="A55" t="s">
        <v>606</v>
      </c>
      <c r="B55" t="s">
        <v>607</v>
      </c>
    </row>
    <row r="56" spans="1:6" ht="15" customHeight="1" x14ac:dyDescent="0.25">
      <c r="A56" t="s">
        <v>608</v>
      </c>
      <c r="B56" t="s">
        <v>609</v>
      </c>
    </row>
    <row r="57" spans="1:6" ht="15" customHeight="1" x14ac:dyDescent="0.25">
      <c r="A57" t="s">
        <v>610</v>
      </c>
      <c r="B57" t="s">
        <v>611</v>
      </c>
    </row>
    <row r="58" spans="1:6" ht="15" customHeight="1" x14ac:dyDescent="0.25">
      <c r="A58" t="s">
        <v>612</v>
      </c>
      <c r="B58" t="s">
        <v>613</v>
      </c>
    </row>
    <row r="61" spans="1:6" ht="17.25" customHeight="1" x14ac:dyDescent="0.3">
      <c r="A61" s="286" t="s">
        <v>614</v>
      </c>
      <c r="B61" s="261"/>
      <c r="C61" s="261"/>
      <c r="D61" s="261"/>
      <c r="E61" s="261"/>
      <c r="F61" s="261"/>
    </row>
    <row r="63" spans="1:6" ht="15" customHeight="1" x14ac:dyDescent="0.25">
      <c r="A63" s="261" t="s">
        <v>615</v>
      </c>
      <c r="B63" s="261"/>
      <c r="C63" s="261"/>
      <c r="D63" s="261"/>
      <c r="E63" s="261"/>
      <c r="F63" s="261"/>
    </row>
    <row r="64" spans="1:6" ht="15" customHeight="1" x14ac:dyDescent="0.25">
      <c r="A64" s="261" t="s">
        <v>616</v>
      </c>
      <c r="B64" s="261"/>
      <c r="C64" s="261"/>
      <c r="D64" s="261"/>
      <c r="E64" s="261"/>
      <c r="F64" s="261"/>
    </row>
    <row r="65" spans="1:6" ht="15" customHeight="1" x14ac:dyDescent="0.25">
      <c r="A65" s="261" t="s">
        <v>617</v>
      </c>
      <c r="B65" s="261"/>
      <c r="C65" s="261"/>
      <c r="D65" s="261"/>
      <c r="E65" s="261"/>
      <c r="F65" s="261"/>
    </row>
    <row r="66" spans="1:6" ht="15" customHeight="1" x14ac:dyDescent="0.25">
      <c r="A66" s="261" t="s">
        <v>618</v>
      </c>
      <c r="B66" s="261"/>
      <c r="C66" s="261"/>
      <c r="D66" s="261"/>
      <c r="E66" s="261"/>
      <c r="F66" s="261"/>
    </row>
    <row r="67" spans="1:6" ht="15" customHeight="1" x14ac:dyDescent="0.25">
      <c r="A67" s="261" t="s">
        <v>619</v>
      </c>
      <c r="B67" s="261"/>
      <c r="C67" s="261"/>
      <c r="D67" s="261"/>
      <c r="E67" s="261"/>
      <c r="F67" s="261"/>
    </row>
    <row r="68" spans="1:6" ht="15" customHeight="1" x14ac:dyDescent="0.25">
      <c r="A68" s="261" t="s">
        <v>620</v>
      </c>
      <c r="B68" s="261"/>
      <c r="C68" s="261"/>
      <c r="D68" s="261"/>
      <c r="E68" s="261"/>
      <c r="F68" s="261"/>
    </row>
    <row r="69" spans="1:6" ht="15" customHeight="1" x14ac:dyDescent="0.25">
      <c r="A69" s="261" t="s">
        <v>621</v>
      </c>
      <c r="B69" s="261"/>
      <c r="C69" s="261"/>
      <c r="D69" s="261"/>
      <c r="E69" s="261"/>
      <c r="F69" s="261"/>
    </row>
    <row r="72" spans="1:6" ht="17.25" customHeight="1" x14ac:dyDescent="0.3">
      <c r="A72" s="286" t="s">
        <v>622</v>
      </c>
      <c r="B72" s="261"/>
      <c r="C72" s="261"/>
      <c r="D72" s="261"/>
      <c r="E72" s="261"/>
      <c r="F72" s="261"/>
    </row>
    <row r="74" spans="1:6" ht="15" customHeight="1" x14ac:dyDescent="0.25">
      <c r="A74" t="s">
        <v>623</v>
      </c>
    </row>
    <row r="76" spans="1:6" ht="15" customHeight="1" x14ac:dyDescent="0.25">
      <c r="A76" t="s">
        <v>624</v>
      </c>
    </row>
    <row r="78" spans="1:6" ht="15" customHeight="1" x14ac:dyDescent="0.25">
      <c r="A78" t="s">
        <v>625</v>
      </c>
    </row>
  </sheetData>
  <mergeCells count="21">
    <mergeCell ref="A1:F1"/>
    <mergeCell ref="A61:F61"/>
    <mergeCell ref="A6:F6"/>
    <mergeCell ref="A69:F69"/>
    <mergeCell ref="A65:F65"/>
    <mergeCell ref="A3:F3"/>
    <mergeCell ref="A21:F21"/>
    <mergeCell ref="A72:F72"/>
    <mergeCell ref="A63:F63"/>
    <mergeCell ref="A68:F68"/>
    <mergeCell ref="A9:F9"/>
    <mergeCell ref="A67:F67"/>
    <mergeCell ref="A48:F48"/>
    <mergeCell ref="A15:F15"/>
    <mergeCell ref="A64:F64"/>
    <mergeCell ref="A24:F24"/>
    <mergeCell ref="A66:F66"/>
    <mergeCell ref="A37:F37"/>
    <mergeCell ref="A27:F27"/>
    <mergeCell ref="A18:F18"/>
    <mergeCell ref="A12:F1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366"/>
  <sheetViews>
    <sheetView topLeftCell="A2" zoomScaleNormal="100" workbookViewId="0">
      <selection activeCell="Y20" sqref="Y20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thickBot="1" x14ac:dyDescent="0.3">
      <c r="A1" s="256" t="s">
        <v>626</v>
      </c>
      <c r="B1" s="258" t="s">
        <v>627</v>
      </c>
      <c r="C1" s="253" t="s">
        <v>628</v>
      </c>
      <c r="D1" s="254" t="s">
        <v>629</v>
      </c>
      <c r="E1" s="254" t="s">
        <v>630</v>
      </c>
      <c r="F1" s="254" t="s">
        <v>631</v>
      </c>
      <c r="G1" s="254" t="s">
        <v>632</v>
      </c>
      <c r="H1" s="254" t="s">
        <v>633</v>
      </c>
      <c r="I1" s="254" t="s">
        <v>634</v>
      </c>
      <c r="J1" s="254" t="s">
        <v>635</v>
      </c>
      <c r="K1" s="254" t="s">
        <v>636</v>
      </c>
      <c r="L1" s="254" t="s">
        <v>637</v>
      </c>
      <c r="M1" s="254" t="s">
        <v>638</v>
      </c>
      <c r="N1" s="254" t="s">
        <v>639</v>
      </c>
      <c r="O1" s="254" t="s">
        <v>640</v>
      </c>
      <c r="P1" s="254" t="s">
        <v>641</v>
      </c>
      <c r="Q1" s="254" t="s">
        <v>642</v>
      </c>
      <c r="R1" s="254" t="s">
        <v>643</v>
      </c>
      <c r="S1" s="254" t="s">
        <v>644</v>
      </c>
      <c r="T1" s="254" t="s">
        <v>645</v>
      </c>
      <c r="U1" s="254" t="s">
        <v>646</v>
      </c>
    </row>
    <row r="2" spans="1:21" ht="15.75" customHeight="1" thickBot="1" x14ac:dyDescent="0.3">
      <c r="A2" s="257">
        <v>1</v>
      </c>
      <c r="B2" s="259" t="s">
        <v>90</v>
      </c>
      <c r="C2" s="255">
        <v>30</v>
      </c>
      <c r="D2" s="255">
        <v>92</v>
      </c>
      <c r="E2" s="255">
        <v>30.1</v>
      </c>
      <c r="F2" s="255">
        <v>65.8</v>
      </c>
      <c r="G2" s="255">
        <v>45.7</v>
      </c>
      <c r="H2" s="255">
        <v>13</v>
      </c>
      <c r="I2" s="255">
        <v>35.799999999999997</v>
      </c>
      <c r="J2" s="255">
        <v>36.200000000000003</v>
      </c>
      <c r="K2" s="255">
        <v>18.8</v>
      </c>
      <c r="L2" s="255">
        <v>24.4</v>
      </c>
      <c r="M2" s="255">
        <v>77.099999999999994</v>
      </c>
      <c r="N2" s="255">
        <v>12.1</v>
      </c>
      <c r="O2" s="255">
        <v>28.6</v>
      </c>
      <c r="P2" s="255">
        <v>40.700000000000003</v>
      </c>
      <c r="Q2" s="255">
        <v>16.3</v>
      </c>
      <c r="R2" s="255">
        <v>6.5</v>
      </c>
      <c r="S2" s="255">
        <v>5.0999999999999996</v>
      </c>
      <c r="T2" s="255">
        <v>10</v>
      </c>
      <c r="U2" s="255">
        <v>18.8</v>
      </c>
    </row>
    <row r="3" spans="1:21" ht="15.75" customHeight="1" thickBot="1" x14ac:dyDescent="0.3">
      <c r="A3" s="257">
        <v>2</v>
      </c>
      <c r="B3" s="259" t="s">
        <v>73</v>
      </c>
      <c r="C3" s="255">
        <v>31</v>
      </c>
      <c r="D3" s="255">
        <v>90.7</v>
      </c>
      <c r="E3" s="255">
        <v>30.7</v>
      </c>
      <c r="F3" s="255">
        <v>62</v>
      </c>
      <c r="G3" s="255">
        <v>49.6</v>
      </c>
      <c r="H3" s="255">
        <v>9.3000000000000007</v>
      </c>
      <c r="I3" s="255">
        <v>26.1</v>
      </c>
      <c r="J3" s="255">
        <v>35.6</v>
      </c>
      <c r="K3" s="255">
        <v>20</v>
      </c>
      <c r="L3" s="255">
        <v>26.9</v>
      </c>
      <c r="M3" s="255">
        <v>74.400000000000006</v>
      </c>
      <c r="N3" s="255">
        <v>11.7</v>
      </c>
      <c r="O3" s="255">
        <v>24.3</v>
      </c>
      <c r="P3" s="255">
        <v>36</v>
      </c>
      <c r="Q3" s="255">
        <v>16.600000000000001</v>
      </c>
      <c r="R3" s="255">
        <v>11.1</v>
      </c>
      <c r="S3" s="255">
        <v>3.9</v>
      </c>
      <c r="T3" s="255">
        <v>9.3000000000000007</v>
      </c>
      <c r="U3" s="255">
        <v>18.399999999999999</v>
      </c>
    </row>
    <row r="4" spans="1:21" ht="15.75" customHeight="1" thickBot="1" x14ac:dyDescent="0.3">
      <c r="A4" s="257">
        <v>3</v>
      </c>
      <c r="B4" s="259" t="s">
        <v>70</v>
      </c>
      <c r="C4" s="255">
        <v>30</v>
      </c>
      <c r="D4" s="255">
        <v>90.3</v>
      </c>
      <c r="E4" s="255">
        <v>32.299999999999997</v>
      </c>
      <c r="F4" s="255">
        <v>64.099999999999994</v>
      </c>
      <c r="G4" s="255">
        <v>50.3</v>
      </c>
      <c r="H4" s="255">
        <v>8.1999999999999993</v>
      </c>
      <c r="I4" s="255">
        <v>21.6</v>
      </c>
      <c r="J4" s="255">
        <v>38</v>
      </c>
      <c r="K4" s="255">
        <v>17.600000000000001</v>
      </c>
      <c r="L4" s="255">
        <v>23.5</v>
      </c>
      <c r="M4" s="255">
        <v>74.900000000000006</v>
      </c>
      <c r="N4" s="255">
        <v>10.9</v>
      </c>
      <c r="O4" s="255">
        <v>24.8</v>
      </c>
      <c r="P4" s="255">
        <v>35.700000000000003</v>
      </c>
      <c r="Q4" s="255">
        <v>17.2</v>
      </c>
      <c r="R4" s="255">
        <v>7.3</v>
      </c>
      <c r="S4" s="255">
        <v>5.2</v>
      </c>
      <c r="T4" s="255">
        <v>9</v>
      </c>
      <c r="U4" s="255">
        <v>17.2</v>
      </c>
    </row>
    <row r="5" spans="1:21" ht="15.75" customHeight="1" thickBot="1" x14ac:dyDescent="0.3">
      <c r="A5" s="257">
        <v>3</v>
      </c>
      <c r="B5" s="259" t="s">
        <v>31</v>
      </c>
      <c r="C5" s="255">
        <v>30</v>
      </c>
      <c r="D5" s="255">
        <v>90.3</v>
      </c>
      <c r="E5" s="255">
        <v>31.3</v>
      </c>
      <c r="F5" s="255">
        <v>59.4</v>
      </c>
      <c r="G5" s="255">
        <v>52.6</v>
      </c>
      <c r="H5" s="255">
        <v>10.4</v>
      </c>
      <c r="I5" s="255">
        <v>26.5</v>
      </c>
      <c r="J5" s="255">
        <v>39.200000000000003</v>
      </c>
      <c r="K5" s="255">
        <v>17.399999999999999</v>
      </c>
      <c r="L5" s="255">
        <v>23.2</v>
      </c>
      <c r="M5" s="255">
        <v>74.900000000000006</v>
      </c>
      <c r="N5" s="255">
        <v>8.1</v>
      </c>
      <c r="O5" s="255">
        <v>27.4</v>
      </c>
      <c r="P5" s="255">
        <v>35.5</v>
      </c>
      <c r="Q5" s="255">
        <v>16.2</v>
      </c>
      <c r="R5" s="255">
        <v>7.6</v>
      </c>
      <c r="S5" s="255">
        <v>3.4</v>
      </c>
      <c r="T5" s="255">
        <v>10.6</v>
      </c>
      <c r="U5" s="255">
        <v>16</v>
      </c>
    </row>
    <row r="6" spans="1:21" ht="15.75" customHeight="1" thickBot="1" x14ac:dyDescent="0.3">
      <c r="A6" s="257">
        <v>5</v>
      </c>
      <c r="B6" s="259" t="s">
        <v>87</v>
      </c>
      <c r="C6" s="255">
        <v>30</v>
      </c>
      <c r="D6" s="255">
        <v>90</v>
      </c>
      <c r="E6" s="255">
        <v>31.1</v>
      </c>
      <c r="F6" s="255">
        <v>65.599999999999994</v>
      </c>
      <c r="G6" s="255">
        <v>47.4</v>
      </c>
      <c r="H6" s="255">
        <v>9.6</v>
      </c>
      <c r="I6" s="255">
        <v>28.5</v>
      </c>
      <c r="J6" s="255">
        <v>33.700000000000003</v>
      </c>
      <c r="K6" s="255">
        <v>18.2</v>
      </c>
      <c r="L6" s="255">
        <v>24.1</v>
      </c>
      <c r="M6" s="255">
        <v>75.400000000000006</v>
      </c>
      <c r="N6" s="255">
        <v>13.1</v>
      </c>
      <c r="O6" s="255">
        <v>25.3</v>
      </c>
      <c r="P6" s="255">
        <v>38.299999999999997</v>
      </c>
      <c r="Q6" s="255">
        <v>14.9</v>
      </c>
      <c r="R6" s="255">
        <v>8.1999999999999993</v>
      </c>
      <c r="S6" s="255">
        <v>6.3</v>
      </c>
      <c r="T6" s="255">
        <v>10.6</v>
      </c>
      <c r="U6" s="255">
        <v>17.2</v>
      </c>
    </row>
    <row r="7" spans="1:21" ht="15.75" customHeight="1" thickBot="1" x14ac:dyDescent="0.3">
      <c r="A7" s="257">
        <v>6</v>
      </c>
      <c r="B7" s="259" t="s">
        <v>184</v>
      </c>
      <c r="C7" s="255">
        <v>30</v>
      </c>
      <c r="D7" s="255">
        <v>89.4</v>
      </c>
      <c r="E7" s="255">
        <v>32.4</v>
      </c>
      <c r="F7" s="255">
        <v>64.2</v>
      </c>
      <c r="G7" s="255">
        <v>50.4</v>
      </c>
      <c r="H7" s="255">
        <v>10.9</v>
      </c>
      <c r="I7" s="255">
        <v>29</v>
      </c>
      <c r="J7" s="255">
        <v>37.6</v>
      </c>
      <c r="K7" s="255">
        <v>13.8</v>
      </c>
      <c r="L7" s="255">
        <v>17.8</v>
      </c>
      <c r="M7" s="255">
        <v>77.400000000000006</v>
      </c>
      <c r="N7" s="255">
        <v>11.5</v>
      </c>
      <c r="O7" s="255">
        <v>26.6</v>
      </c>
      <c r="P7" s="255">
        <v>38.1</v>
      </c>
      <c r="Q7" s="255">
        <v>19</v>
      </c>
      <c r="R7" s="255">
        <v>7.7</v>
      </c>
      <c r="S7" s="255">
        <v>3</v>
      </c>
      <c r="T7" s="255">
        <v>11.1</v>
      </c>
      <c r="U7" s="255">
        <v>15.9</v>
      </c>
    </row>
    <row r="8" spans="1:21" ht="15.75" customHeight="1" thickBot="1" x14ac:dyDescent="0.3">
      <c r="A8" s="257">
        <v>7</v>
      </c>
      <c r="B8" s="259" t="s">
        <v>49</v>
      </c>
      <c r="C8" s="255">
        <v>30</v>
      </c>
      <c r="D8" s="255">
        <v>88.8</v>
      </c>
      <c r="E8" s="255">
        <v>31.2</v>
      </c>
      <c r="F8" s="255">
        <v>60.4</v>
      </c>
      <c r="G8" s="255">
        <v>51.7</v>
      </c>
      <c r="H8" s="255">
        <v>11.2</v>
      </c>
      <c r="I8" s="255">
        <v>27.2</v>
      </c>
      <c r="J8" s="255">
        <v>41.2</v>
      </c>
      <c r="K8" s="255">
        <v>15.2</v>
      </c>
      <c r="L8" s="255">
        <v>20.7</v>
      </c>
      <c r="M8" s="255">
        <v>73.599999999999994</v>
      </c>
      <c r="N8" s="255">
        <v>10.4</v>
      </c>
      <c r="O8" s="255">
        <v>30.3</v>
      </c>
      <c r="P8" s="255">
        <v>40.700000000000003</v>
      </c>
      <c r="Q8" s="255">
        <v>18.7</v>
      </c>
      <c r="R8" s="255">
        <v>7.3</v>
      </c>
      <c r="S8" s="255">
        <v>3.5</v>
      </c>
      <c r="T8" s="255">
        <v>12.3</v>
      </c>
      <c r="U8" s="255">
        <v>18.399999999999999</v>
      </c>
    </row>
    <row r="9" spans="1:21" ht="15.75" customHeight="1" thickBot="1" x14ac:dyDescent="0.3">
      <c r="A9" s="257">
        <v>8</v>
      </c>
      <c r="B9" s="259" t="s">
        <v>52</v>
      </c>
      <c r="C9" s="255">
        <v>30</v>
      </c>
      <c r="D9" s="255">
        <v>88.5</v>
      </c>
      <c r="E9" s="255">
        <v>29</v>
      </c>
      <c r="F9" s="255">
        <v>65.900000000000006</v>
      </c>
      <c r="G9" s="255">
        <v>44.1</v>
      </c>
      <c r="H9" s="255">
        <v>9.6</v>
      </c>
      <c r="I9" s="255">
        <v>29.1</v>
      </c>
      <c r="J9" s="255">
        <v>32.9</v>
      </c>
      <c r="K9" s="255">
        <v>20.9</v>
      </c>
      <c r="L9" s="255">
        <v>28.1</v>
      </c>
      <c r="M9" s="255">
        <v>74.400000000000006</v>
      </c>
      <c r="N9" s="255">
        <v>15.4</v>
      </c>
      <c r="O9" s="255">
        <v>27.4</v>
      </c>
      <c r="P9" s="255">
        <v>42.8</v>
      </c>
      <c r="Q9" s="255">
        <v>17.100000000000001</v>
      </c>
      <c r="R9" s="255">
        <v>9</v>
      </c>
      <c r="S9" s="255">
        <v>4.3</v>
      </c>
      <c r="T9" s="255">
        <v>11.4</v>
      </c>
      <c r="U9" s="255">
        <v>19.8</v>
      </c>
    </row>
    <row r="10" spans="1:21" ht="15.75" customHeight="1" thickBot="1" x14ac:dyDescent="0.3">
      <c r="A10" s="257">
        <v>9</v>
      </c>
      <c r="B10" s="259" t="s">
        <v>67</v>
      </c>
      <c r="C10" s="255">
        <v>30</v>
      </c>
      <c r="D10" s="255">
        <v>88.4</v>
      </c>
      <c r="E10" s="255">
        <v>30.9</v>
      </c>
      <c r="F10" s="255">
        <v>60.5</v>
      </c>
      <c r="G10" s="255">
        <v>51.1</v>
      </c>
      <c r="H10" s="255">
        <v>9.3000000000000007</v>
      </c>
      <c r="I10" s="255">
        <v>25.6</v>
      </c>
      <c r="J10" s="255">
        <v>36.200000000000003</v>
      </c>
      <c r="K10" s="255">
        <v>17.2</v>
      </c>
      <c r="L10" s="255">
        <v>23.3</v>
      </c>
      <c r="M10" s="255">
        <v>73.900000000000006</v>
      </c>
      <c r="N10" s="255">
        <v>11.3</v>
      </c>
      <c r="O10" s="255">
        <v>29.3</v>
      </c>
      <c r="P10" s="255">
        <v>40.6</v>
      </c>
      <c r="Q10" s="255">
        <v>19</v>
      </c>
      <c r="R10" s="255">
        <v>5.9</v>
      </c>
      <c r="S10" s="255">
        <v>5.9</v>
      </c>
      <c r="T10" s="255">
        <v>12.2</v>
      </c>
      <c r="U10" s="255">
        <v>15.8</v>
      </c>
    </row>
    <row r="11" spans="1:21" ht="15.75" customHeight="1" thickBot="1" x14ac:dyDescent="0.3">
      <c r="A11" s="257">
        <v>10</v>
      </c>
      <c r="B11" s="259" t="s">
        <v>79</v>
      </c>
      <c r="C11" s="255">
        <v>30</v>
      </c>
      <c r="D11" s="255">
        <v>88.3</v>
      </c>
      <c r="E11" s="255">
        <v>29.7</v>
      </c>
      <c r="F11" s="255">
        <v>64</v>
      </c>
      <c r="G11" s="255">
        <v>46.4</v>
      </c>
      <c r="H11" s="255">
        <v>10.9</v>
      </c>
      <c r="I11" s="255">
        <v>29.7</v>
      </c>
      <c r="J11" s="255">
        <v>36.799999999999997</v>
      </c>
      <c r="K11" s="255">
        <v>17.899999999999999</v>
      </c>
      <c r="L11" s="255">
        <v>24.2</v>
      </c>
      <c r="M11" s="255">
        <v>74.2</v>
      </c>
      <c r="N11" s="255">
        <v>12.1</v>
      </c>
      <c r="O11" s="255">
        <v>25.4</v>
      </c>
      <c r="P11" s="255">
        <v>37.5</v>
      </c>
      <c r="Q11" s="255">
        <v>18.600000000000001</v>
      </c>
      <c r="R11" s="255">
        <v>7.9</v>
      </c>
      <c r="S11" s="255">
        <v>3.2</v>
      </c>
      <c r="T11" s="255">
        <v>10.9</v>
      </c>
      <c r="U11" s="255">
        <v>19.5</v>
      </c>
    </row>
    <row r="12" spans="1:21" ht="15.75" customHeight="1" thickBot="1" x14ac:dyDescent="0.3">
      <c r="A12" s="257">
        <v>11</v>
      </c>
      <c r="B12" s="259" t="s">
        <v>233</v>
      </c>
      <c r="C12" s="255">
        <v>26</v>
      </c>
      <c r="D12" s="255">
        <v>88.1</v>
      </c>
      <c r="E12" s="255">
        <v>30.7</v>
      </c>
      <c r="F12" s="255">
        <v>62.3</v>
      </c>
      <c r="G12" s="255">
        <v>49.3</v>
      </c>
      <c r="H12" s="255">
        <v>12.8</v>
      </c>
      <c r="I12" s="255">
        <v>32.6</v>
      </c>
      <c r="J12" s="255">
        <v>39.200000000000003</v>
      </c>
      <c r="K12" s="255">
        <v>13.9</v>
      </c>
      <c r="L12" s="255">
        <v>18.7</v>
      </c>
      <c r="M12" s="255">
        <v>74.599999999999994</v>
      </c>
      <c r="N12" s="255">
        <v>10.5</v>
      </c>
      <c r="O12" s="255">
        <v>24.9</v>
      </c>
      <c r="P12" s="255">
        <v>35.4</v>
      </c>
      <c r="Q12" s="255">
        <v>21.1</v>
      </c>
      <c r="R12" s="255">
        <v>6.1</v>
      </c>
      <c r="S12" s="255">
        <v>2.8</v>
      </c>
      <c r="T12" s="255">
        <v>12</v>
      </c>
      <c r="U12" s="255">
        <v>19.100000000000001</v>
      </c>
    </row>
    <row r="13" spans="1:21" ht="15.75" customHeight="1" thickBot="1" x14ac:dyDescent="0.3">
      <c r="A13" s="257">
        <v>12</v>
      </c>
      <c r="B13" s="259" t="s">
        <v>61</v>
      </c>
      <c r="C13" s="255">
        <v>30</v>
      </c>
      <c r="D13" s="255">
        <v>87.8</v>
      </c>
      <c r="E13" s="255">
        <v>31.3</v>
      </c>
      <c r="F13" s="255">
        <v>65</v>
      </c>
      <c r="G13" s="255">
        <v>48.2</v>
      </c>
      <c r="H13" s="255">
        <v>7.6</v>
      </c>
      <c r="I13" s="255">
        <v>24.5</v>
      </c>
      <c r="J13" s="255">
        <v>30.9</v>
      </c>
      <c r="K13" s="255">
        <v>17.600000000000001</v>
      </c>
      <c r="L13" s="255">
        <v>24.7</v>
      </c>
      <c r="M13" s="255">
        <v>71.2</v>
      </c>
      <c r="N13" s="255">
        <v>16</v>
      </c>
      <c r="O13" s="255">
        <v>29.7</v>
      </c>
      <c r="P13" s="255">
        <v>45.7</v>
      </c>
      <c r="Q13" s="255">
        <v>16.8</v>
      </c>
      <c r="R13" s="255">
        <v>6.7</v>
      </c>
      <c r="S13" s="255">
        <v>5.0999999999999996</v>
      </c>
      <c r="T13" s="255">
        <v>11.7</v>
      </c>
      <c r="U13" s="255">
        <v>17.8</v>
      </c>
    </row>
    <row r="14" spans="1:21" ht="15.75" customHeight="1" thickBot="1" x14ac:dyDescent="0.3">
      <c r="A14" s="257">
        <v>13</v>
      </c>
      <c r="B14" s="259" t="s">
        <v>24</v>
      </c>
      <c r="C14" s="255">
        <v>30</v>
      </c>
      <c r="D14" s="255">
        <v>87</v>
      </c>
      <c r="E14" s="255">
        <v>29.5</v>
      </c>
      <c r="F14" s="255">
        <v>61.9</v>
      </c>
      <c r="G14" s="255">
        <v>47.7</v>
      </c>
      <c r="H14" s="255">
        <v>9.6999999999999993</v>
      </c>
      <c r="I14" s="255">
        <v>27.6</v>
      </c>
      <c r="J14" s="255">
        <v>35.200000000000003</v>
      </c>
      <c r="K14" s="255">
        <v>18.2</v>
      </c>
      <c r="L14" s="255">
        <v>23.3</v>
      </c>
      <c r="M14" s="255">
        <v>78</v>
      </c>
      <c r="N14" s="255">
        <v>10.9</v>
      </c>
      <c r="O14" s="255">
        <v>25.1</v>
      </c>
      <c r="P14" s="255">
        <v>36</v>
      </c>
      <c r="Q14" s="255">
        <v>16.600000000000001</v>
      </c>
      <c r="R14" s="255">
        <v>8.3000000000000007</v>
      </c>
      <c r="S14" s="255">
        <v>4.8</v>
      </c>
      <c r="T14" s="255">
        <v>9.6</v>
      </c>
      <c r="U14" s="255">
        <v>19.600000000000001</v>
      </c>
    </row>
    <row r="15" spans="1:21" ht="15.75" customHeight="1" thickBot="1" x14ac:dyDescent="0.3">
      <c r="A15" s="257">
        <v>14</v>
      </c>
      <c r="B15" s="259" t="s">
        <v>84</v>
      </c>
      <c r="C15" s="255">
        <v>30</v>
      </c>
      <c r="D15" s="255">
        <v>86.6</v>
      </c>
      <c r="E15" s="255">
        <v>30.7</v>
      </c>
      <c r="F15" s="255">
        <v>61.3</v>
      </c>
      <c r="G15" s="255">
        <v>50.1</v>
      </c>
      <c r="H15" s="255">
        <v>5.9</v>
      </c>
      <c r="I15" s="255">
        <v>16.600000000000001</v>
      </c>
      <c r="J15" s="255">
        <v>35.299999999999997</v>
      </c>
      <c r="K15" s="255">
        <v>19.399999999999999</v>
      </c>
      <c r="L15" s="255">
        <v>26.2</v>
      </c>
      <c r="M15" s="255">
        <v>74</v>
      </c>
      <c r="N15" s="255">
        <v>13.1</v>
      </c>
      <c r="O15" s="255">
        <v>30.2</v>
      </c>
      <c r="P15" s="255">
        <v>43.2</v>
      </c>
      <c r="Q15" s="255">
        <v>17.2</v>
      </c>
      <c r="R15" s="255">
        <v>8.1</v>
      </c>
      <c r="S15" s="255">
        <v>4.3</v>
      </c>
      <c r="T15" s="255">
        <v>11</v>
      </c>
      <c r="U15" s="255">
        <v>16.2</v>
      </c>
    </row>
    <row r="16" spans="1:21" ht="15.75" customHeight="1" thickBot="1" x14ac:dyDescent="0.3">
      <c r="A16" s="257">
        <v>15</v>
      </c>
      <c r="B16" s="259" t="s">
        <v>434</v>
      </c>
      <c r="C16" s="255">
        <v>30</v>
      </c>
      <c r="D16" s="255">
        <v>86.3</v>
      </c>
      <c r="E16" s="255">
        <v>28.7</v>
      </c>
      <c r="F16" s="255">
        <v>58.9</v>
      </c>
      <c r="G16" s="255">
        <v>48.7</v>
      </c>
      <c r="H16" s="255">
        <v>10.6</v>
      </c>
      <c r="I16" s="255">
        <v>27</v>
      </c>
      <c r="J16" s="255">
        <v>39.1</v>
      </c>
      <c r="K16" s="255">
        <v>18.3</v>
      </c>
      <c r="L16" s="255">
        <v>23.4</v>
      </c>
      <c r="M16" s="255">
        <v>78.099999999999994</v>
      </c>
      <c r="N16" s="255">
        <v>11.2</v>
      </c>
      <c r="O16" s="255">
        <v>26.7</v>
      </c>
      <c r="P16" s="255">
        <v>37.9</v>
      </c>
      <c r="Q16" s="255">
        <v>15.8</v>
      </c>
      <c r="R16" s="255">
        <v>6.5</v>
      </c>
      <c r="S16" s="255">
        <v>2.5</v>
      </c>
      <c r="T16" s="255">
        <v>10.3</v>
      </c>
      <c r="U16" s="255">
        <v>16.2</v>
      </c>
    </row>
    <row r="17" spans="1:21" ht="15.75" customHeight="1" thickBot="1" x14ac:dyDescent="0.3">
      <c r="A17" s="257">
        <v>16</v>
      </c>
      <c r="B17" s="259" t="s">
        <v>27</v>
      </c>
      <c r="C17" s="255">
        <v>31</v>
      </c>
      <c r="D17" s="255">
        <v>86</v>
      </c>
      <c r="E17" s="255">
        <v>32.700000000000003</v>
      </c>
      <c r="F17" s="255">
        <v>64.099999999999994</v>
      </c>
      <c r="G17" s="255">
        <v>51.1</v>
      </c>
      <c r="H17" s="255">
        <v>6.7</v>
      </c>
      <c r="I17" s="255">
        <v>19.600000000000001</v>
      </c>
      <c r="J17" s="255">
        <v>34</v>
      </c>
      <c r="K17" s="255">
        <v>13.9</v>
      </c>
      <c r="L17" s="255">
        <v>19.8</v>
      </c>
      <c r="M17" s="255">
        <v>69.900000000000006</v>
      </c>
      <c r="N17" s="255">
        <v>12.1</v>
      </c>
      <c r="O17" s="255">
        <v>28.1</v>
      </c>
      <c r="P17" s="255">
        <v>40.200000000000003</v>
      </c>
      <c r="Q17" s="255">
        <v>18.2</v>
      </c>
      <c r="R17" s="255">
        <v>8.6999999999999993</v>
      </c>
      <c r="S17" s="255">
        <v>3.7</v>
      </c>
      <c r="T17" s="255">
        <v>9.6999999999999993</v>
      </c>
      <c r="U17" s="255">
        <v>17.2</v>
      </c>
    </row>
    <row r="18" spans="1:21" ht="15.75" customHeight="1" thickBot="1" x14ac:dyDescent="0.3">
      <c r="A18" s="257">
        <v>17</v>
      </c>
      <c r="B18" s="259" t="s">
        <v>378</v>
      </c>
      <c r="C18" s="255">
        <v>30</v>
      </c>
      <c r="D18" s="255">
        <v>85.8</v>
      </c>
      <c r="E18" s="255">
        <v>29.6</v>
      </c>
      <c r="F18" s="255">
        <v>62.2</v>
      </c>
      <c r="G18" s="255">
        <v>47.5</v>
      </c>
      <c r="H18" s="255">
        <v>9</v>
      </c>
      <c r="I18" s="255">
        <v>25.2</v>
      </c>
      <c r="J18" s="255">
        <v>35.5</v>
      </c>
      <c r="K18" s="255">
        <v>17.7</v>
      </c>
      <c r="L18" s="255">
        <v>23.1</v>
      </c>
      <c r="M18" s="255">
        <v>76.400000000000006</v>
      </c>
      <c r="N18" s="255">
        <v>11.2</v>
      </c>
      <c r="O18" s="255">
        <v>27.7</v>
      </c>
      <c r="P18" s="255">
        <v>38.9</v>
      </c>
      <c r="Q18" s="255">
        <v>14.1</v>
      </c>
      <c r="R18" s="255">
        <v>5.4</v>
      </c>
      <c r="S18" s="255">
        <v>4.0999999999999996</v>
      </c>
      <c r="T18" s="255">
        <v>12.2</v>
      </c>
      <c r="U18" s="255">
        <v>18.8</v>
      </c>
    </row>
    <row r="19" spans="1:21" ht="15.75" customHeight="1" thickBot="1" x14ac:dyDescent="0.3">
      <c r="A19" s="257">
        <v>18</v>
      </c>
      <c r="B19" s="259" t="s">
        <v>30</v>
      </c>
      <c r="C19" s="255">
        <v>30</v>
      </c>
      <c r="D19" s="255">
        <v>85.7</v>
      </c>
      <c r="E19" s="255">
        <v>28.9</v>
      </c>
      <c r="F19" s="255">
        <v>61.8</v>
      </c>
      <c r="G19" s="255">
        <v>46.8</v>
      </c>
      <c r="H19" s="255">
        <v>11.9</v>
      </c>
      <c r="I19" s="255">
        <v>33</v>
      </c>
      <c r="J19" s="255">
        <v>35.9</v>
      </c>
      <c r="K19" s="255">
        <v>15.9</v>
      </c>
      <c r="L19" s="255">
        <v>20.6</v>
      </c>
      <c r="M19" s="255">
        <v>77.5</v>
      </c>
      <c r="N19" s="255">
        <v>11.6</v>
      </c>
      <c r="O19" s="255">
        <v>27.7</v>
      </c>
      <c r="P19" s="255">
        <v>39.299999999999997</v>
      </c>
      <c r="Q19" s="255">
        <v>17.3</v>
      </c>
      <c r="R19" s="255">
        <v>7.1</v>
      </c>
      <c r="S19" s="255">
        <v>3.3</v>
      </c>
      <c r="T19" s="255">
        <v>11.8</v>
      </c>
      <c r="U19" s="255">
        <v>18.600000000000001</v>
      </c>
    </row>
    <row r="20" spans="1:21" ht="15.75" customHeight="1" thickBot="1" x14ac:dyDescent="0.3">
      <c r="A20" s="257">
        <v>19</v>
      </c>
      <c r="B20" s="259" t="s">
        <v>293</v>
      </c>
      <c r="C20" s="255">
        <v>30</v>
      </c>
      <c r="D20" s="255">
        <v>85.6</v>
      </c>
      <c r="E20" s="255">
        <v>28</v>
      </c>
      <c r="F20" s="255">
        <v>61.4</v>
      </c>
      <c r="G20" s="255">
        <v>45.6</v>
      </c>
      <c r="H20" s="255">
        <v>9.9</v>
      </c>
      <c r="I20" s="255">
        <v>27.6</v>
      </c>
      <c r="J20" s="255">
        <v>35.9</v>
      </c>
      <c r="K20" s="255">
        <v>19.7</v>
      </c>
      <c r="L20" s="255">
        <v>26.5</v>
      </c>
      <c r="M20" s="255">
        <v>74.2</v>
      </c>
      <c r="N20" s="255">
        <v>12.9</v>
      </c>
      <c r="O20" s="255">
        <v>26.9</v>
      </c>
      <c r="P20" s="255">
        <v>39.799999999999997</v>
      </c>
      <c r="Q20" s="255">
        <v>16.399999999999999</v>
      </c>
      <c r="R20" s="255">
        <v>6.8</v>
      </c>
      <c r="S20" s="255">
        <v>3.6</v>
      </c>
      <c r="T20" s="255">
        <v>13.6</v>
      </c>
      <c r="U20" s="255">
        <v>19.600000000000001</v>
      </c>
    </row>
    <row r="21" spans="1:21" ht="15.75" customHeight="1" thickBot="1" x14ac:dyDescent="0.3">
      <c r="A21" s="257">
        <v>20</v>
      </c>
      <c r="B21" s="259" t="s">
        <v>98</v>
      </c>
      <c r="C21" s="255">
        <v>30</v>
      </c>
      <c r="D21" s="255">
        <v>85.2</v>
      </c>
      <c r="E21" s="255">
        <v>31</v>
      </c>
      <c r="F21" s="255">
        <v>62.5</v>
      </c>
      <c r="G21" s="255">
        <v>49.5</v>
      </c>
      <c r="H21" s="255">
        <v>8.1999999999999993</v>
      </c>
      <c r="I21" s="255">
        <v>21.8</v>
      </c>
      <c r="J21" s="255">
        <v>37.799999999999997</v>
      </c>
      <c r="K21" s="255">
        <v>15.1</v>
      </c>
      <c r="L21" s="255">
        <v>20.2</v>
      </c>
      <c r="M21" s="255">
        <v>74.599999999999994</v>
      </c>
      <c r="N21" s="255">
        <v>12</v>
      </c>
      <c r="O21" s="255">
        <v>25.6</v>
      </c>
      <c r="P21" s="255">
        <v>37.6</v>
      </c>
      <c r="Q21" s="255">
        <v>17.3</v>
      </c>
      <c r="R21" s="255">
        <v>7.1</v>
      </c>
      <c r="S21" s="255">
        <v>3.7</v>
      </c>
      <c r="T21" s="255">
        <v>11.3</v>
      </c>
      <c r="U21" s="255">
        <v>17.100000000000001</v>
      </c>
    </row>
    <row r="22" spans="1:21" ht="15.75" customHeight="1" thickBot="1" x14ac:dyDescent="0.3">
      <c r="A22" s="257">
        <v>21</v>
      </c>
      <c r="B22" s="259" t="s">
        <v>380</v>
      </c>
      <c r="C22" s="255">
        <v>31</v>
      </c>
      <c r="D22" s="255">
        <v>84.7</v>
      </c>
      <c r="E22" s="255">
        <v>28.9</v>
      </c>
      <c r="F22" s="255">
        <v>59.8</v>
      </c>
      <c r="G22" s="255">
        <v>48.4</v>
      </c>
      <c r="H22" s="255">
        <v>10</v>
      </c>
      <c r="I22" s="255">
        <v>28.1</v>
      </c>
      <c r="J22" s="255">
        <v>35.4</v>
      </c>
      <c r="K22" s="255">
        <v>16.899999999999999</v>
      </c>
      <c r="L22" s="255">
        <v>22.7</v>
      </c>
      <c r="M22" s="255">
        <v>74.5</v>
      </c>
      <c r="N22" s="255">
        <v>10.199999999999999</v>
      </c>
      <c r="O22" s="255">
        <v>23.1</v>
      </c>
      <c r="P22" s="255">
        <v>33.299999999999997</v>
      </c>
      <c r="Q22" s="255">
        <v>15.8</v>
      </c>
      <c r="R22" s="255">
        <v>5.7</v>
      </c>
      <c r="S22" s="255">
        <v>2.9</v>
      </c>
      <c r="T22" s="255">
        <v>10.6</v>
      </c>
      <c r="U22" s="255">
        <v>20.100000000000001</v>
      </c>
    </row>
    <row r="23" spans="1:21" ht="15.75" customHeight="1" thickBot="1" x14ac:dyDescent="0.3">
      <c r="A23" s="257">
        <v>22</v>
      </c>
      <c r="B23" s="259" t="s">
        <v>39</v>
      </c>
      <c r="C23" s="255">
        <v>30</v>
      </c>
      <c r="D23" s="255">
        <v>84.5</v>
      </c>
      <c r="E23" s="255">
        <v>28.6</v>
      </c>
      <c r="F23" s="255">
        <v>62</v>
      </c>
      <c r="G23" s="255">
        <v>46.1</v>
      </c>
      <c r="H23" s="255">
        <v>11.2</v>
      </c>
      <c r="I23" s="255">
        <v>31.7</v>
      </c>
      <c r="J23" s="255">
        <v>35.200000000000003</v>
      </c>
      <c r="K23" s="255">
        <v>16.2</v>
      </c>
      <c r="L23" s="255">
        <v>20.399999999999999</v>
      </c>
      <c r="M23" s="255">
        <v>79.2</v>
      </c>
      <c r="N23" s="255">
        <v>13.4</v>
      </c>
      <c r="O23" s="255">
        <v>27.7</v>
      </c>
      <c r="P23" s="255">
        <v>41.1</v>
      </c>
      <c r="Q23" s="255">
        <v>14.7</v>
      </c>
      <c r="R23" s="255">
        <v>3.8</v>
      </c>
      <c r="S23" s="255">
        <v>4.8</v>
      </c>
      <c r="T23" s="255">
        <v>9</v>
      </c>
      <c r="U23" s="255">
        <v>13.1</v>
      </c>
    </row>
    <row r="24" spans="1:21" ht="15.75" customHeight="1" thickBot="1" x14ac:dyDescent="0.3">
      <c r="A24" s="257">
        <v>23</v>
      </c>
      <c r="B24" s="259" t="s">
        <v>74</v>
      </c>
      <c r="C24" s="255">
        <v>30</v>
      </c>
      <c r="D24" s="255">
        <v>84.4</v>
      </c>
      <c r="E24" s="255">
        <v>29.7</v>
      </c>
      <c r="F24" s="255">
        <v>62.1</v>
      </c>
      <c r="G24" s="255">
        <v>47.8</v>
      </c>
      <c r="H24" s="255">
        <v>8.8000000000000007</v>
      </c>
      <c r="I24" s="255">
        <v>25</v>
      </c>
      <c r="J24" s="255">
        <v>35.1</v>
      </c>
      <c r="K24" s="255">
        <v>16.3</v>
      </c>
      <c r="L24" s="255">
        <v>21.9</v>
      </c>
      <c r="M24" s="255">
        <v>74.400000000000006</v>
      </c>
      <c r="N24" s="255">
        <v>12.1</v>
      </c>
      <c r="O24" s="255">
        <v>26.5</v>
      </c>
      <c r="P24" s="255">
        <v>38.5</v>
      </c>
      <c r="Q24" s="255">
        <v>13.9</v>
      </c>
      <c r="R24" s="255">
        <v>7.3</v>
      </c>
      <c r="S24" s="255">
        <v>4.5999999999999996</v>
      </c>
      <c r="T24" s="255">
        <v>10.8</v>
      </c>
      <c r="U24" s="255">
        <v>15.8</v>
      </c>
    </row>
    <row r="25" spans="1:21" ht="15.75" customHeight="1" thickBot="1" x14ac:dyDescent="0.3">
      <c r="A25" s="257">
        <v>24</v>
      </c>
      <c r="B25" s="259" t="s">
        <v>60</v>
      </c>
      <c r="C25" s="255">
        <v>30</v>
      </c>
      <c r="D25" s="255">
        <v>84.3</v>
      </c>
      <c r="E25" s="255">
        <v>28.7</v>
      </c>
      <c r="F25" s="255">
        <v>58.2</v>
      </c>
      <c r="G25" s="255">
        <v>49.3</v>
      </c>
      <c r="H25" s="255">
        <v>7.3</v>
      </c>
      <c r="I25" s="255">
        <v>20.7</v>
      </c>
      <c r="J25" s="255">
        <v>35.4</v>
      </c>
      <c r="K25" s="255">
        <v>19.600000000000001</v>
      </c>
      <c r="L25" s="255">
        <v>26.3</v>
      </c>
      <c r="M25" s="255">
        <v>74.5</v>
      </c>
      <c r="N25" s="255">
        <v>12.2</v>
      </c>
      <c r="O25" s="255">
        <v>25.6</v>
      </c>
      <c r="P25" s="255">
        <v>37.799999999999997</v>
      </c>
      <c r="Q25" s="255">
        <v>12.3</v>
      </c>
      <c r="R25" s="255">
        <v>5.9</v>
      </c>
      <c r="S25" s="255">
        <v>2.9</v>
      </c>
      <c r="T25" s="255">
        <v>10.9</v>
      </c>
      <c r="U25" s="255">
        <v>18.8</v>
      </c>
    </row>
    <row r="26" spans="1:21" ht="15.75" customHeight="1" thickBot="1" x14ac:dyDescent="0.3">
      <c r="A26" s="257">
        <v>25</v>
      </c>
      <c r="B26" s="259" t="s">
        <v>472</v>
      </c>
      <c r="C26" s="255">
        <v>30</v>
      </c>
      <c r="D26" s="255">
        <v>84.2</v>
      </c>
      <c r="E26" s="255">
        <v>28.6</v>
      </c>
      <c r="F26" s="255">
        <v>58.8</v>
      </c>
      <c r="G26" s="255">
        <v>48.6</v>
      </c>
      <c r="H26" s="255">
        <v>8.3000000000000007</v>
      </c>
      <c r="I26" s="255">
        <v>25</v>
      </c>
      <c r="J26" s="255">
        <v>33.299999999999997</v>
      </c>
      <c r="K26" s="255">
        <v>18.8</v>
      </c>
      <c r="L26" s="255">
        <v>25.1</v>
      </c>
      <c r="M26" s="255">
        <v>74.8</v>
      </c>
      <c r="N26" s="255">
        <v>8.9</v>
      </c>
      <c r="O26" s="255">
        <v>26.2</v>
      </c>
      <c r="P26" s="255">
        <v>35.1</v>
      </c>
      <c r="Q26" s="255">
        <v>18.3</v>
      </c>
      <c r="R26" s="255">
        <v>8</v>
      </c>
      <c r="S26" s="255">
        <v>3.8</v>
      </c>
      <c r="T26" s="255">
        <v>12.2</v>
      </c>
      <c r="U26" s="255">
        <v>17.5</v>
      </c>
    </row>
    <row r="27" spans="1:21" ht="15.75" customHeight="1" thickBot="1" x14ac:dyDescent="0.3">
      <c r="A27" s="257">
        <v>26</v>
      </c>
      <c r="B27" s="259" t="s">
        <v>362</v>
      </c>
      <c r="C27" s="255">
        <v>30</v>
      </c>
      <c r="D27" s="255">
        <v>84.2</v>
      </c>
      <c r="E27" s="255">
        <v>29</v>
      </c>
      <c r="F27" s="255">
        <v>62.9</v>
      </c>
      <c r="G27" s="255">
        <v>46.1</v>
      </c>
      <c r="H27" s="255">
        <v>7.8</v>
      </c>
      <c r="I27" s="255">
        <v>22.7</v>
      </c>
      <c r="J27" s="255">
        <v>34.299999999999997</v>
      </c>
      <c r="K27" s="255">
        <v>18.399999999999999</v>
      </c>
      <c r="L27" s="255">
        <v>24.9</v>
      </c>
      <c r="M27" s="255">
        <v>73.900000000000006</v>
      </c>
      <c r="N27" s="255">
        <v>11.3</v>
      </c>
      <c r="O27" s="255">
        <v>26.7</v>
      </c>
      <c r="P27" s="255">
        <v>38</v>
      </c>
      <c r="Q27" s="255">
        <v>14.9</v>
      </c>
      <c r="R27" s="255">
        <v>7.4</v>
      </c>
      <c r="S27" s="255">
        <v>2.7</v>
      </c>
      <c r="T27" s="255">
        <v>12.3</v>
      </c>
      <c r="U27" s="255">
        <v>17.399999999999999</v>
      </c>
    </row>
    <row r="28" spans="1:21" ht="15.75" customHeight="1" thickBot="1" x14ac:dyDescent="0.3">
      <c r="A28" s="257">
        <v>27</v>
      </c>
      <c r="B28" s="259" t="s">
        <v>473</v>
      </c>
      <c r="C28" s="255">
        <v>31</v>
      </c>
      <c r="D28" s="255">
        <v>84.2</v>
      </c>
      <c r="E28" s="255">
        <v>27.5</v>
      </c>
      <c r="F28" s="255">
        <v>62.3</v>
      </c>
      <c r="G28" s="255">
        <v>44.1</v>
      </c>
      <c r="H28" s="255">
        <v>9.6999999999999993</v>
      </c>
      <c r="I28" s="255">
        <v>28</v>
      </c>
      <c r="J28" s="255">
        <v>34.700000000000003</v>
      </c>
      <c r="K28" s="255">
        <v>19.5</v>
      </c>
      <c r="L28" s="255">
        <v>26.6</v>
      </c>
      <c r="M28" s="255">
        <v>73.2</v>
      </c>
      <c r="N28" s="255">
        <v>14</v>
      </c>
      <c r="O28" s="255">
        <v>27</v>
      </c>
      <c r="P28" s="255">
        <v>40.9</v>
      </c>
      <c r="Q28" s="255">
        <v>14.7</v>
      </c>
      <c r="R28" s="255">
        <v>7.2</v>
      </c>
      <c r="S28" s="255">
        <v>2.8</v>
      </c>
      <c r="T28" s="255">
        <v>10.9</v>
      </c>
      <c r="U28" s="255">
        <v>18.899999999999999</v>
      </c>
    </row>
    <row r="29" spans="1:21" ht="15.75" customHeight="1" thickBot="1" x14ac:dyDescent="0.3">
      <c r="A29" s="257">
        <v>28</v>
      </c>
      <c r="B29" s="259" t="s">
        <v>89</v>
      </c>
      <c r="C29" s="255">
        <v>31</v>
      </c>
      <c r="D29" s="255">
        <v>84</v>
      </c>
      <c r="E29" s="255">
        <v>30.2</v>
      </c>
      <c r="F29" s="255">
        <v>58.4</v>
      </c>
      <c r="G29" s="255">
        <v>51.7</v>
      </c>
      <c r="H29" s="255">
        <v>10.8</v>
      </c>
      <c r="I29" s="255">
        <v>26.7</v>
      </c>
      <c r="J29" s="255">
        <v>40.5</v>
      </c>
      <c r="K29" s="255">
        <v>12.8</v>
      </c>
      <c r="L29" s="255">
        <v>18.7</v>
      </c>
      <c r="M29" s="255">
        <v>68.5</v>
      </c>
      <c r="N29" s="255">
        <v>9.1</v>
      </c>
      <c r="O29" s="255">
        <v>27.1</v>
      </c>
      <c r="P29" s="255">
        <v>36.200000000000003</v>
      </c>
      <c r="Q29" s="255">
        <v>18.399999999999999</v>
      </c>
      <c r="R29" s="255">
        <v>6.3</v>
      </c>
      <c r="S29" s="255">
        <v>3.5</v>
      </c>
      <c r="T29" s="255">
        <v>12.6</v>
      </c>
      <c r="U29" s="255">
        <v>17.5</v>
      </c>
    </row>
    <row r="30" spans="1:21" ht="15.75" customHeight="1" thickBot="1" x14ac:dyDescent="0.3">
      <c r="A30" s="257">
        <v>29</v>
      </c>
      <c r="B30" s="259" t="s">
        <v>44</v>
      </c>
      <c r="C30" s="255">
        <v>31</v>
      </c>
      <c r="D30" s="255">
        <v>83.8</v>
      </c>
      <c r="E30" s="255">
        <v>30.6</v>
      </c>
      <c r="F30" s="255">
        <v>64.900000000000006</v>
      </c>
      <c r="G30" s="255">
        <v>47.1</v>
      </c>
      <c r="H30" s="255">
        <v>10</v>
      </c>
      <c r="I30" s="255">
        <v>29</v>
      </c>
      <c r="J30" s="255">
        <v>34.4</v>
      </c>
      <c r="K30" s="255">
        <v>12.6</v>
      </c>
      <c r="L30" s="255">
        <v>16.899999999999999</v>
      </c>
      <c r="M30" s="255">
        <v>74.400000000000006</v>
      </c>
      <c r="N30" s="255">
        <v>12.9</v>
      </c>
      <c r="O30" s="255">
        <v>22.8</v>
      </c>
      <c r="P30" s="255">
        <v>35.700000000000003</v>
      </c>
      <c r="Q30" s="255">
        <v>16.899999999999999</v>
      </c>
      <c r="R30" s="255">
        <v>9.3000000000000007</v>
      </c>
      <c r="S30" s="255">
        <v>3.8</v>
      </c>
      <c r="T30" s="255">
        <v>11.2</v>
      </c>
      <c r="U30" s="255">
        <v>19.7</v>
      </c>
    </row>
    <row r="31" spans="1:21" ht="15.75" customHeight="1" thickBot="1" x14ac:dyDescent="0.3">
      <c r="A31" s="257">
        <v>30</v>
      </c>
      <c r="B31" s="259" t="s">
        <v>292</v>
      </c>
      <c r="C31" s="255">
        <v>30</v>
      </c>
      <c r="D31" s="255">
        <v>83.7</v>
      </c>
      <c r="E31" s="255">
        <v>27.9</v>
      </c>
      <c r="F31" s="255">
        <v>62.7</v>
      </c>
      <c r="G31" s="255">
        <v>44.5</v>
      </c>
      <c r="H31" s="255">
        <v>9.6999999999999993</v>
      </c>
      <c r="I31" s="255">
        <v>27.6</v>
      </c>
      <c r="J31" s="255">
        <v>35</v>
      </c>
      <c r="K31" s="255">
        <v>18.3</v>
      </c>
      <c r="L31" s="255">
        <v>26.7</v>
      </c>
      <c r="M31" s="255">
        <v>68.8</v>
      </c>
      <c r="N31" s="255">
        <v>14.2</v>
      </c>
      <c r="O31" s="255">
        <v>26.8</v>
      </c>
      <c r="P31" s="255">
        <v>41</v>
      </c>
      <c r="Q31" s="255">
        <v>14.6</v>
      </c>
      <c r="R31" s="255">
        <v>7</v>
      </c>
      <c r="S31" s="255">
        <v>5.4</v>
      </c>
      <c r="T31" s="255">
        <v>12</v>
      </c>
      <c r="U31" s="255">
        <v>20.100000000000001</v>
      </c>
    </row>
    <row r="32" spans="1:21" ht="15.75" customHeight="1" thickBot="1" x14ac:dyDescent="0.3">
      <c r="A32" s="257">
        <v>31</v>
      </c>
      <c r="B32" s="259" t="s">
        <v>50</v>
      </c>
      <c r="C32" s="255">
        <v>30</v>
      </c>
      <c r="D32" s="255">
        <v>83.5</v>
      </c>
      <c r="E32" s="255">
        <v>28.7</v>
      </c>
      <c r="F32" s="255">
        <v>61.5</v>
      </c>
      <c r="G32" s="255">
        <v>46.7</v>
      </c>
      <c r="H32" s="255">
        <v>10.4</v>
      </c>
      <c r="I32" s="255">
        <v>27.2</v>
      </c>
      <c r="J32" s="255">
        <v>38.1</v>
      </c>
      <c r="K32" s="255">
        <v>15.8</v>
      </c>
      <c r="L32" s="255">
        <v>20.7</v>
      </c>
      <c r="M32" s="255">
        <v>76.2</v>
      </c>
      <c r="N32" s="255">
        <v>10</v>
      </c>
      <c r="O32" s="255">
        <v>25</v>
      </c>
      <c r="P32" s="255">
        <v>35</v>
      </c>
      <c r="Q32" s="255">
        <v>15.9</v>
      </c>
      <c r="R32" s="255">
        <v>8.3000000000000007</v>
      </c>
      <c r="S32" s="255">
        <v>3.3</v>
      </c>
      <c r="T32" s="255">
        <v>9.1999999999999993</v>
      </c>
      <c r="U32" s="255">
        <v>18.5</v>
      </c>
    </row>
    <row r="33" spans="1:21" ht="15.75" customHeight="1" thickBot="1" x14ac:dyDescent="0.3">
      <c r="A33" s="257">
        <v>32</v>
      </c>
      <c r="B33" s="259" t="s">
        <v>279</v>
      </c>
      <c r="C33" s="255">
        <v>32</v>
      </c>
      <c r="D33" s="255">
        <v>83.5</v>
      </c>
      <c r="E33" s="255">
        <v>31.7</v>
      </c>
      <c r="F33" s="255">
        <v>68.900000000000006</v>
      </c>
      <c r="G33" s="255">
        <v>46</v>
      </c>
      <c r="H33" s="255">
        <v>9.6</v>
      </c>
      <c r="I33" s="255">
        <v>29.6</v>
      </c>
      <c r="J33" s="255">
        <v>32.6</v>
      </c>
      <c r="K33" s="255">
        <v>10.6</v>
      </c>
      <c r="L33" s="255">
        <v>14.6</v>
      </c>
      <c r="M33" s="255">
        <v>72.7</v>
      </c>
      <c r="N33" s="255">
        <v>11.3</v>
      </c>
      <c r="O33" s="255">
        <v>21.2</v>
      </c>
      <c r="P33" s="255">
        <v>32.4</v>
      </c>
      <c r="Q33" s="255">
        <v>20.3</v>
      </c>
      <c r="R33" s="255">
        <v>8.9</v>
      </c>
      <c r="S33" s="255">
        <v>3.2</v>
      </c>
      <c r="T33" s="255">
        <v>12</v>
      </c>
      <c r="U33" s="255">
        <v>22.1</v>
      </c>
    </row>
    <row r="34" spans="1:21" ht="15.75" customHeight="1" thickBot="1" x14ac:dyDescent="0.3">
      <c r="A34" s="257">
        <v>33</v>
      </c>
      <c r="B34" s="259" t="s">
        <v>221</v>
      </c>
      <c r="C34" s="255">
        <v>31</v>
      </c>
      <c r="D34" s="255">
        <v>83.5</v>
      </c>
      <c r="E34" s="255">
        <v>29.5</v>
      </c>
      <c r="F34" s="255">
        <v>64.3</v>
      </c>
      <c r="G34" s="255">
        <v>45.9</v>
      </c>
      <c r="H34" s="255">
        <v>12.1</v>
      </c>
      <c r="I34" s="255">
        <v>33.299999999999997</v>
      </c>
      <c r="J34" s="255">
        <v>36.200000000000003</v>
      </c>
      <c r="K34" s="255">
        <v>12.5</v>
      </c>
      <c r="L34" s="255">
        <v>19.3</v>
      </c>
      <c r="M34" s="255">
        <v>64.599999999999994</v>
      </c>
      <c r="N34" s="255">
        <v>12</v>
      </c>
      <c r="O34" s="255">
        <v>30</v>
      </c>
      <c r="P34" s="255">
        <v>42.1</v>
      </c>
      <c r="Q34" s="255">
        <v>16.8</v>
      </c>
      <c r="R34" s="255">
        <v>4.8</v>
      </c>
      <c r="S34" s="255">
        <v>4.9000000000000004</v>
      </c>
      <c r="T34" s="255">
        <v>14.2</v>
      </c>
      <c r="U34" s="255">
        <v>21.6</v>
      </c>
    </row>
    <row r="35" spans="1:21" ht="15.75" customHeight="1" thickBot="1" x14ac:dyDescent="0.3">
      <c r="A35" s="257">
        <v>34</v>
      </c>
      <c r="B35" s="259" t="s">
        <v>194</v>
      </c>
      <c r="C35" s="255">
        <v>30</v>
      </c>
      <c r="D35" s="255">
        <v>83.5</v>
      </c>
      <c r="E35" s="255">
        <v>27.6</v>
      </c>
      <c r="F35" s="255">
        <v>59.9</v>
      </c>
      <c r="G35" s="255">
        <v>46</v>
      </c>
      <c r="H35" s="255">
        <v>7.9</v>
      </c>
      <c r="I35" s="255">
        <v>23.2</v>
      </c>
      <c r="J35" s="255">
        <v>33.9</v>
      </c>
      <c r="K35" s="255">
        <v>20.5</v>
      </c>
      <c r="L35" s="255">
        <v>27.5</v>
      </c>
      <c r="M35" s="255">
        <v>74.599999999999994</v>
      </c>
      <c r="N35" s="255">
        <v>13.5</v>
      </c>
      <c r="O35" s="255">
        <v>22.8</v>
      </c>
      <c r="P35" s="255">
        <v>36.4</v>
      </c>
      <c r="Q35" s="255">
        <v>12.8</v>
      </c>
      <c r="R35" s="255">
        <v>7.6</v>
      </c>
      <c r="S35" s="255">
        <v>4.2</v>
      </c>
      <c r="T35" s="255">
        <v>10.199999999999999</v>
      </c>
      <c r="U35" s="255">
        <v>17.3</v>
      </c>
    </row>
    <row r="36" spans="1:21" ht="15.75" customHeight="1" thickBot="1" x14ac:dyDescent="0.3">
      <c r="A36" s="257">
        <v>35</v>
      </c>
      <c r="B36" s="259" t="s">
        <v>334</v>
      </c>
      <c r="C36" s="255">
        <v>31</v>
      </c>
      <c r="D36" s="255">
        <v>83.5</v>
      </c>
      <c r="E36" s="255">
        <v>28.1</v>
      </c>
      <c r="F36" s="255">
        <v>60.7</v>
      </c>
      <c r="G36" s="255">
        <v>46.3</v>
      </c>
      <c r="H36" s="255">
        <v>9.6</v>
      </c>
      <c r="I36" s="255">
        <v>27.4</v>
      </c>
      <c r="J36" s="255">
        <v>34.9</v>
      </c>
      <c r="K36" s="255">
        <v>17.7</v>
      </c>
      <c r="L36" s="255">
        <v>23.3</v>
      </c>
      <c r="M36" s="255">
        <v>76</v>
      </c>
      <c r="N36" s="255">
        <v>11.8</v>
      </c>
      <c r="O36" s="255">
        <v>24.8</v>
      </c>
      <c r="P36" s="255">
        <v>36.6</v>
      </c>
      <c r="Q36" s="255">
        <v>13.8</v>
      </c>
      <c r="R36" s="255">
        <v>6</v>
      </c>
      <c r="S36" s="255">
        <v>4</v>
      </c>
      <c r="T36" s="255">
        <v>11.8</v>
      </c>
      <c r="U36" s="255">
        <v>18.600000000000001</v>
      </c>
    </row>
    <row r="37" spans="1:21" ht="15.75" customHeight="1" thickBot="1" x14ac:dyDescent="0.3">
      <c r="A37" s="257">
        <v>36</v>
      </c>
      <c r="B37" s="259" t="s">
        <v>211</v>
      </c>
      <c r="C37" s="255">
        <v>31</v>
      </c>
      <c r="D37" s="255">
        <v>83.5</v>
      </c>
      <c r="E37" s="255">
        <v>28.7</v>
      </c>
      <c r="F37" s="255">
        <v>62.8</v>
      </c>
      <c r="G37" s="255">
        <v>45.7</v>
      </c>
      <c r="H37" s="255">
        <v>9.1</v>
      </c>
      <c r="I37" s="255">
        <v>26.5</v>
      </c>
      <c r="J37" s="255">
        <v>34.5</v>
      </c>
      <c r="K37" s="255">
        <v>17</v>
      </c>
      <c r="L37" s="255">
        <v>23.8</v>
      </c>
      <c r="M37" s="255">
        <v>71.2</v>
      </c>
      <c r="N37" s="255">
        <v>9.8000000000000007</v>
      </c>
      <c r="O37" s="255">
        <v>25.4</v>
      </c>
      <c r="P37" s="255">
        <v>35.1</v>
      </c>
      <c r="Q37" s="255">
        <v>16.399999999999999</v>
      </c>
      <c r="R37" s="255">
        <v>8</v>
      </c>
      <c r="S37" s="255">
        <v>2.8</v>
      </c>
      <c r="T37" s="255">
        <v>11.4</v>
      </c>
      <c r="U37" s="255">
        <v>18.8</v>
      </c>
    </row>
    <row r="38" spans="1:21" ht="15.75" customHeight="1" thickBot="1" x14ac:dyDescent="0.3">
      <c r="A38" s="257">
        <v>37</v>
      </c>
      <c r="B38" s="259" t="s">
        <v>396</v>
      </c>
      <c r="C38" s="255">
        <v>30</v>
      </c>
      <c r="D38" s="255">
        <v>83.3</v>
      </c>
      <c r="E38" s="255">
        <v>29.5</v>
      </c>
      <c r="F38" s="255">
        <v>62.8</v>
      </c>
      <c r="G38" s="255">
        <v>47</v>
      </c>
      <c r="H38" s="255">
        <v>8.6</v>
      </c>
      <c r="I38" s="255">
        <v>23</v>
      </c>
      <c r="J38" s="255">
        <v>37.299999999999997</v>
      </c>
      <c r="K38" s="255">
        <v>15.7</v>
      </c>
      <c r="L38" s="255">
        <v>21.4</v>
      </c>
      <c r="M38" s="255">
        <v>73.400000000000006</v>
      </c>
      <c r="N38" s="255">
        <v>13.4</v>
      </c>
      <c r="O38" s="255">
        <v>27.2</v>
      </c>
      <c r="P38" s="255">
        <v>40.700000000000003</v>
      </c>
      <c r="Q38" s="255">
        <v>15.7</v>
      </c>
      <c r="R38" s="255">
        <v>7.2</v>
      </c>
      <c r="S38" s="255">
        <v>3.1</v>
      </c>
      <c r="T38" s="255">
        <v>11.9</v>
      </c>
      <c r="U38" s="255">
        <v>17.600000000000001</v>
      </c>
    </row>
    <row r="39" spans="1:21" ht="15.75" customHeight="1" thickBot="1" x14ac:dyDescent="0.3">
      <c r="A39" s="257">
        <v>38</v>
      </c>
      <c r="B39" s="259" t="s">
        <v>241</v>
      </c>
      <c r="C39" s="255">
        <v>31</v>
      </c>
      <c r="D39" s="255">
        <v>83.3</v>
      </c>
      <c r="E39" s="255">
        <v>29.3</v>
      </c>
      <c r="F39" s="255">
        <v>60.8</v>
      </c>
      <c r="G39" s="255">
        <v>48.1</v>
      </c>
      <c r="H39" s="255">
        <v>8.9</v>
      </c>
      <c r="I39" s="255">
        <v>23.4</v>
      </c>
      <c r="J39" s="255">
        <v>38.299999999999997</v>
      </c>
      <c r="K39" s="255">
        <v>15.9</v>
      </c>
      <c r="L39" s="255">
        <v>20.399999999999999</v>
      </c>
      <c r="M39" s="255">
        <v>77.8</v>
      </c>
      <c r="N39" s="255">
        <v>10.5</v>
      </c>
      <c r="O39" s="255">
        <v>23.5</v>
      </c>
      <c r="P39" s="255">
        <v>34</v>
      </c>
      <c r="Q39" s="255">
        <v>11.7</v>
      </c>
      <c r="R39" s="255">
        <v>4.5999999999999996</v>
      </c>
      <c r="S39" s="255">
        <v>2</v>
      </c>
      <c r="T39" s="255">
        <v>9.6999999999999993</v>
      </c>
      <c r="U39" s="255">
        <v>18</v>
      </c>
    </row>
    <row r="40" spans="1:21" ht="15.75" customHeight="1" thickBot="1" x14ac:dyDescent="0.3">
      <c r="A40" s="257">
        <v>39</v>
      </c>
      <c r="B40" s="259" t="s">
        <v>266</v>
      </c>
      <c r="C40" s="255">
        <v>30</v>
      </c>
      <c r="D40" s="255">
        <v>83.3</v>
      </c>
      <c r="E40" s="255">
        <v>28.8</v>
      </c>
      <c r="F40" s="255">
        <v>60.6</v>
      </c>
      <c r="G40" s="255">
        <v>47.4</v>
      </c>
      <c r="H40" s="255">
        <v>10</v>
      </c>
      <c r="I40" s="255">
        <v>27.9</v>
      </c>
      <c r="J40" s="255">
        <v>35.799999999999997</v>
      </c>
      <c r="K40" s="255">
        <v>15.8</v>
      </c>
      <c r="L40" s="255">
        <v>21.7</v>
      </c>
      <c r="M40" s="255">
        <v>72.5</v>
      </c>
      <c r="N40" s="255">
        <v>12.5</v>
      </c>
      <c r="O40" s="255">
        <v>25.1</v>
      </c>
      <c r="P40" s="255">
        <v>37.6</v>
      </c>
      <c r="Q40" s="255">
        <v>15.7</v>
      </c>
      <c r="R40" s="255">
        <v>7.6</v>
      </c>
      <c r="S40" s="255">
        <v>3.4</v>
      </c>
      <c r="T40" s="255">
        <v>12.8</v>
      </c>
      <c r="U40" s="255">
        <v>18.100000000000001</v>
      </c>
    </row>
    <row r="41" spans="1:21" ht="15.75" customHeight="1" thickBot="1" x14ac:dyDescent="0.3">
      <c r="A41" s="257">
        <v>40</v>
      </c>
      <c r="B41" s="259" t="s">
        <v>418</v>
      </c>
      <c r="C41" s="255">
        <v>32</v>
      </c>
      <c r="D41" s="255">
        <v>83.2</v>
      </c>
      <c r="E41" s="255">
        <v>29.7</v>
      </c>
      <c r="F41" s="255">
        <v>58</v>
      </c>
      <c r="G41" s="255">
        <v>51.3</v>
      </c>
      <c r="H41" s="255">
        <v>9.9</v>
      </c>
      <c r="I41" s="255">
        <v>26.8</v>
      </c>
      <c r="J41" s="255">
        <v>37</v>
      </c>
      <c r="K41" s="255">
        <v>13.8</v>
      </c>
      <c r="L41" s="255">
        <v>20.2</v>
      </c>
      <c r="M41" s="255">
        <v>68.3</v>
      </c>
      <c r="N41" s="255">
        <v>6.9</v>
      </c>
      <c r="O41" s="255">
        <v>26.3</v>
      </c>
      <c r="P41" s="255">
        <v>33.200000000000003</v>
      </c>
      <c r="Q41" s="255">
        <v>17.100000000000001</v>
      </c>
      <c r="R41" s="255">
        <v>7.5</v>
      </c>
      <c r="S41" s="255">
        <v>2.7</v>
      </c>
      <c r="T41" s="255">
        <v>9.4</v>
      </c>
      <c r="U41" s="255">
        <v>15.6</v>
      </c>
    </row>
    <row r="42" spans="1:21" ht="15.75" customHeight="1" thickBot="1" x14ac:dyDescent="0.3">
      <c r="A42" s="257">
        <v>41</v>
      </c>
      <c r="B42" s="259" t="s">
        <v>17</v>
      </c>
      <c r="C42" s="255">
        <v>30</v>
      </c>
      <c r="D42" s="255">
        <v>83.2</v>
      </c>
      <c r="E42" s="255">
        <v>28.9</v>
      </c>
      <c r="F42" s="255">
        <v>57.9</v>
      </c>
      <c r="G42" s="255">
        <v>49.9</v>
      </c>
      <c r="H42" s="255">
        <v>9.1</v>
      </c>
      <c r="I42" s="255">
        <v>25.5</v>
      </c>
      <c r="J42" s="255">
        <v>35.5</v>
      </c>
      <c r="K42" s="255">
        <v>16.2</v>
      </c>
      <c r="L42" s="255">
        <v>22.3</v>
      </c>
      <c r="M42" s="255">
        <v>72.7</v>
      </c>
      <c r="N42" s="255">
        <v>11.8</v>
      </c>
      <c r="O42" s="255">
        <v>28.2</v>
      </c>
      <c r="P42" s="255">
        <v>40</v>
      </c>
      <c r="Q42" s="255">
        <v>17.3</v>
      </c>
      <c r="R42" s="255">
        <v>7.9</v>
      </c>
      <c r="S42" s="255">
        <v>3.3</v>
      </c>
      <c r="T42" s="255">
        <v>10.5</v>
      </c>
      <c r="U42" s="255">
        <v>15.7</v>
      </c>
    </row>
    <row r="43" spans="1:21" ht="15.75" customHeight="1" thickBot="1" x14ac:dyDescent="0.3">
      <c r="A43" s="257">
        <v>42</v>
      </c>
      <c r="B43" s="259" t="s">
        <v>320</v>
      </c>
      <c r="C43" s="255">
        <v>31</v>
      </c>
      <c r="D43" s="255">
        <v>83</v>
      </c>
      <c r="E43" s="255">
        <v>28.6</v>
      </c>
      <c r="F43" s="255">
        <v>61.7</v>
      </c>
      <c r="G43" s="255">
        <v>46.4</v>
      </c>
      <c r="H43" s="255">
        <v>8.8000000000000007</v>
      </c>
      <c r="I43" s="255">
        <v>25.2</v>
      </c>
      <c r="J43" s="255">
        <v>34.799999999999997</v>
      </c>
      <c r="K43" s="255">
        <v>16.899999999999999</v>
      </c>
      <c r="L43" s="255">
        <v>23.3</v>
      </c>
      <c r="M43" s="255">
        <v>72.7</v>
      </c>
      <c r="N43" s="255">
        <v>12.3</v>
      </c>
      <c r="O43" s="255">
        <v>25.6</v>
      </c>
      <c r="P43" s="255">
        <v>37.9</v>
      </c>
      <c r="Q43" s="255">
        <v>13.9</v>
      </c>
      <c r="R43" s="255">
        <v>7.9</v>
      </c>
      <c r="S43" s="255">
        <v>3.5</v>
      </c>
      <c r="T43" s="255">
        <v>10.6</v>
      </c>
      <c r="U43" s="255">
        <v>15.5</v>
      </c>
    </row>
    <row r="44" spans="1:21" ht="15.75" customHeight="1" thickBot="1" x14ac:dyDescent="0.3">
      <c r="A44" s="257">
        <v>43</v>
      </c>
      <c r="B44" s="259" t="s">
        <v>191</v>
      </c>
      <c r="C44" s="255">
        <v>32</v>
      </c>
      <c r="D44" s="255">
        <v>83</v>
      </c>
      <c r="E44" s="255">
        <v>28</v>
      </c>
      <c r="F44" s="255">
        <v>62.1</v>
      </c>
      <c r="G44" s="255">
        <v>45.1</v>
      </c>
      <c r="H44" s="255">
        <v>9.3000000000000007</v>
      </c>
      <c r="I44" s="255">
        <v>28</v>
      </c>
      <c r="J44" s="255">
        <v>33.299999999999997</v>
      </c>
      <c r="K44" s="255">
        <v>17.600000000000001</v>
      </c>
      <c r="L44" s="255">
        <v>24</v>
      </c>
      <c r="M44" s="255">
        <v>73.3</v>
      </c>
      <c r="N44" s="255">
        <v>14.3</v>
      </c>
      <c r="O44" s="255">
        <v>27.1</v>
      </c>
      <c r="P44" s="255">
        <v>41.3</v>
      </c>
      <c r="Q44" s="255">
        <v>15.8</v>
      </c>
      <c r="R44" s="255">
        <v>7.5</v>
      </c>
      <c r="S44" s="255">
        <v>2.6</v>
      </c>
      <c r="T44" s="255">
        <v>14.3</v>
      </c>
      <c r="U44" s="255">
        <v>18.600000000000001</v>
      </c>
    </row>
    <row r="45" spans="1:21" ht="15.75" customHeight="1" thickBot="1" x14ac:dyDescent="0.3">
      <c r="A45" s="257">
        <v>44</v>
      </c>
      <c r="B45" s="259" t="s">
        <v>455</v>
      </c>
      <c r="C45" s="255">
        <v>30</v>
      </c>
      <c r="D45" s="255">
        <v>82.9</v>
      </c>
      <c r="E45" s="255">
        <v>27</v>
      </c>
      <c r="F45" s="255">
        <v>58.4</v>
      </c>
      <c r="G45" s="255">
        <v>46.1</v>
      </c>
      <c r="H45" s="255">
        <v>9.4</v>
      </c>
      <c r="I45" s="255">
        <v>26</v>
      </c>
      <c r="J45" s="255">
        <v>36.299999999999997</v>
      </c>
      <c r="K45" s="255">
        <v>19.5</v>
      </c>
      <c r="L45" s="255">
        <v>26.4</v>
      </c>
      <c r="M45" s="255">
        <v>74</v>
      </c>
      <c r="N45" s="255">
        <v>11.6</v>
      </c>
      <c r="O45" s="255">
        <v>25.5</v>
      </c>
      <c r="P45" s="255">
        <v>37.1</v>
      </c>
      <c r="Q45" s="255">
        <v>14.3</v>
      </c>
      <c r="R45" s="255">
        <v>7.5</v>
      </c>
      <c r="S45" s="255">
        <v>4.5</v>
      </c>
      <c r="T45" s="255">
        <v>10.9</v>
      </c>
      <c r="U45" s="255">
        <v>17.7</v>
      </c>
    </row>
    <row r="46" spans="1:21" ht="15.75" customHeight="1" thickBot="1" x14ac:dyDescent="0.3">
      <c r="A46" s="257">
        <v>45</v>
      </c>
      <c r="B46" s="259" t="s">
        <v>21</v>
      </c>
      <c r="C46" s="255">
        <v>29</v>
      </c>
      <c r="D46" s="255">
        <v>82.9</v>
      </c>
      <c r="E46" s="255">
        <v>29.9</v>
      </c>
      <c r="F46" s="255">
        <v>62.7</v>
      </c>
      <c r="G46" s="255">
        <v>47.8</v>
      </c>
      <c r="H46" s="255">
        <v>8.3000000000000007</v>
      </c>
      <c r="I46" s="255">
        <v>21.8</v>
      </c>
      <c r="J46" s="255">
        <v>38.200000000000003</v>
      </c>
      <c r="K46" s="255">
        <v>14.7</v>
      </c>
      <c r="L46" s="255">
        <v>19.5</v>
      </c>
      <c r="M46" s="255">
        <v>75.3</v>
      </c>
      <c r="N46" s="255">
        <v>12.1</v>
      </c>
      <c r="O46" s="255">
        <v>24.6</v>
      </c>
      <c r="P46" s="255">
        <v>36.700000000000003</v>
      </c>
      <c r="Q46" s="255">
        <v>16.399999999999999</v>
      </c>
      <c r="R46" s="255">
        <v>5.7</v>
      </c>
      <c r="S46" s="255">
        <v>3.1</v>
      </c>
      <c r="T46" s="255">
        <v>11.3</v>
      </c>
      <c r="U46" s="255">
        <v>17.3</v>
      </c>
    </row>
    <row r="47" spans="1:21" ht="15.75" customHeight="1" thickBot="1" x14ac:dyDescent="0.3">
      <c r="A47" s="257">
        <v>46</v>
      </c>
      <c r="B47" s="259" t="s">
        <v>78</v>
      </c>
      <c r="C47" s="255">
        <v>30</v>
      </c>
      <c r="D47" s="255">
        <v>82.8</v>
      </c>
      <c r="E47" s="255">
        <v>27.9</v>
      </c>
      <c r="F47" s="255">
        <v>61.9</v>
      </c>
      <c r="G47" s="255">
        <v>45</v>
      </c>
      <c r="H47" s="255">
        <v>11.4</v>
      </c>
      <c r="I47" s="255">
        <v>31.9</v>
      </c>
      <c r="J47" s="255">
        <v>35.700000000000003</v>
      </c>
      <c r="K47" s="255">
        <v>15.7</v>
      </c>
      <c r="L47" s="255">
        <v>20.2</v>
      </c>
      <c r="M47" s="255">
        <v>77.900000000000006</v>
      </c>
      <c r="N47" s="255">
        <v>10.5</v>
      </c>
      <c r="O47" s="255">
        <v>25.8</v>
      </c>
      <c r="P47" s="255">
        <v>36.299999999999997</v>
      </c>
      <c r="Q47" s="255">
        <v>15.8</v>
      </c>
      <c r="R47" s="255">
        <v>5.7</v>
      </c>
      <c r="S47" s="255">
        <v>3.1</v>
      </c>
      <c r="T47" s="255">
        <v>9.1</v>
      </c>
      <c r="U47" s="255">
        <v>17.100000000000001</v>
      </c>
    </row>
    <row r="48" spans="1:21" ht="15.75" customHeight="1" thickBot="1" x14ac:dyDescent="0.3">
      <c r="A48" s="257">
        <v>47</v>
      </c>
      <c r="B48" s="259" t="s">
        <v>36</v>
      </c>
      <c r="C48" s="255">
        <v>30</v>
      </c>
      <c r="D48" s="255">
        <v>82.7</v>
      </c>
      <c r="E48" s="255">
        <v>29.3</v>
      </c>
      <c r="F48" s="255">
        <v>58.6</v>
      </c>
      <c r="G48" s="255">
        <v>50.1</v>
      </c>
      <c r="H48" s="255">
        <v>8.8000000000000007</v>
      </c>
      <c r="I48" s="255">
        <v>24.4</v>
      </c>
      <c r="J48" s="255">
        <v>36.299999999999997</v>
      </c>
      <c r="K48" s="255">
        <v>15.1</v>
      </c>
      <c r="L48" s="255">
        <v>21.5</v>
      </c>
      <c r="M48" s="255">
        <v>70.2</v>
      </c>
      <c r="N48" s="255">
        <v>11.1</v>
      </c>
      <c r="O48" s="255">
        <v>23.6</v>
      </c>
      <c r="P48" s="255">
        <v>34.6</v>
      </c>
      <c r="Q48" s="255">
        <v>17.7</v>
      </c>
      <c r="R48" s="255">
        <v>8.8000000000000007</v>
      </c>
      <c r="S48" s="255">
        <v>3</v>
      </c>
      <c r="T48" s="255">
        <v>10.7</v>
      </c>
      <c r="U48" s="255">
        <v>18.8</v>
      </c>
    </row>
    <row r="49" spans="1:21" ht="15.75" customHeight="1" thickBot="1" x14ac:dyDescent="0.3">
      <c r="A49" s="257">
        <v>48</v>
      </c>
      <c r="B49" s="259" t="s">
        <v>361</v>
      </c>
      <c r="C49" s="255">
        <v>30</v>
      </c>
      <c r="D49" s="255">
        <v>82.6</v>
      </c>
      <c r="E49" s="255">
        <v>28.3</v>
      </c>
      <c r="F49" s="255">
        <v>60.3</v>
      </c>
      <c r="G49" s="255">
        <v>46.9</v>
      </c>
      <c r="H49" s="255">
        <v>10</v>
      </c>
      <c r="I49" s="255">
        <v>27</v>
      </c>
      <c r="J49" s="255">
        <v>37.200000000000003</v>
      </c>
      <c r="K49" s="255">
        <v>15.9</v>
      </c>
      <c r="L49" s="255">
        <v>21.5</v>
      </c>
      <c r="M49" s="255">
        <v>74.2</v>
      </c>
      <c r="N49" s="255">
        <v>11.6</v>
      </c>
      <c r="O49" s="255">
        <v>24</v>
      </c>
      <c r="P49" s="255">
        <v>35.6</v>
      </c>
      <c r="Q49" s="255">
        <v>14.1</v>
      </c>
      <c r="R49" s="255">
        <v>6.3</v>
      </c>
      <c r="S49" s="255">
        <v>3.8</v>
      </c>
      <c r="T49" s="255">
        <v>10.199999999999999</v>
      </c>
      <c r="U49" s="255">
        <v>17.5</v>
      </c>
    </row>
    <row r="50" spans="1:21" ht="15.75" customHeight="1" thickBot="1" x14ac:dyDescent="0.3">
      <c r="A50" s="257">
        <v>49</v>
      </c>
      <c r="B50" s="259" t="s">
        <v>359</v>
      </c>
      <c r="C50" s="255">
        <v>32</v>
      </c>
      <c r="D50" s="255">
        <v>82.6</v>
      </c>
      <c r="E50" s="255">
        <v>29</v>
      </c>
      <c r="F50" s="255">
        <v>61.2</v>
      </c>
      <c r="G50" s="255">
        <v>47.4</v>
      </c>
      <c r="H50" s="255">
        <v>7.2</v>
      </c>
      <c r="I50" s="255">
        <v>20.8</v>
      </c>
      <c r="J50" s="255">
        <v>34.799999999999997</v>
      </c>
      <c r="K50" s="255">
        <v>17.399999999999999</v>
      </c>
      <c r="L50" s="255">
        <v>23.2</v>
      </c>
      <c r="M50" s="255">
        <v>75</v>
      </c>
      <c r="N50" s="255">
        <v>11.1</v>
      </c>
      <c r="O50" s="255">
        <v>23.9</v>
      </c>
      <c r="P50" s="255">
        <v>35</v>
      </c>
      <c r="Q50" s="255">
        <v>15.8</v>
      </c>
      <c r="R50" s="255">
        <v>7.6</v>
      </c>
      <c r="S50" s="255">
        <v>3.6</v>
      </c>
      <c r="T50" s="255">
        <v>10.5</v>
      </c>
      <c r="U50" s="255">
        <v>15.3</v>
      </c>
    </row>
    <row r="51" spans="1:21" ht="15.75" customHeight="1" thickBot="1" x14ac:dyDescent="0.3">
      <c r="A51" s="257">
        <v>50</v>
      </c>
      <c r="B51" s="259" t="s">
        <v>355</v>
      </c>
      <c r="C51" s="255">
        <v>32</v>
      </c>
      <c r="D51" s="255">
        <v>82.5</v>
      </c>
      <c r="E51" s="255">
        <v>28.8</v>
      </c>
      <c r="F51" s="255">
        <v>61.6</v>
      </c>
      <c r="G51" s="255">
        <v>46.7</v>
      </c>
      <c r="H51" s="255">
        <v>9.3000000000000007</v>
      </c>
      <c r="I51" s="255">
        <v>27.7</v>
      </c>
      <c r="J51" s="255">
        <v>33.5</v>
      </c>
      <c r="K51" s="255">
        <v>15.8</v>
      </c>
      <c r="L51" s="255">
        <v>22.2</v>
      </c>
      <c r="M51" s="255">
        <v>71</v>
      </c>
      <c r="N51" s="255">
        <v>11.7</v>
      </c>
      <c r="O51" s="255">
        <v>23.7</v>
      </c>
      <c r="P51" s="255">
        <v>35.4</v>
      </c>
      <c r="Q51" s="255">
        <v>15.5</v>
      </c>
      <c r="R51" s="255">
        <v>8.8000000000000007</v>
      </c>
      <c r="S51" s="255">
        <v>3.6</v>
      </c>
      <c r="T51" s="255">
        <v>12</v>
      </c>
      <c r="U51" s="255">
        <v>18.399999999999999</v>
      </c>
    </row>
    <row r="52" spans="1:21" ht="15.75" customHeight="1" thickBot="1" x14ac:dyDescent="0.3">
      <c r="A52" s="257">
        <v>51</v>
      </c>
      <c r="B52" s="259" t="s">
        <v>86</v>
      </c>
      <c r="C52" s="255">
        <v>30</v>
      </c>
      <c r="D52" s="255">
        <v>82.5</v>
      </c>
      <c r="E52" s="255">
        <v>30.3</v>
      </c>
      <c r="F52" s="255">
        <v>60.1</v>
      </c>
      <c r="G52" s="255">
        <v>50.4</v>
      </c>
      <c r="H52" s="255">
        <v>6.7</v>
      </c>
      <c r="I52" s="255">
        <v>19.100000000000001</v>
      </c>
      <c r="J52" s="255">
        <v>34.9</v>
      </c>
      <c r="K52" s="255">
        <v>15.2</v>
      </c>
      <c r="L52" s="255">
        <v>22.4</v>
      </c>
      <c r="M52" s="255">
        <v>67.599999999999994</v>
      </c>
      <c r="N52" s="255">
        <v>12.5</v>
      </c>
      <c r="O52" s="255">
        <v>25.7</v>
      </c>
      <c r="P52" s="255">
        <v>38.200000000000003</v>
      </c>
      <c r="Q52" s="255">
        <v>16.399999999999999</v>
      </c>
      <c r="R52" s="255">
        <v>8</v>
      </c>
      <c r="S52" s="255">
        <v>3.3</v>
      </c>
      <c r="T52" s="255">
        <v>11.6</v>
      </c>
      <c r="U52" s="255">
        <v>15.3</v>
      </c>
    </row>
    <row r="53" spans="1:21" ht="15.75" customHeight="1" thickBot="1" x14ac:dyDescent="0.3">
      <c r="A53" s="257">
        <v>52</v>
      </c>
      <c r="B53" s="259" t="s">
        <v>352</v>
      </c>
      <c r="C53" s="255">
        <v>31</v>
      </c>
      <c r="D53" s="255">
        <v>82.3</v>
      </c>
      <c r="E53" s="255">
        <v>30.2</v>
      </c>
      <c r="F53" s="255">
        <v>61.3</v>
      </c>
      <c r="G53" s="255">
        <v>49.2</v>
      </c>
      <c r="H53" s="255">
        <v>9.6</v>
      </c>
      <c r="I53" s="255">
        <v>26.5</v>
      </c>
      <c r="J53" s="255">
        <v>36.299999999999997</v>
      </c>
      <c r="K53" s="255">
        <v>12.4</v>
      </c>
      <c r="L53" s="255">
        <v>16.3</v>
      </c>
      <c r="M53" s="255">
        <v>76</v>
      </c>
      <c r="N53" s="255">
        <v>9.4</v>
      </c>
      <c r="O53" s="255">
        <v>27.4</v>
      </c>
      <c r="P53" s="255">
        <v>36.700000000000003</v>
      </c>
      <c r="Q53" s="255">
        <v>16.600000000000001</v>
      </c>
      <c r="R53" s="255">
        <v>4.4000000000000004</v>
      </c>
      <c r="S53" s="255">
        <v>2.7</v>
      </c>
      <c r="T53" s="255">
        <v>11.1</v>
      </c>
      <c r="U53" s="255">
        <v>17.899999999999999</v>
      </c>
    </row>
    <row r="54" spans="1:21" ht="15.75" customHeight="1" thickBot="1" x14ac:dyDescent="0.3">
      <c r="A54" s="257">
        <v>53</v>
      </c>
      <c r="B54" s="259" t="s">
        <v>55</v>
      </c>
      <c r="C54" s="255">
        <v>30</v>
      </c>
      <c r="D54" s="255">
        <v>82.2</v>
      </c>
      <c r="E54" s="255">
        <v>28</v>
      </c>
      <c r="F54" s="255">
        <v>62</v>
      </c>
      <c r="G54" s="255">
        <v>45.1</v>
      </c>
      <c r="H54" s="255">
        <v>7.1</v>
      </c>
      <c r="I54" s="255">
        <v>20.9</v>
      </c>
      <c r="J54" s="255">
        <v>33.799999999999997</v>
      </c>
      <c r="K54" s="255">
        <v>19.2</v>
      </c>
      <c r="L54" s="255">
        <v>26.4</v>
      </c>
      <c r="M54" s="255">
        <v>72.8</v>
      </c>
      <c r="N54" s="255">
        <v>13.4</v>
      </c>
      <c r="O54" s="255">
        <v>25.6</v>
      </c>
      <c r="P54" s="255">
        <v>39</v>
      </c>
      <c r="Q54" s="255">
        <v>16.399999999999999</v>
      </c>
      <c r="R54" s="255">
        <v>8</v>
      </c>
      <c r="S54" s="255">
        <v>4.8</v>
      </c>
      <c r="T54" s="255">
        <v>10.5</v>
      </c>
      <c r="U54" s="255">
        <v>17.3</v>
      </c>
    </row>
    <row r="55" spans="1:21" ht="15.75" customHeight="1" thickBot="1" x14ac:dyDescent="0.3">
      <c r="A55" s="257">
        <v>54</v>
      </c>
      <c r="B55" s="259" t="s">
        <v>196</v>
      </c>
      <c r="C55" s="255">
        <v>30</v>
      </c>
      <c r="D55" s="255">
        <v>82.1</v>
      </c>
      <c r="E55" s="255">
        <v>29</v>
      </c>
      <c r="F55" s="255">
        <v>60.9</v>
      </c>
      <c r="G55" s="255">
        <v>47.6</v>
      </c>
      <c r="H55" s="255">
        <v>8.1999999999999993</v>
      </c>
      <c r="I55" s="255">
        <v>23.7</v>
      </c>
      <c r="J55" s="255">
        <v>34.700000000000003</v>
      </c>
      <c r="K55" s="255">
        <v>15.8</v>
      </c>
      <c r="L55" s="255">
        <v>21.7</v>
      </c>
      <c r="M55" s="255">
        <v>72.900000000000006</v>
      </c>
      <c r="N55" s="255">
        <v>12.7</v>
      </c>
      <c r="O55" s="255">
        <v>24.5</v>
      </c>
      <c r="P55" s="255">
        <v>37.200000000000003</v>
      </c>
      <c r="Q55" s="255">
        <v>15.7</v>
      </c>
      <c r="R55" s="255">
        <v>6.4</v>
      </c>
      <c r="S55" s="255">
        <v>4.2</v>
      </c>
      <c r="T55" s="255">
        <v>11.8</v>
      </c>
      <c r="U55" s="255">
        <v>16.399999999999999</v>
      </c>
    </row>
    <row r="56" spans="1:21" ht="15.75" customHeight="1" thickBot="1" x14ac:dyDescent="0.3">
      <c r="A56" s="257">
        <v>55</v>
      </c>
      <c r="B56" s="259" t="s">
        <v>81</v>
      </c>
      <c r="C56" s="255">
        <v>29</v>
      </c>
      <c r="D56" s="255">
        <v>82</v>
      </c>
      <c r="E56" s="255">
        <v>28.3</v>
      </c>
      <c r="F56" s="255">
        <v>60.3</v>
      </c>
      <c r="G56" s="255">
        <v>46.9</v>
      </c>
      <c r="H56" s="255">
        <v>8.6</v>
      </c>
      <c r="I56" s="255">
        <v>23.6</v>
      </c>
      <c r="J56" s="255">
        <v>36.5</v>
      </c>
      <c r="K56" s="255">
        <v>16.899999999999999</v>
      </c>
      <c r="L56" s="255">
        <v>22.6</v>
      </c>
      <c r="M56" s="255">
        <v>74.7</v>
      </c>
      <c r="N56" s="255">
        <v>10.6</v>
      </c>
      <c r="O56" s="255">
        <v>24.6</v>
      </c>
      <c r="P56" s="255">
        <v>35.200000000000003</v>
      </c>
      <c r="Q56" s="255">
        <v>16.399999999999999</v>
      </c>
      <c r="R56" s="255">
        <v>9.6</v>
      </c>
      <c r="S56" s="255">
        <v>2.6</v>
      </c>
      <c r="T56" s="255">
        <v>10.9</v>
      </c>
      <c r="U56" s="255">
        <v>17.2</v>
      </c>
    </row>
    <row r="57" spans="1:21" ht="15.75" customHeight="1" thickBot="1" x14ac:dyDescent="0.3">
      <c r="A57" s="257">
        <v>56</v>
      </c>
      <c r="B57" s="259" t="s">
        <v>57</v>
      </c>
      <c r="C57" s="255">
        <v>30</v>
      </c>
      <c r="D57" s="255">
        <v>81.900000000000006</v>
      </c>
      <c r="E57" s="255">
        <v>30</v>
      </c>
      <c r="F57" s="255">
        <v>59.9</v>
      </c>
      <c r="G57" s="255">
        <v>50</v>
      </c>
      <c r="H57" s="255">
        <v>9.4</v>
      </c>
      <c r="I57" s="255">
        <v>24.5</v>
      </c>
      <c r="J57" s="255">
        <v>38.299999999999997</v>
      </c>
      <c r="K57" s="255">
        <v>12.6</v>
      </c>
      <c r="L57" s="255">
        <v>16.899999999999999</v>
      </c>
      <c r="M57" s="255">
        <v>74.2</v>
      </c>
      <c r="N57" s="255">
        <v>11</v>
      </c>
      <c r="O57" s="255">
        <v>24.6</v>
      </c>
      <c r="P57" s="255">
        <v>35.6</v>
      </c>
      <c r="Q57" s="255">
        <v>19.7</v>
      </c>
      <c r="R57" s="255">
        <v>5.7</v>
      </c>
      <c r="S57" s="255">
        <v>2.7</v>
      </c>
      <c r="T57" s="255">
        <v>9.1999999999999993</v>
      </c>
      <c r="U57" s="255">
        <v>15</v>
      </c>
    </row>
    <row r="58" spans="1:21" ht="15.75" customHeight="1" thickBot="1" x14ac:dyDescent="0.3">
      <c r="A58" s="257">
        <v>57</v>
      </c>
      <c r="B58" s="259" t="s">
        <v>209</v>
      </c>
      <c r="C58" s="255">
        <v>31</v>
      </c>
      <c r="D58" s="255">
        <v>81.7</v>
      </c>
      <c r="E58" s="255">
        <v>26.7</v>
      </c>
      <c r="F58" s="255">
        <v>61.9</v>
      </c>
      <c r="G58" s="255">
        <v>43.2</v>
      </c>
      <c r="H58" s="255">
        <v>10.9</v>
      </c>
      <c r="I58" s="255">
        <v>32.6</v>
      </c>
      <c r="J58" s="255">
        <v>33.5</v>
      </c>
      <c r="K58" s="255">
        <v>17.3</v>
      </c>
      <c r="L58" s="255">
        <v>22</v>
      </c>
      <c r="M58" s="255">
        <v>78.599999999999994</v>
      </c>
      <c r="N58" s="255">
        <v>11.2</v>
      </c>
      <c r="O58" s="255">
        <v>26.8</v>
      </c>
      <c r="P58" s="255">
        <v>37.9</v>
      </c>
      <c r="Q58" s="255">
        <v>13.4</v>
      </c>
      <c r="R58" s="255">
        <v>6.5</v>
      </c>
      <c r="S58" s="255">
        <v>2.2999999999999998</v>
      </c>
      <c r="T58" s="255">
        <v>15.5</v>
      </c>
      <c r="U58" s="255">
        <v>19.3</v>
      </c>
    </row>
    <row r="59" spans="1:21" ht="15.75" customHeight="1" thickBot="1" x14ac:dyDescent="0.3">
      <c r="A59" s="257">
        <v>58</v>
      </c>
      <c r="B59" s="259" t="s">
        <v>212</v>
      </c>
      <c r="C59" s="255">
        <v>31</v>
      </c>
      <c r="D59" s="255">
        <v>81.7</v>
      </c>
      <c r="E59" s="255">
        <v>29.9</v>
      </c>
      <c r="F59" s="255">
        <v>65.7</v>
      </c>
      <c r="G59" s="255">
        <v>45.5</v>
      </c>
      <c r="H59" s="255">
        <v>7</v>
      </c>
      <c r="I59" s="255">
        <v>21.5</v>
      </c>
      <c r="J59" s="255">
        <v>32.6</v>
      </c>
      <c r="K59" s="255">
        <v>14.8</v>
      </c>
      <c r="L59" s="255">
        <v>22.5</v>
      </c>
      <c r="M59" s="255">
        <v>65.8</v>
      </c>
      <c r="N59" s="255">
        <v>13.4</v>
      </c>
      <c r="O59" s="255">
        <v>28.5</v>
      </c>
      <c r="P59" s="255">
        <v>41.9</v>
      </c>
      <c r="Q59" s="255">
        <v>16.899999999999999</v>
      </c>
      <c r="R59" s="255">
        <v>7</v>
      </c>
      <c r="S59" s="255">
        <v>2.8</v>
      </c>
      <c r="T59" s="255">
        <v>13.2</v>
      </c>
      <c r="U59" s="255">
        <v>18.399999999999999</v>
      </c>
    </row>
    <row r="60" spans="1:21" ht="15.75" customHeight="1" thickBot="1" x14ac:dyDescent="0.3">
      <c r="A60" s="257">
        <v>59</v>
      </c>
      <c r="B60" s="259" t="s">
        <v>33</v>
      </c>
      <c r="C60" s="255">
        <v>30</v>
      </c>
      <c r="D60" s="255">
        <v>81.599999999999994</v>
      </c>
      <c r="E60" s="255">
        <v>29.3</v>
      </c>
      <c r="F60" s="255">
        <v>59.8</v>
      </c>
      <c r="G60" s="255">
        <v>49</v>
      </c>
      <c r="H60" s="255">
        <v>8.8000000000000007</v>
      </c>
      <c r="I60" s="255">
        <v>23</v>
      </c>
      <c r="J60" s="255">
        <v>38.4</v>
      </c>
      <c r="K60" s="255">
        <v>14.1</v>
      </c>
      <c r="L60" s="255">
        <v>20.9</v>
      </c>
      <c r="M60" s="255">
        <v>67.599999999999994</v>
      </c>
      <c r="N60" s="255">
        <v>11.8</v>
      </c>
      <c r="O60" s="255">
        <v>23.8</v>
      </c>
      <c r="P60" s="255">
        <v>35.6</v>
      </c>
      <c r="Q60" s="255">
        <v>17.399999999999999</v>
      </c>
      <c r="R60" s="255">
        <v>8.8000000000000007</v>
      </c>
      <c r="S60" s="255">
        <v>2.9</v>
      </c>
      <c r="T60" s="255">
        <v>10.4</v>
      </c>
      <c r="U60" s="255">
        <v>16</v>
      </c>
    </row>
    <row r="61" spans="1:21" ht="15.75" customHeight="1" thickBot="1" x14ac:dyDescent="0.3">
      <c r="A61" s="257">
        <v>59</v>
      </c>
      <c r="B61" s="259" t="s">
        <v>202</v>
      </c>
      <c r="C61" s="255">
        <v>30</v>
      </c>
      <c r="D61" s="255">
        <v>81.599999999999994</v>
      </c>
      <c r="E61" s="255">
        <v>28.8</v>
      </c>
      <c r="F61" s="255">
        <v>60.4</v>
      </c>
      <c r="G61" s="255">
        <v>47.7</v>
      </c>
      <c r="H61" s="255">
        <v>7.2</v>
      </c>
      <c r="I61" s="255">
        <v>20.7</v>
      </c>
      <c r="J61" s="255">
        <v>34.6</v>
      </c>
      <c r="K61" s="255">
        <v>16.8</v>
      </c>
      <c r="L61" s="255">
        <v>22.8</v>
      </c>
      <c r="M61" s="255">
        <v>73.599999999999994</v>
      </c>
      <c r="N61" s="255">
        <v>10.1</v>
      </c>
      <c r="O61" s="255">
        <v>26</v>
      </c>
      <c r="P61" s="255">
        <v>36.1</v>
      </c>
      <c r="Q61" s="255">
        <v>14.3</v>
      </c>
      <c r="R61" s="255">
        <v>9.9</v>
      </c>
      <c r="S61" s="255">
        <v>3.7</v>
      </c>
      <c r="T61" s="255">
        <v>11.6</v>
      </c>
      <c r="U61" s="255">
        <v>18</v>
      </c>
    </row>
    <row r="62" spans="1:21" ht="15.75" customHeight="1" thickBot="1" x14ac:dyDescent="0.3">
      <c r="A62" s="257">
        <v>61</v>
      </c>
      <c r="B62" s="259" t="s">
        <v>71</v>
      </c>
      <c r="C62" s="255">
        <v>27</v>
      </c>
      <c r="D62" s="255">
        <v>81.599999999999994</v>
      </c>
      <c r="E62" s="255">
        <v>28.8</v>
      </c>
      <c r="F62" s="255">
        <v>57.9</v>
      </c>
      <c r="G62" s="255">
        <v>49.8</v>
      </c>
      <c r="H62" s="255">
        <v>8.5</v>
      </c>
      <c r="I62" s="255">
        <v>21</v>
      </c>
      <c r="J62" s="255">
        <v>40.6</v>
      </c>
      <c r="K62" s="255">
        <v>15.4</v>
      </c>
      <c r="L62" s="255">
        <v>20.3</v>
      </c>
      <c r="M62" s="255">
        <v>76.099999999999994</v>
      </c>
      <c r="N62" s="255">
        <v>10.199999999999999</v>
      </c>
      <c r="O62" s="255">
        <v>24.6</v>
      </c>
      <c r="P62" s="255">
        <v>34.700000000000003</v>
      </c>
      <c r="Q62" s="255">
        <v>16.100000000000001</v>
      </c>
      <c r="R62" s="255">
        <v>5.4</v>
      </c>
      <c r="S62" s="255">
        <v>3.1</v>
      </c>
      <c r="T62" s="255">
        <v>9.5</v>
      </c>
      <c r="U62" s="255">
        <v>15.9</v>
      </c>
    </row>
    <row r="63" spans="1:21" ht="15.75" customHeight="1" thickBot="1" x14ac:dyDescent="0.3">
      <c r="A63" s="257">
        <v>62</v>
      </c>
      <c r="B63" s="259" t="s">
        <v>95</v>
      </c>
      <c r="C63" s="255">
        <v>30</v>
      </c>
      <c r="D63" s="255">
        <v>81.5</v>
      </c>
      <c r="E63" s="255">
        <v>28.9</v>
      </c>
      <c r="F63" s="255">
        <v>61.3</v>
      </c>
      <c r="G63" s="255">
        <v>47.1</v>
      </c>
      <c r="H63" s="255">
        <v>11.5</v>
      </c>
      <c r="I63" s="255">
        <v>29.1</v>
      </c>
      <c r="J63" s="255">
        <v>39.4</v>
      </c>
      <c r="K63" s="255">
        <v>12.2</v>
      </c>
      <c r="L63" s="255">
        <v>17</v>
      </c>
      <c r="M63" s="255">
        <v>71.599999999999994</v>
      </c>
      <c r="N63" s="255">
        <v>11.7</v>
      </c>
      <c r="O63" s="255">
        <v>25.6</v>
      </c>
      <c r="P63" s="255">
        <v>37.299999999999997</v>
      </c>
      <c r="Q63" s="255">
        <v>16.100000000000001</v>
      </c>
      <c r="R63" s="255">
        <v>5.9</v>
      </c>
      <c r="S63" s="255">
        <v>3.9</v>
      </c>
      <c r="T63" s="255">
        <v>10.9</v>
      </c>
      <c r="U63" s="255">
        <v>16.399999999999999</v>
      </c>
    </row>
    <row r="64" spans="1:21" ht="15.75" customHeight="1" thickBot="1" x14ac:dyDescent="0.3">
      <c r="A64" s="257">
        <v>63</v>
      </c>
      <c r="B64" s="259" t="s">
        <v>94</v>
      </c>
      <c r="C64" s="255">
        <v>30</v>
      </c>
      <c r="D64" s="255">
        <v>81.400000000000006</v>
      </c>
      <c r="E64" s="255">
        <v>28.3</v>
      </c>
      <c r="F64" s="255">
        <v>60.4</v>
      </c>
      <c r="G64" s="255">
        <v>46.8</v>
      </c>
      <c r="H64" s="255">
        <v>8.3000000000000007</v>
      </c>
      <c r="I64" s="255">
        <v>23.9</v>
      </c>
      <c r="J64" s="255">
        <v>34.9</v>
      </c>
      <c r="K64" s="255">
        <v>16.399999999999999</v>
      </c>
      <c r="L64" s="255">
        <v>22.8</v>
      </c>
      <c r="M64" s="255">
        <v>72.099999999999994</v>
      </c>
      <c r="N64" s="255">
        <v>12.2</v>
      </c>
      <c r="O64" s="255">
        <v>26</v>
      </c>
      <c r="P64" s="255">
        <v>38.200000000000003</v>
      </c>
      <c r="Q64" s="255">
        <v>16.2</v>
      </c>
      <c r="R64" s="255">
        <v>7.1</v>
      </c>
      <c r="S64" s="255">
        <v>4.3</v>
      </c>
      <c r="T64" s="255">
        <v>10.7</v>
      </c>
      <c r="U64" s="255">
        <v>18.100000000000001</v>
      </c>
    </row>
    <row r="65" spans="1:21" ht="15.75" customHeight="1" thickBot="1" x14ac:dyDescent="0.3">
      <c r="A65" s="257">
        <v>64</v>
      </c>
      <c r="B65" s="259" t="s">
        <v>96</v>
      </c>
      <c r="C65" s="255">
        <v>32</v>
      </c>
      <c r="D65" s="255">
        <v>81.3</v>
      </c>
      <c r="E65" s="255">
        <v>29</v>
      </c>
      <c r="F65" s="255">
        <v>61.8</v>
      </c>
      <c r="G65" s="255">
        <v>47</v>
      </c>
      <c r="H65" s="255">
        <v>9.4</v>
      </c>
      <c r="I65" s="255">
        <v>25.8</v>
      </c>
      <c r="J65" s="255">
        <v>36.700000000000003</v>
      </c>
      <c r="K65" s="255">
        <v>13.8</v>
      </c>
      <c r="L65" s="255">
        <v>18.899999999999999</v>
      </c>
      <c r="M65" s="255">
        <v>73.3</v>
      </c>
      <c r="N65" s="255">
        <v>11.7</v>
      </c>
      <c r="O65" s="255">
        <v>24.4</v>
      </c>
      <c r="P65" s="255">
        <v>36.1</v>
      </c>
      <c r="Q65" s="255">
        <v>15.7</v>
      </c>
      <c r="R65" s="255">
        <v>8.5</v>
      </c>
      <c r="S65" s="255">
        <v>2.9</v>
      </c>
      <c r="T65" s="255">
        <v>10.8</v>
      </c>
      <c r="U65" s="255">
        <v>14.7</v>
      </c>
    </row>
    <row r="66" spans="1:21" ht="15.75" customHeight="1" thickBot="1" x14ac:dyDescent="0.3">
      <c r="A66" s="257">
        <v>65</v>
      </c>
      <c r="B66" s="259" t="s">
        <v>382</v>
      </c>
      <c r="C66" s="255">
        <v>31</v>
      </c>
      <c r="D66" s="255">
        <v>81.3</v>
      </c>
      <c r="E66" s="255">
        <v>27.3</v>
      </c>
      <c r="F66" s="255">
        <v>60.6</v>
      </c>
      <c r="G66" s="255">
        <v>45</v>
      </c>
      <c r="H66" s="255">
        <v>9.5</v>
      </c>
      <c r="I66" s="255">
        <v>27.7</v>
      </c>
      <c r="J66" s="255">
        <v>34.5</v>
      </c>
      <c r="K66" s="255">
        <v>17.100000000000001</v>
      </c>
      <c r="L66" s="255">
        <v>24.1</v>
      </c>
      <c r="M66" s="255">
        <v>71.099999999999994</v>
      </c>
      <c r="N66" s="255">
        <v>11.4</v>
      </c>
      <c r="O66" s="255">
        <v>24.3</v>
      </c>
      <c r="P66" s="255">
        <v>35.700000000000003</v>
      </c>
      <c r="Q66" s="255">
        <v>13.2</v>
      </c>
      <c r="R66" s="255">
        <v>7.7</v>
      </c>
      <c r="S66" s="255">
        <v>3.5</v>
      </c>
      <c r="T66" s="255">
        <v>12.5</v>
      </c>
      <c r="U66" s="255">
        <v>18.5</v>
      </c>
    </row>
    <row r="67" spans="1:21" ht="15.75" customHeight="1" thickBot="1" x14ac:dyDescent="0.3">
      <c r="A67" s="257">
        <v>65</v>
      </c>
      <c r="B67" s="259" t="s">
        <v>464</v>
      </c>
      <c r="C67" s="255">
        <v>31</v>
      </c>
      <c r="D67" s="255">
        <v>81.3</v>
      </c>
      <c r="E67" s="255">
        <v>28.7</v>
      </c>
      <c r="F67" s="255">
        <v>61.4</v>
      </c>
      <c r="G67" s="255">
        <v>46.8</v>
      </c>
      <c r="H67" s="255">
        <v>7.2</v>
      </c>
      <c r="I67" s="255">
        <v>20.5</v>
      </c>
      <c r="J67" s="255">
        <v>35.200000000000003</v>
      </c>
      <c r="K67" s="255">
        <v>16.600000000000001</v>
      </c>
      <c r="L67" s="255">
        <v>22.7</v>
      </c>
      <c r="M67" s="255">
        <v>73</v>
      </c>
      <c r="N67" s="255">
        <v>11.7</v>
      </c>
      <c r="O67" s="255">
        <v>25.5</v>
      </c>
      <c r="P67" s="255">
        <v>37.299999999999997</v>
      </c>
      <c r="Q67" s="255">
        <v>13.6</v>
      </c>
      <c r="R67" s="255">
        <v>7.2</v>
      </c>
      <c r="S67" s="255">
        <v>1.5</v>
      </c>
      <c r="T67" s="255">
        <v>11.1</v>
      </c>
      <c r="U67" s="255">
        <v>18.100000000000001</v>
      </c>
    </row>
    <row r="68" spans="1:21" ht="15.75" customHeight="1" thickBot="1" x14ac:dyDescent="0.3">
      <c r="A68" s="257">
        <v>67</v>
      </c>
      <c r="B68" s="259" t="s">
        <v>314</v>
      </c>
      <c r="C68" s="255">
        <v>31</v>
      </c>
      <c r="D68" s="255">
        <v>81.2</v>
      </c>
      <c r="E68" s="255">
        <v>29</v>
      </c>
      <c r="F68" s="255">
        <v>61.8</v>
      </c>
      <c r="G68" s="255">
        <v>47</v>
      </c>
      <c r="H68" s="255">
        <v>10.1</v>
      </c>
      <c r="I68" s="255">
        <v>27.4</v>
      </c>
      <c r="J68" s="255">
        <v>36.700000000000003</v>
      </c>
      <c r="K68" s="255">
        <v>13.1</v>
      </c>
      <c r="L68" s="255">
        <v>17.899999999999999</v>
      </c>
      <c r="M68" s="255">
        <v>73.2</v>
      </c>
      <c r="N68" s="255">
        <v>11.4</v>
      </c>
      <c r="O68" s="255">
        <v>25.5</v>
      </c>
      <c r="P68" s="255">
        <v>36.9</v>
      </c>
      <c r="Q68" s="255">
        <v>16.8</v>
      </c>
      <c r="R68" s="255">
        <v>6.2</v>
      </c>
      <c r="S68" s="255">
        <v>4.9000000000000004</v>
      </c>
      <c r="T68" s="255">
        <v>11.6</v>
      </c>
      <c r="U68" s="255">
        <v>20.100000000000001</v>
      </c>
    </row>
    <row r="69" spans="1:21" ht="15.75" customHeight="1" thickBot="1" x14ac:dyDescent="0.3">
      <c r="A69" s="257">
        <v>68</v>
      </c>
      <c r="B69" s="259" t="s">
        <v>294</v>
      </c>
      <c r="C69" s="255">
        <v>30</v>
      </c>
      <c r="D69" s="255">
        <v>81.099999999999994</v>
      </c>
      <c r="E69" s="255">
        <v>27.8</v>
      </c>
      <c r="F69" s="255">
        <v>59</v>
      </c>
      <c r="G69" s="255">
        <v>47.1</v>
      </c>
      <c r="H69" s="255">
        <v>6.8</v>
      </c>
      <c r="I69" s="255">
        <v>20.3</v>
      </c>
      <c r="J69" s="255">
        <v>33.6</v>
      </c>
      <c r="K69" s="255">
        <v>18.7</v>
      </c>
      <c r="L69" s="255">
        <v>24.3</v>
      </c>
      <c r="M69" s="255">
        <v>77</v>
      </c>
      <c r="N69" s="255">
        <v>11.2</v>
      </c>
      <c r="O69" s="255">
        <v>25.2</v>
      </c>
      <c r="P69" s="255">
        <v>36.4</v>
      </c>
      <c r="Q69" s="255">
        <v>14.8</v>
      </c>
      <c r="R69" s="255">
        <v>6</v>
      </c>
      <c r="S69" s="255">
        <v>3.9</v>
      </c>
      <c r="T69" s="255">
        <v>10.7</v>
      </c>
      <c r="U69" s="255">
        <v>18.600000000000001</v>
      </c>
    </row>
    <row r="70" spans="1:21" ht="15.75" customHeight="1" thickBot="1" x14ac:dyDescent="0.3">
      <c r="A70" s="257">
        <v>69</v>
      </c>
      <c r="B70" s="259" t="s">
        <v>72</v>
      </c>
      <c r="C70" s="255">
        <v>30</v>
      </c>
      <c r="D70" s="255">
        <v>81</v>
      </c>
      <c r="E70" s="255">
        <v>28.1</v>
      </c>
      <c r="F70" s="255">
        <v>60.9</v>
      </c>
      <c r="G70" s="255">
        <v>46.1</v>
      </c>
      <c r="H70" s="255">
        <v>10.1</v>
      </c>
      <c r="I70" s="255">
        <v>28.6</v>
      </c>
      <c r="J70" s="255">
        <v>35.5</v>
      </c>
      <c r="K70" s="255">
        <v>14.8</v>
      </c>
      <c r="L70" s="255">
        <v>20.7</v>
      </c>
      <c r="M70" s="255">
        <v>71.3</v>
      </c>
      <c r="N70" s="255">
        <v>13.5</v>
      </c>
      <c r="O70" s="255">
        <v>27.4</v>
      </c>
      <c r="P70" s="255">
        <v>40.9</v>
      </c>
      <c r="Q70" s="255">
        <v>16.7</v>
      </c>
      <c r="R70" s="255">
        <v>6.6</v>
      </c>
      <c r="S70" s="255">
        <v>6.2</v>
      </c>
      <c r="T70" s="255">
        <v>10.8</v>
      </c>
      <c r="U70" s="255">
        <v>18</v>
      </c>
    </row>
    <row r="71" spans="1:21" ht="15.75" customHeight="1" thickBot="1" x14ac:dyDescent="0.3">
      <c r="A71" s="257">
        <v>70</v>
      </c>
      <c r="B71" s="259" t="s">
        <v>431</v>
      </c>
      <c r="C71" s="255">
        <v>30</v>
      </c>
      <c r="D71" s="255">
        <v>80.900000000000006</v>
      </c>
      <c r="E71" s="255">
        <v>29.7</v>
      </c>
      <c r="F71" s="255">
        <v>61.7</v>
      </c>
      <c r="G71" s="255">
        <v>48.2</v>
      </c>
      <c r="H71" s="255">
        <v>7</v>
      </c>
      <c r="I71" s="255">
        <v>19.600000000000001</v>
      </c>
      <c r="J71" s="255">
        <v>35.5</v>
      </c>
      <c r="K71" s="255">
        <v>14.4</v>
      </c>
      <c r="L71" s="255">
        <v>18.8</v>
      </c>
      <c r="M71" s="255">
        <v>76.900000000000006</v>
      </c>
      <c r="N71" s="255">
        <v>10.7</v>
      </c>
      <c r="O71" s="255">
        <v>23.6</v>
      </c>
      <c r="P71" s="255">
        <v>34.299999999999997</v>
      </c>
      <c r="Q71" s="255">
        <v>15.7</v>
      </c>
      <c r="R71" s="255">
        <v>7.7</v>
      </c>
      <c r="S71" s="255">
        <v>3</v>
      </c>
      <c r="T71" s="255">
        <v>10.199999999999999</v>
      </c>
      <c r="U71" s="255">
        <v>15</v>
      </c>
    </row>
    <row r="72" spans="1:21" ht="15.75" customHeight="1" thickBot="1" x14ac:dyDescent="0.3">
      <c r="A72" s="257">
        <v>71</v>
      </c>
      <c r="B72" s="259" t="s">
        <v>268</v>
      </c>
      <c r="C72" s="255">
        <v>33</v>
      </c>
      <c r="D72" s="255">
        <v>80.599999999999994</v>
      </c>
      <c r="E72" s="255">
        <v>26.5</v>
      </c>
      <c r="F72" s="255">
        <v>61.2</v>
      </c>
      <c r="G72" s="255">
        <v>43.3</v>
      </c>
      <c r="H72" s="255">
        <v>9.6999999999999993</v>
      </c>
      <c r="I72" s="255">
        <v>29.5</v>
      </c>
      <c r="J72" s="255">
        <v>32.9</v>
      </c>
      <c r="K72" s="255">
        <v>17.8</v>
      </c>
      <c r="L72" s="255">
        <v>24.2</v>
      </c>
      <c r="M72" s="255">
        <v>73.8</v>
      </c>
      <c r="N72" s="255">
        <v>10.8</v>
      </c>
      <c r="O72" s="255">
        <v>23.7</v>
      </c>
      <c r="P72" s="255">
        <v>34.5</v>
      </c>
      <c r="Q72" s="255">
        <v>11.1</v>
      </c>
      <c r="R72" s="255">
        <v>8.1</v>
      </c>
      <c r="S72" s="255">
        <v>3.6</v>
      </c>
      <c r="T72" s="255">
        <v>10.4</v>
      </c>
      <c r="U72" s="255">
        <v>19.5</v>
      </c>
    </row>
    <row r="73" spans="1:21" ht="15.75" customHeight="1" thickBot="1" x14ac:dyDescent="0.3">
      <c r="A73" s="257">
        <v>72</v>
      </c>
      <c r="B73" s="259" t="s">
        <v>217</v>
      </c>
      <c r="C73" s="255">
        <v>31</v>
      </c>
      <c r="D73" s="255">
        <v>80.5</v>
      </c>
      <c r="E73" s="255">
        <v>28.3</v>
      </c>
      <c r="F73" s="255">
        <v>62.2</v>
      </c>
      <c r="G73" s="255">
        <v>45.6</v>
      </c>
      <c r="H73" s="255">
        <v>10.6</v>
      </c>
      <c r="I73" s="255">
        <v>30.7</v>
      </c>
      <c r="J73" s="255">
        <v>34.4</v>
      </c>
      <c r="K73" s="255">
        <v>13.3</v>
      </c>
      <c r="L73" s="255">
        <v>18.7</v>
      </c>
      <c r="M73" s="255">
        <v>71.099999999999994</v>
      </c>
      <c r="N73" s="255">
        <v>10.8</v>
      </c>
      <c r="O73" s="255">
        <v>25.2</v>
      </c>
      <c r="P73" s="255">
        <v>36.1</v>
      </c>
      <c r="Q73" s="255">
        <v>16.3</v>
      </c>
      <c r="R73" s="255">
        <v>8.8000000000000007</v>
      </c>
      <c r="S73" s="255">
        <v>1.7</v>
      </c>
      <c r="T73" s="255">
        <v>10.9</v>
      </c>
      <c r="U73" s="255">
        <v>16.100000000000001</v>
      </c>
    </row>
    <row r="74" spans="1:21" ht="15.75" customHeight="1" thickBot="1" x14ac:dyDescent="0.3">
      <c r="A74" s="257">
        <v>73</v>
      </c>
      <c r="B74" s="259" t="s">
        <v>259</v>
      </c>
      <c r="C74" s="255">
        <v>30</v>
      </c>
      <c r="D74" s="255">
        <v>80.5</v>
      </c>
      <c r="E74" s="255">
        <v>28.1</v>
      </c>
      <c r="F74" s="255">
        <v>62</v>
      </c>
      <c r="G74" s="255">
        <v>45.4</v>
      </c>
      <c r="H74" s="255">
        <v>7.4</v>
      </c>
      <c r="I74" s="255">
        <v>21</v>
      </c>
      <c r="J74" s="255">
        <v>35.200000000000003</v>
      </c>
      <c r="K74" s="255">
        <v>16.899999999999999</v>
      </c>
      <c r="L74" s="255">
        <v>24.4</v>
      </c>
      <c r="M74" s="255">
        <v>69</v>
      </c>
      <c r="N74" s="255">
        <v>12.9</v>
      </c>
      <c r="O74" s="255">
        <v>24.7</v>
      </c>
      <c r="P74" s="255">
        <v>37.6</v>
      </c>
      <c r="Q74" s="255">
        <v>15</v>
      </c>
      <c r="R74" s="255">
        <v>9.3000000000000007</v>
      </c>
      <c r="S74" s="255">
        <v>4.7</v>
      </c>
      <c r="T74" s="255">
        <v>13</v>
      </c>
      <c r="U74" s="255">
        <v>17.899999999999999</v>
      </c>
    </row>
    <row r="75" spans="1:21" ht="15.75" customHeight="1" thickBot="1" x14ac:dyDescent="0.3">
      <c r="A75" s="257">
        <v>73</v>
      </c>
      <c r="B75" s="259" t="s">
        <v>85</v>
      </c>
      <c r="C75" s="255">
        <v>30</v>
      </c>
      <c r="D75" s="255">
        <v>80.5</v>
      </c>
      <c r="E75" s="255">
        <v>28.9</v>
      </c>
      <c r="F75" s="255">
        <v>63.1</v>
      </c>
      <c r="G75" s="255">
        <v>45.8</v>
      </c>
      <c r="H75" s="255">
        <v>6</v>
      </c>
      <c r="I75" s="255">
        <v>18.899999999999999</v>
      </c>
      <c r="J75" s="255">
        <v>31.5</v>
      </c>
      <c r="K75" s="255">
        <v>16.8</v>
      </c>
      <c r="L75" s="255">
        <v>22</v>
      </c>
      <c r="M75" s="255">
        <v>76.2</v>
      </c>
      <c r="N75" s="255">
        <v>13</v>
      </c>
      <c r="O75" s="255">
        <v>24.8</v>
      </c>
      <c r="P75" s="255">
        <v>37.799999999999997</v>
      </c>
      <c r="Q75" s="255">
        <v>13.1</v>
      </c>
      <c r="R75" s="255">
        <v>9.5</v>
      </c>
      <c r="S75" s="255">
        <v>3.6</v>
      </c>
      <c r="T75" s="255">
        <v>12.2</v>
      </c>
      <c r="U75" s="255">
        <v>18.399999999999999</v>
      </c>
    </row>
    <row r="76" spans="1:21" ht="15.75" customHeight="1" thickBot="1" x14ac:dyDescent="0.3">
      <c r="A76" s="257">
        <v>75</v>
      </c>
      <c r="B76" s="259" t="s">
        <v>301</v>
      </c>
      <c r="C76" s="255">
        <v>31</v>
      </c>
      <c r="D76" s="255">
        <v>80.5</v>
      </c>
      <c r="E76" s="255">
        <v>28.8</v>
      </c>
      <c r="F76" s="255">
        <v>62</v>
      </c>
      <c r="G76" s="255">
        <v>46.4</v>
      </c>
      <c r="H76" s="255">
        <v>10.8</v>
      </c>
      <c r="I76" s="255">
        <v>29.7</v>
      </c>
      <c r="J76" s="255">
        <v>36.5</v>
      </c>
      <c r="K76" s="255">
        <v>12.1</v>
      </c>
      <c r="L76" s="255">
        <v>16</v>
      </c>
      <c r="M76" s="255">
        <v>75.8</v>
      </c>
      <c r="N76" s="255">
        <v>9.6</v>
      </c>
      <c r="O76" s="255">
        <v>25.4</v>
      </c>
      <c r="P76" s="255">
        <v>35</v>
      </c>
      <c r="Q76" s="255">
        <v>18.2</v>
      </c>
      <c r="R76" s="255">
        <v>7</v>
      </c>
      <c r="S76" s="255">
        <v>2.9</v>
      </c>
      <c r="T76" s="255">
        <v>11.3</v>
      </c>
      <c r="U76" s="255">
        <v>16.100000000000001</v>
      </c>
    </row>
    <row r="77" spans="1:21" ht="15.75" customHeight="1" thickBot="1" x14ac:dyDescent="0.3">
      <c r="A77" s="257">
        <v>76</v>
      </c>
      <c r="B77" s="259" t="s">
        <v>62</v>
      </c>
      <c r="C77" s="255">
        <v>32</v>
      </c>
      <c r="D77" s="255">
        <v>80.5</v>
      </c>
      <c r="E77" s="255">
        <v>28.7</v>
      </c>
      <c r="F77" s="255">
        <v>58.7</v>
      </c>
      <c r="G77" s="255">
        <v>48.9</v>
      </c>
      <c r="H77" s="255">
        <v>7.1</v>
      </c>
      <c r="I77" s="255">
        <v>19.7</v>
      </c>
      <c r="J77" s="255">
        <v>36.200000000000003</v>
      </c>
      <c r="K77" s="255">
        <v>15.9</v>
      </c>
      <c r="L77" s="255">
        <v>21.7</v>
      </c>
      <c r="M77" s="255">
        <v>73.5</v>
      </c>
      <c r="N77" s="255">
        <v>11.4</v>
      </c>
      <c r="O77" s="255">
        <v>24</v>
      </c>
      <c r="P77" s="255">
        <v>35.4</v>
      </c>
      <c r="Q77" s="255">
        <v>13.8</v>
      </c>
      <c r="R77" s="255">
        <v>7.4</v>
      </c>
      <c r="S77" s="255">
        <v>4.3</v>
      </c>
      <c r="T77" s="255">
        <v>11.3</v>
      </c>
      <c r="U77" s="255">
        <v>17.2</v>
      </c>
    </row>
    <row r="78" spans="1:21" ht="15.75" customHeight="1" thickBot="1" x14ac:dyDescent="0.3">
      <c r="A78" s="257">
        <v>77</v>
      </c>
      <c r="B78" s="259" t="s">
        <v>54</v>
      </c>
      <c r="C78" s="255">
        <v>30</v>
      </c>
      <c r="D78" s="255">
        <v>80.5</v>
      </c>
      <c r="E78" s="255">
        <v>29.7</v>
      </c>
      <c r="F78" s="255">
        <v>58.8</v>
      </c>
      <c r="G78" s="255">
        <v>50.5</v>
      </c>
      <c r="H78" s="255">
        <v>6.6</v>
      </c>
      <c r="I78" s="255">
        <v>19.600000000000001</v>
      </c>
      <c r="J78" s="255">
        <v>33.6</v>
      </c>
      <c r="K78" s="255">
        <v>14.5</v>
      </c>
      <c r="L78" s="255">
        <v>20.8</v>
      </c>
      <c r="M78" s="255">
        <v>69.8</v>
      </c>
      <c r="N78" s="255">
        <v>12</v>
      </c>
      <c r="O78" s="255">
        <v>24.8</v>
      </c>
      <c r="P78" s="255">
        <v>36.799999999999997</v>
      </c>
      <c r="Q78" s="255">
        <v>18.899999999999999</v>
      </c>
      <c r="R78" s="255">
        <v>9.8000000000000007</v>
      </c>
      <c r="S78" s="255">
        <v>5.7</v>
      </c>
      <c r="T78" s="255">
        <v>14.1</v>
      </c>
      <c r="U78" s="255">
        <v>18.2</v>
      </c>
    </row>
    <row r="79" spans="1:21" ht="15.75" customHeight="1" thickBot="1" x14ac:dyDescent="0.3">
      <c r="A79" s="257">
        <v>78</v>
      </c>
      <c r="B79" s="259" t="s">
        <v>317</v>
      </c>
      <c r="C79" s="255">
        <v>31</v>
      </c>
      <c r="D79" s="255">
        <v>80.5</v>
      </c>
      <c r="E79" s="255">
        <v>28.7</v>
      </c>
      <c r="F79" s="255">
        <v>61.2</v>
      </c>
      <c r="G79" s="255">
        <v>46.9</v>
      </c>
      <c r="H79" s="255">
        <v>7.8</v>
      </c>
      <c r="I79" s="255">
        <v>21.9</v>
      </c>
      <c r="J79" s="255">
        <v>35.4</v>
      </c>
      <c r="K79" s="255">
        <v>15.3</v>
      </c>
      <c r="L79" s="255">
        <v>22.6</v>
      </c>
      <c r="M79" s="255">
        <v>67.400000000000006</v>
      </c>
      <c r="N79" s="255">
        <v>11.9</v>
      </c>
      <c r="O79" s="255">
        <v>25.4</v>
      </c>
      <c r="P79" s="255">
        <v>37.4</v>
      </c>
      <c r="Q79" s="255">
        <v>17.399999999999999</v>
      </c>
      <c r="R79" s="255">
        <v>6.6</v>
      </c>
      <c r="S79" s="255">
        <v>2.2000000000000002</v>
      </c>
      <c r="T79" s="255">
        <v>13.1</v>
      </c>
      <c r="U79" s="255">
        <v>21.1</v>
      </c>
    </row>
    <row r="80" spans="1:21" ht="15.75" customHeight="1" thickBot="1" x14ac:dyDescent="0.3">
      <c r="A80" s="257">
        <v>78</v>
      </c>
      <c r="B80" s="259" t="s">
        <v>77</v>
      </c>
      <c r="C80" s="255">
        <v>31</v>
      </c>
      <c r="D80" s="255">
        <v>80.5</v>
      </c>
      <c r="E80" s="255">
        <v>27.5</v>
      </c>
      <c r="F80" s="255">
        <v>61.7</v>
      </c>
      <c r="G80" s="255">
        <v>44.6</v>
      </c>
      <c r="H80" s="255">
        <v>9.6</v>
      </c>
      <c r="I80" s="255">
        <v>28.5</v>
      </c>
      <c r="J80" s="255">
        <v>33.9</v>
      </c>
      <c r="K80" s="255">
        <v>15.8</v>
      </c>
      <c r="L80" s="255">
        <v>21.5</v>
      </c>
      <c r="M80" s="255">
        <v>73.400000000000006</v>
      </c>
      <c r="N80" s="255">
        <v>12.8</v>
      </c>
      <c r="O80" s="255">
        <v>25.6</v>
      </c>
      <c r="P80" s="255">
        <v>38.4</v>
      </c>
      <c r="Q80" s="255">
        <v>16.100000000000001</v>
      </c>
      <c r="R80" s="255">
        <v>8</v>
      </c>
      <c r="S80" s="255">
        <v>3.4</v>
      </c>
      <c r="T80" s="255">
        <v>11.6</v>
      </c>
      <c r="U80" s="255">
        <v>16.7</v>
      </c>
    </row>
    <row r="81" spans="1:21" ht="15.75" customHeight="1" thickBot="1" x14ac:dyDescent="0.3">
      <c r="A81" s="257">
        <v>80</v>
      </c>
      <c r="B81" s="259" t="s">
        <v>88</v>
      </c>
      <c r="C81" s="255">
        <v>30</v>
      </c>
      <c r="D81" s="255">
        <v>80.400000000000006</v>
      </c>
      <c r="E81" s="255">
        <v>28.1</v>
      </c>
      <c r="F81" s="255">
        <v>59.4</v>
      </c>
      <c r="G81" s="255">
        <v>47.3</v>
      </c>
      <c r="H81" s="255">
        <v>8.5</v>
      </c>
      <c r="I81" s="255">
        <v>24.9</v>
      </c>
      <c r="J81" s="255">
        <v>34.299999999999997</v>
      </c>
      <c r="K81" s="255">
        <v>15.7</v>
      </c>
      <c r="L81" s="255">
        <v>22.9</v>
      </c>
      <c r="M81" s="255">
        <v>68.5</v>
      </c>
      <c r="N81" s="255">
        <v>11</v>
      </c>
      <c r="O81" s="255">
        <v>27.4</v>
      </c>
      <c r="P81" s="255">
        <v>38.299999999999997</v>
      </c>
      <c r="Q81" s="255">
        <v>16.100000000000001</v>
      </c>
      <c r="R81" s="255">
        <v>5.5</v>
      </c>
      <c r="S81" s="255">
        <v>3.4</v>
      </c>
      <c r="T81" s="255">
        <v>9.5</v>
      </c>
      <c r="U81" s="255">
        <v>14.5</v>
      </c>
    </row>
    <row r="82" spans="1:21" ht="15.75" customHeight="1" thickBot="1" x14ac:dyDescent="0.3">
      <c r="A82" s="257">
        <v>80</v>
      </c>
      <c r="B82" s="259" t="s">
        <v>45</v>
      </c>
      <c r="C82" s="255">
        <v>30</v>
      </c>
      <c r="D82" s="255">
        <v>80.400000000000006</v>
      </c>
      <c r="E82" s="255">
        <v>27.5</v>
      </c>
      <c r="F82" s="255">
        <v>59.9</v>
      </c>
      <c r="G82" s="255">
        <v>45.9</v>
      </c>
      <c r="H82" s="255">
        <v>9.3000000000000007</v>
      </c>
      <c r="I82" s="255">
        <v>26</v>
      </c>
      <c r="J82" s="255">
        <v>35.9</v>
      </c>
      <c r="K82" s="255">
        <v>16</v>
      </c>
      <c r="L82" s="255">
        <v>21.9</v>
      </c>
      <c r="M82" s="255">
        <v>73.3</v>
      </c>
      <c r="N82" s="255">
        <v>10.3</v>
      </c>
      <c r="O82" s="255">
        <v>25.9</v>
      </c>
      <c r="P82" s="255">
        <v>36.200000000000003</v>
      </c>
      <c r="Q82" s="255">
        <v>14.5</v>
      </c>
      <c r="R82" s="255">
        <v>7.9</v>
      </c>
      <c r="S82" s="255">
        <v>3</v>
      </c>
      <c r="T82" s="255">
        <v>10.8</v>
      </c>
      <c r="U82" s="255">
        <v>17.5</v>
      </c>
    </row>
    <row r="83" spans="1:21" ht="15.75" customHeight="1" thickBot="1" x14ac:dyDescent="0.3">
      <c r="A83" s="257">
        <v>82</v>
      </c>
      <c r="B83" s="259" t="s">
        <v>197</v>
      </c>
      <c r="C83" s="255">
        <v>31</v>
      </c>
      <c r="D83" s="255">
        <v>80.3</v>
      </c>
      <c r="E83" s="255">
        <v>28.4</v>
      </c>
      <c r="F83" s="255">
        <v>54.5</v>
      </c>
      <c r="G83" s="255">
        <v>52.1</v>
      </c>
      <c r="H83" s="255">
        <v>8.4</v>
      </c>
      <c r="I83" s="255">
        <v>21.9</v>
      </c>
      <c r="J83" s="255">
        <v>38.4</v>
      </c>
      <c r="K83" s="255">
        <v>15.1</v>
      </c>
      <c r="L83" s="255">
        <v>19</v>
      </c>
      <c r="M83" s="255">
        <v>79.400000000000006</v>
      </c>
      <c r="N83" s="255">
        <v>6.4</v>
      </c>
      <c r="O83" s="255">
        <v>21.6</v>
      </c>
      <c r="P83" s="255">
        <v>28</v>
      </c>
      <c r="Q83" s="255">
        <v>15</v>
      </c>
      <c r="R83" s="255">
        <v>6.1</v>
      </c>
      <c r="S83" s="255">
        <v>1.7</v>
      </c>
      <c r="T83" s="255">
        <v>10.199999999999999</v>
      </c>
      <c r="U83" s="255">
        <v>16.600000000000001</v>
      </c>
    </row>
    <row r="84" spans="1:21" ht="15.75" customHeight="1" thickBot="1" x14ac:dyDescent="0.3">
      <c r="A84" s="257">
        <v>83</v>
      </c>
      <c r="B84" s="259" t="s">
        <v>249</v>
      </c>
      <c r="C84" s="255">
        <v>32</v>
      </c>
      <c r="D84" s="255">
        <v>80.3</v>
      </c>
      <c r="E84" s="255">
        <v>27.4</v>
      </c>
      <c r="F84" s="255">
        <v>62.7</v>
      </c>
      <c r="G84" s="255">
        <v>43.7</v>
      </c>
      <c r="H84" s="255">
        <v>11.3</v>
      </c>
      <c r="I84" s="255">
        <v>31.8</v>
      </c>
      <c r="J84" s="255">
        <v>35.4</v>
      </c>
      <c r="K84" s="255">
        <v>14.2</v>
      </c>
      <c r="L84" s="255">
        <v>19.600000000000001</v>
      </c>
      <c r="M84" s="255">
        <v>72.5</v>
      </c>
      <c r="N84" s="255">
        <v>12.7</v>
      </c>
      <c r="O84" s="255">
        <v>23.3</v>
      </c>
      <c r="P84" s="255">
        <v>36</v>
      </c>
      <c r="Q84" s="255">
        <v>14.6</v>
      </c>
      <c r="R84" s="255">
        <v>7</v>
      </c>
      <c r="S84" s="255">
        <v>3.1</v>
      </c>
      <c r="T84" s="255">
        <v>11.8</v>
      </c>
      <c r="U84" s="255">
        <v>18.5</v>
      </c>
    </row>
    <row r="85" spans="1:21" ht="15.75" customHeight="1" thickBot="1" x14ac:dyDescent="0.3">
      <c r="A85" s="257">
        <v>84</v>
      </c>
      <c r="B85" s="259" t="s">
        <v>409</v>
      </c>
      <c r="C85" s="255">
        <v>31</v>
      </c>
      <c r="D85" s="255">
        <v>80.2</v>
      </c>
      <c r="E85" s="255">
        <v>26.8</v>
      </c>
      <c r="F85" s="255">
        <v>58.8</v>
      </c>
      <c r="G85" s="255">
        <v>45.6</v>
      </c>
      <c r="H85" s="255">
        <v>6.9</v>
      </c>
      <c r="I85" s="255">
        <v>20.8</v>
      </c>
      <c r="J85" s="255">
        <v>33.200000000000003</v>
      </c>
      <c r="K85" s="255">
        <v>19.600000000000001</v>
      </c>
      <c r="L85" s="255">
        <v>26.5</v>
      </c>
      <c r="M85" s="255">
        <v>74.099999999999994</v>
      </c>
      <c r="N85" s="255">
        <v>10.5</v>
      </c>
      <c r="O85" s="255">
        <v>23.6</v>
      </c>
      <c r="P85" s="255">
        <v>34.200000000000003</v>
      </c>
      <c r="Q85" s="255">
        <v>12.5</v>
      </c>
      <c r="R85" s="255">
        <v>6.4</v>
      </c>
      <c r="S85" s="255">
        <v>2.5</v>
      </c>
      <c r="T85" s="255">
        <v>12</v>
      </c>
      <c r="U85" s="255">
        <v>15.4</v>
      </c>
    </row>
    <row r="86" spans="1:21" ht="15.75" customHeight="1" thickBot="1" x14ac:dyDescent="0.3">
      <c r="A86" s="257">
        <v>85</v>
      </c>
      <c r="B86" s="259" t="s">
        <v>58</v>
      </c>
      <c r="C86" s="255">
        <v>29</v>
      </c>
      <c r="D86" s="255">
        <v>80.099999999999994</v>
      </c>
      <c r="E86" s="255">
        <v>26.9</v>
      </c>
      <c r="F86" s="255">
        <v>57.9</v>
      </c>
      <c r="G86" s="255">
        <v>46.5</v>
      </c>
      <c r="H86" s="255">
        <v>7.6</v>
      </c>
      <c r="I86" s="255">
        <v>23.3</v>
      </c>
      <c r="J86" s="255">
        <v>32.4</v>
      </c>
      <c r="K86" s="255">
        <v>18.8</v>
      </c>
      <c r="L86" s="255">
        <v>25.5</v>
      </c>
      <c r="M86" s="255">
        <v>73.599999999999994</v>
      </c>
      <c r="N86" s="255">
        <v>10.9</v>
      </c>
      <c r="O86" s="255">
        <v>28.2</v>
      </c>
      <c r="P86" s="255">
        <v>39.1</v>
      </c>
      <c r="Q86" s="255">
        <v>13.7</v>
      </c>
      <c r="R86" s="255">
        <v>6.5</v>
      </c>
      <c r="S86" s="255">
        <v>3.9</v>
      </c>
      <c r="T86" s="255">
        <v>13.5</v>
      </c>
      <c r="U86" s="255">
        <v>18</v>
      </c>
    </row>
    <row r="87" spans="1:21" ht="15.75" customHeight="1" thickBot="1" x14ac:dyDescent="0.3">
      <c r="A87" s="257">
        <v>86</v>
      </c>
      <c r="B87" s="259" t="s">
        <v>414</v>
      </c>
      <c r="C87" s="255">
        <v>31</v>
      </c>
      <c r="D87" s="255">
        <v>80.099999999999994</v>
      </c>
      <c r="E87" s="255">
        <v>27.9</v>
      </c>
      <c r="F87" s="255">
        <v>61.5</v>
      </c>
      <c r="G87" s="255">
        <v>45.3</v>
      </c>
      <c r="H87" s="255">
        <v>7</v>
      </c>
      <c r="I87" s="255">
        <v>20.100000000000001</v>
      </c>
      <c r="J87" s="255">
        <v>34.700000000000003</v>
      </c>
      <c r="K87" s="255">
        <v>17.399999999999999</v>
      </c>
      <c r="L87" s="255">
        <v>24.9</v>
      </c>
      <c r="M87" s="255">
        <v>69.900000000000006</v>
      </c>
      <c r="N87" s="255">
        <v>11.7</v>
      </c>
      <c r="O87" s="255">
        <v>23.9</v>
      </c>
      <c r="P87" s="255">
        <v>35.6</v>
      </c>
      <c r="Q87" s="255">
        <v>14.8</v>
      </c>
      <c r="R87" s="255">
        <v>9.5</v>
      </c>
      <c r="S87" s="255">
        <v>3.7</v>
      </c>
      <c r="T87" s="255">
        <v>12</v>
      </c>
      <c r="U87" s="255">
        <v>19</v>
      </c>
    </row>
    <row r="88" spans="1:21" ht="15.75" customHeight="1" thickBot="1" x14ac:dyDescent="0.3">
      <c r="A88" s="257">
        <v>87</v>
      </c>
      <c r="B88" s="259" t="s">
        <v>75</v>
      </c>
      <c r="C88" s="255">
        <v>30</v>
      </c>
      <c r="D88" s="255">
        <v>80.099999999999994</v>
      </c>
      <c r="E88" s="255">
        <v>27.8</v>
      </c>
      <c r="F88" s="255">
        <v>56.5</v>
      </c>
      <c r="G88" s="255">
        <v>49.2</v>
      </c>
      <c r="H88" s="255">
        <v>8.1</v>
      </c>
      <c r="I88" s="255">
        <v>22.4</v>
      </c>
      <c r="J88" s="255">
        <v>36</v>
      </c>
      <c r="K88" s="255">
        <v>16.399999999999999</v>
      </c>
      <c r="L88" s="255">
        <v>21.2</v>
      </c>
      <c r="M88" s="255">
        <v>77.099999999999994</v>
      </c>
      <c r="N88" s="255">
        <v>9.6</v>
      </c>
      <c r="O88" s="255">
        <v>24.4</v>
      </c>
      <c r="P88" s="255">
        <v>34</v>
      </c>
      <c r="Q88" s="255">
        <v>14.5</v>
      </c>
      <c r="R88" s="255">
        <v>4.9000000000000004</v>
      </c>
      <c r="S88" s="255">
        <v>2.4</v>
      </c>
      <c r="T88" s="255">
        <v>10.4</v>
      </c>
      <c r="U88" s="255">
        <v>17.899999999999999</v>
      </c>
    </row>
    <row r="89" spans="1:21" ht="15.75" customHeight="1" thickBot="1" x14ac:dyDescent="0.3">
      <c r="A89" s="257">
        <v>88</v>
      </c>
      <c r="B89" s="259" t="s">
        <v>446</v>
      </c>
      <c r="C89" s="255">
        <v>30</v>
      </c>
      <c r="D89" s="255">
        <v>80</v>
      </c>
      <c r="E89" s="255">
        <v>28</v>
      </c>
      <c r="F89" s="255">
        <v>59.3</v>
      </c>
      <c r="G89" s="255">
        <v>47.2</v>
      </c>
      <c r="H89" s="255">
        <v>7.2</v>
      </c>
      <c r="I89" s="255">
        <v>21</v>
      </c>
      <c r="J89" s="255">
        <v>34.4</v>
      </c>
      <c r="K89" s="255">
        <v>16.8</v>
      </c>
      <c r="L89" s="255">
        <v>24.3</v>
      </c>
      <c r="M89" s="255">
        <v>69.2</v>
      </c>
      <c r="N89" s="255">
        <v>11.2</v>
      </c>
      <c r="O89" s="255">
        <v>23.9</v>
      </c>
      <c r="P89" s="255">
        <v>35.1</v>
      </c>
      <c r="Q89" s="255">
        <v>14.4</v>
      </c>
      <c r="R89" s="255">
        <v>7.8</v>
      </c>
      <c r="S89" s="255">
        <v>4.5999999999999996</v>
      </c>
      <c r="T89" s="255">
        <v>12</v>
      </c>
      <c r="U89" s="255">
        <v>21.7</v>
      </c>
    </row>
    <row r="90" spans="1:21" ht="15.75" customHeight="1" thickBot="1" x14ac:dyDescent="0.3">
      <c r="A90" s="257">
        <v>89</v>
      </c>
      <c r="B90" s="259" t="s">
        <v>318</v>
      </c>
      <c r="C90" s="255">
        <v>31</v>
      </c>
      <c r="D90" s="255">
        <v>80</v>
      </c>
      <c r="E90" s="255">
        <v>28.1</v>
      </c>
      <c r="F90" s="255">
        <v>59.7</v>
      </c>
      <c r="G90" s="255">
        <v>47</v>
      </c>
      <c r="H90" s="255">
        <v>6.5</v>
      </c>
      <c r="I90" s="255">
        <v>20.8</v>
      </c>
      <c r="J90" s="255">
        <v>31.4</v>
      </c>
      <c r="K90" s="255">
        <v>17.399999999999999</v>
      </c>
      <c r="L90" s="255">
        <v>23</v>
      </c>
      <c r="M90" s="255">
        <v>75.5</v>
      </c>
      <c r="N90" s="255">
        <v>12.5</v>
      </c>
      <c r="O90" s="255">
        <v>22.2</v>
      </c>
      <c r="P90" s="255">
        <v>34.700000000000003</v>
      </c>
      <c r="Q90" s="255">
        <v>14.1</v>
      </c>
      <c r="R90" s="255">
        <v>10.4</v>
      </c>
      <c r="S90" s="255">
        <v>4.3</v>
      </c>
      <c r="T90" s="255">
        <v>9.5</v>
      </c>
      <c r="U90" s="255">
        <v>18.899999999999999</v>
      </c>
    </row>
    <row r="91" spans="1:21" ht="15.75" customHeight="1" thickBot="1" x14ac:dyDescent="0.3">
      <c r="A91" s="257">
        <v>90</v>
      </c>
      <c r="B91" s="259" t="s">
        <v>51</v>
      </c>
      <c r="C91" s="255">
        <v>30</v>
      </c>
      <c r="D91" s="255">
        <v>80</v>
      </c>
      <c r="E91" s="255">
        <v>28.5</v>
      </c>
      <c r="F91" s="255">
        <v>61.1</v>
      </c>
      <c r="G91" s="255">
        <v>46.7</v>
      </c>
      <c r="H91" s="255">
        <v>6.7</v>
      </c>
      <c r="I91" s="255">
        <v>19.5</v>
      </c>
      <c r="J91" s="255">
        <v>34.1</v>
      </c>
      <c r="K91" s="255">
        <v>16.3</v>
      </c>
      <c r="L91" s="255">
        <v>23.4</v>
      </c>
      <c r="M91" s="255">
        <v>69.5</v>
      </c>
      <c r="N91" s="255">
        <v>15.9</v>
      </c>
      <c r="O91" s="255">
        <v>26.7</v>
      </c>
      <c r="P91" s="255">
        <v>42.7</v>
      </c>
      <c r="Q91" s="255">
        <v>17.2</v>
      </c>
      <c r="R91" s="255">
        <v>7.6</v>
      </c>
      <c r="S91" s="255">
        <v>3.4</v>
      </c>
      <c r="T91" s="255">
        <v>12</v>
      </c>
      <c r="U91" s="255">
        <v>17.7</v>
      </c>
    </row>
    <row r="92" spans="1:21" ht="15.75" customHeight="1" thickBot="1" x14ac:dyDescent="0.3">
      <c r="A92" s="257">
        <v>91</v>
      </c>
      <c r="B92" s="259" t="s">
        <v>375</v>
      </c>
      <c r="C92" s="255">
        <v>31</v>
      </c>
      <c r="D92" s="255">
        <v>80</v>
      </c>
      <c r="E92" s="255">
        <v>26.8</v>
      </c>
      <c r="F92" s="255">
        <v>60.6</v>
      </c>
      <c r="G92" s="255">
        <v>44.3</v>
      </c>
      <c r="H92" s="255">
        <v>6.2</v>
      </c>
      <c r="I92" s="255">
        <v>18.8</v>
      </c>
      <c r="J92" s="255">
        <v>33.200000000000003</v>
      </c>
      <c r="K92" s="255">
        <v>20.100000000000001</v>
      </c>
      <c r="L92" s="255">
        <v>26.5</v>
      </c>
      <c r="M92" s="255">
        <v>75.900000000000006</v>
      </c>
      <c r="N92" s="255">
        <v>10.199999999999999</v>
      </c>
      <c r="O92" s="255">
        <v>23.7</v>
      </c>
      <c r="P92" s="255">
        <v>33.9</v>
      </c>
      <c r="Q92" s="255">
        <v>12</v>
      </c>
      <c r="R92" s="255">
        <v>8.4</v>
      </c>
      <c r="S92" s="255">
        <v>4.5999999999999996</v>
      </c>
      <c r="T92" s="255">
        <v>12.3</v>
      </c>
      <c r="U92" s="255">
        <v>19.5</v>
      </c>
    </row>
    <row r="93" spans="1:21" ht="15.75" customHeight="1" thickBot="1" x14ac:dyDescent="0.3">
      <c r="A93" s="257">
        <v>92</v>
      </c>
      <c r="B93" s="259" t="s">
        <v>229</v>
      </c>
      <c r="C93" s="255">
        <v>30</v>
      </c>
      <c r="D93" s="255">
        <v>79.900000000000006</v>
      </c>
      <c r="E93" s="255">
        <v>28.1</v>
      </c>
      <c r="F93" s="255">
        <v>59.5</v>
      </c>
      <c r="G93" s="255">
        <v>47.2</v>
      </c>
      <c r="H93" s="255">
        <v>7.4</v>
      </c>
      <c r="I93" s="255">
        <v>20.8</v>
      </c>
      <c r="J93" s="255">
        <v>35.5</v>
      </c>
      <c r="K93" s="255">
        <v>16.3</v>
      </c>
      <c r="L93" s="255">
        <v>21.6</v>
      </c>
      <c r="M93" s="255">
        <v>75.5</v>
      </c>
      <c r="N93" s="255">
        <v>10</v>
      </c>
      <c r="O93" s="255">
        <v>24.4</v>
      </c>
      <c r="P93" s="255">
        <v>34.4</v>
      </c>
      <c r="Q93" s="255">
        <v>15.7</v>
      </c>
      <c r="R93" s="255">
        <v>6.3</v>
      </c>
      <c r="S93" s="255">
        <v>3.4</v>
      </c>
      <c r="T93" s="255">
        <v>10.3</v>
      </c>
      <c r="U93" s="255">
        <v>17.5</v>
      </c>
    </row>
    <row r="94" spans="1:21" ht="15.75" customHeight="1" thickBot="1" x14ac:dyDescent="0.3">
      <c r="A94" s="257">
        <v>93</v>
      </c>
      <c r="B94" s="259" t="s">
        <v>226</v>
      </c>
      <c r="C94" s="255">
        <v>33</v>
      </c>
      <c r="D94" s="255">
        <v>79.8</v>
      </c>
      <c r="E94" s="255">
        <v>26.5</v>
      </c>
      <c r="F94" s="255">
        <v>58.2</v>
      </c>
      <c r="G94" s="255">
        <v>45.4</v>
      </c>
      <c r="H94" s="255">
        <v>10.8</v>
      </c>
      <c r="I94" s="255">
        <v>28.9</v>
      </c>
      <c r="J94" s="255">
        <v>37.5</v>
      </c>
      <c r="K94" s="255">
        <v>16.100000000000001</v>
      </c>
      <c r="L94" s="255">
        <v>21.3</v>
      </c>
      <c r="M94" s="255">
        <v>75.3</v>
      </c>
      <c r="N94" s="255">
        <v>9.8000000000000007</v>
      </c>
      <c r="O94" s="255">
        <v>22.7</v>
      </c>
      <c r="P94" s="255">
        <v>32.5</v>
      </c>
      <c r="Q94" s="255">
        <v>15.5</v>
      </c>
      <c r="R94" s="255">
        <v>5.6</v>
      </c>
      <c r="S94" s="255">
        <v>2.7</v>
      </c>
      <c r="T94" s="255">
        <v>12.8</v>
      </c>
      <c r="U94" s="255">
        <v>19.2</v>
      </c>
    </row>
    <row r="95" spans="1:21" ht="15.75" customHeight="1" thickBot="1" x14ac:dyDescent="0.3">
      <c r="A95" s="257">
        <v>94</v>
      </c>
      <c r="B95" s="259" t="s">
        <v>22</v>
      </c>
      <c r="C95" s="255">
        <v>30</v>
      </c>
      <c r="D95" s="255">
        <v>79.8</v>
      </c>
      <c r="E95" s="255">
        <v>27.9</v>
      </c>
      <c r="F95" s="255">
        <v>56.8</v>
      </c>
      <c r="G95" s="255">
        <v>49.1</v>
      </c>
      <c r="H95" s="255">
        <v>7.3</v>
      </c>
      <c r="I95" s="255">
        <v>20.8</v>
      </c>
      <c r="J95" s="255">
        <v>35.1</v>
      </c>
      <c r="K95" s="255">
        <v>16.600000000000001</v>
      </c>
      <c r="L95" s="255">
        <v>24.2</v>
      </c>
      <c r="M95" s="255">
        <v>68.5</v>
      </c>
      <c r="N95" s="255">
        <v>11.7</v>
      </c>
      <c r="O95" s="255">
        <v>24</v>
      </c>
      <c r="P95" s="255">
        <v>35.700000000000003</v>
      </c>
      <c r="Q95" s="255">
        <v>14.4</v>
      </c>
      <c r="R95" s="255">
        <v>6.7</v>
      </c>
      <c r="S95" s="255">
        <v>3.5</v>
      </c>
      <c r="T95" s="255">
        <v>12.3</v>
      </c>
      <c r="U95" s="255">
        <v>17.5</v>
      </c>
    </row>
    <row r="96" spans="1:21" ht="15.75" customHeight="1" thickBot="1" x14ac:dyDescent="0.3">
      <c r="A96" s="257">
        <v>94</v>
      </c>
      <c r="B96" s="259" t="s">
        <v>257</v>
      </c>
      <c r="C96" s="255">
        <v>30</v>
      </c>
      <c r="D96" s="255">
        <v>79.8</v>
      </c>
      <c r="E96" s="255">
        <v>28.7</v>
      </c>
      <c r="F96" s="255">
        <v>62.2</v>
      </c>
      <c r="G96" s="255">
        <v>46.1</v>
      </c>
      <c r="H96" s="255">
        <v>8.1</v>
      </c>
      <c r="I96" s="255">
        <v>24.5</v>
      </c>
      <c r="J96" s="255">
        <v>33.200000000000003</v>
      </c>
      <c r="K96" s="255">
        <v>14.2</v>
      </c>
      <c r="L96" s="255">
        <v>20</v>
      </c>
      <c r="M96" s="255">
        <v>71</v>
      </c>
      <c r="N96" s="255">
        <v>12.3</v>
      </c>
      <c r="O96" s="255">
        <v>26.7</v>
      </c>
      <c r="P96" s="255">
        <v>39</v>
      </c>
      <c r="Q96" s="255">
        <v>13.6</v>
      </c>
      <c r="R96" s="255">
        <v>5.9</v>
      </c>
      <c r="S96" s="255">
        <v>5.6</v>
      </c>
      <c r="T96" s="255">
        <v>12</v>
      </c>
      <c r="U96" s="255">
        <v>17.600000000000001</v>
      </c>
    </row>
    <row r="97" spans="1:21" ht="15.75" customHeight="1" thickBot="1" x14ac:dyDescent="0.3">
      <c r="A97" s="257">
        <v>96</v>
      </c>
      <c r="B97" s="259" t="s">
        <v>348</v>
      </c>
      <c r="C97" s="255">
        <v>32</v>
      </c>
      <c r="D97" s="255">
        <v>79.599999999999994</v>
      </c>
      <c r="E97" s="255">
        <v>27.4</v>
      </c>
      <c r="F97" s="255">
        <v>61.5</v>
      </c>
      <c r="G97" s="255">
        <v>44.6</v>
      </c>
      <c r="H97" s="255">
        <v>11</v>
      </c>
      <c r="I97" s="255">
        <v>31.4</v>
      </c>
      <c r="J97" s="255">
        <v>35.1</v>
      </c>
      <c r="K97" s="255">
        <v>13.7</v>
      </c>
      <c r="L97" s="255">
        <v>17.7</v>
      </c>
      <c r="M97" s="255">
        <v>77.400000000000006</v>
      </c>
      <c r="N97" s="255">
        <v>9.4</v>
      </c>
      <c r="O97" s="255">
        <v>22.9</v>
      </c>
      <c r="P97" s="255">
        <v>32.299999999999997</v>
      </c>
      <c r="Q97" s="255">
        <v>13.9</v>
      </c>
      <c r="R97" s="255">
        <v>5.0999999999999996</v>
      </c>
      <c r="S97" s="255">
        <v>1.4</v>
      </c>
      <c r="T97" s="255">
        <v>12.5</v>
      </c>
      <c r="U97" s="255">
        <v>18.100000000000001</v>
      </c>
    </row>
    <row r="98" spans="1:21" ht="15.75" customHeight="1" thickBot="1" x14ac:dyDescent="0.3">
      <c r="A98" s="257">
        <v>97</v>
      </c>
      <c r="B98" s="259" t="s">
        <v>260</v>
      </c>
      <c r="C98" s="255">
        <v>30</v>
      </c>
      <c r="D98" s="255">
        <v>79.599999999999994</v>
      </c>
      <c r="E98" s="255">
        <v>26.9</v>
      </c>
      <c r="F98" s="255">
        <v>62.6</v>
      </c>
      <c r="G98" s="255">
        <v>43</v>
      </c>
      <c r="H98" s="255">
        <v>10.1</v>
      </c>
      <c r="I98" s="255">
        <v>31.6</v>
      </c>
      <c r="J98" s="255">
        <v>32</v>
      </c>
      <c r="K98" s="255">
        <v>15.6</v>
      </c>
      <c r="L98" s="255">
        <v>21.7</v>
      </c>
      <c r="M98" s="255">
        <v>72</v>
      </c>
      <c r="N98" s="255">
        <v>12.1</v>
      </c>
      <c r="O98" s="255">
        <v>24.1</v>
      </c>
      <c r="P98" s="255">
        <v>36.200000000000003</v>
      </c>
      <c r="Q98" s="255">
        <v>14.2</v>
      </c>
      <c r="R98" s="255">
        <v>7.7</v>
      </c>
      <c r="S98" s="255">
        <v>3.9</v>
      </c>
      <c r="T98" s="255">
        <v>11.1</v>
      </c>
      <c r="U98" s="255">
        <v>18.3</v>
      </c>
    </row>
    <row r="99" spans="1:21" ht="15.75" customHeight="1" thickBot="1" x14ac:dyDescent="0.3">
      <c r="A99" s="257">
        <v>98</v>
      </c>
      <c r="B99" s="259" t="s">
        <v>469</v>
      </c>
      <c r="C99" s="255">
        <v>30</v>
      </c>
      <c r="D99" s="255">
        <v>79.400000000000006</v>
      </c>
      <c r="E99" s="255">
        <v>25.8</v>
      </c>
      <c r="F99" s="255">
        <v>62.4</v>
      </c>
      <c r="G99" s="255">
        <v>41.3</v>
      </c>
      <c r="H99" s="255">
        <v>8.4</v>
      </c>
      <c r="I99" s="255">
        <v>24.9</v>
      </c>
      <c r="J99" s="255">
        <v>33.799999999999997</v>
      </c>
      <c r="K99" s="255">
        <v>19.399999999999999</v>
      </c>
      <c r="L99" s="255">
        <v>25.5</v>
      </c>
      <c r="M99" s="255">
        <v>76.3</v>
      </c>
      <c r="N99" s="255">
        <v>13.1</v>
      </c>
      <c r="O99" s="255">
        <v>26.4</v>
      </c>
      <c r="P99" s="255">
        <v>39.5</v>
      </c>
      <c r="Q99" s="255">
        <v>13.4</v>
      </c>
      <c r="R99" s="255">
        <v>7.6</v>
      </c>
      <c r="S99" s="255">
        <v>2.4</v>
      </c>
      <c r="T99" s="255">
        <v>10.199999999999999</v>
      </c>
      <c r="U99" s="255">
        <v>20</v>
      </c>
    </row>
    <row r="100" spans="1:21" ht="15.75" customHeight="1" thickBot="1" x14ac:dyDescent="0.3">
      <c r="A100" s="257">
        <v>99</v>
      </c>
      <c r="B100" s="259" t="s">
        <v>208</v>
      </c>
      <c r="C100" s="255">
        <v>30</v>
      </c>
      <c r="D100" s="255">
        <v>79.3</v>
      </c>
      <c r="E100" s="255">
        <v>27.1</v>
      </c>
      <c r="F100" s="255">
        <v>59.9</v>
      </c>
      <c r="G100" s="255">
        <v>45.3</v>
      </c>
      <c r="H100" s="255">
        <v>7</v>
      </c>
      <c r="I100" s="255">
        <v>21.2</v>
      </c>
      <c r="J100" s="255">
        <v>32.799999999999997</v>
      </c>
      <c r="K100" s="255">
        <v>18</v>
      </c>
      <c r="L100" s="255">
        <v>25.3</v>
      </c>
      <c r="M100" s="255">
        <v>71.400000000000006</v>
      </c>
      <c r="N100" s="255">
        <v>12.3</v>
      </c>
      <c r="O100" s="255">
        <v>25.3</v>
      </c>
      <c r="P100" s="255">
        <v>37.6</v>
      </c>
      <c r="Q100" s="255">
        <v>15.4</v>
      </c>
      <c r="R100" s="255">
        <v>6.5</v>
      </c>
      <c r="S100" s="255">
        <v>3.2</v>
      </c>
      <c r="T100" s="255">
        <v>11.3</v>
      </c>
      <c r="U100" s="255">
        <v>15.3</v>
      </c>
    </row>
    <row r="101" spans="1:21" ht="15.75" customHeight="1" thickBot="1" x14ac:dyDescent="0.3">
      <c r="A101" s="257">
        <v>100</v>
      </c>
      <c r="B101" s="259" t="s">
        <v>398</v>
      </c>
      <c r="C101" s="255">
        <v>29</v>
      </c>
      <c r="D101" s="255">
        <v>79.099999999999994</v>
      </c>
      <c r="E101" s="255">
        <v>28</v>
      </c>
      <c r="F101" s="255">
        <v>58.8</v>
      </c>
      <c r="G101" s="255">
        <v>47.5</v>
      </c>
      <c r="H101" s="255">
        <v>6.9</v>
      </c>
      <c r="I101" s="255">
        <v>19.399999999999999</v>
      </c>
      <c r="J101" s="255">
        <v>35.5</v>
      </c>
      <c r="K101" s="255">
        <v>16.3</v>
      </c>
      <c r="L101" s="255">
        <v>21.7</v>
      </c>
      <c r="M101" s="255">
        <v>75</v>
      </c>
      <c r="N101" s="255">
        <v>10</v>
      </c>
      <c r="O101" s="255">
        <v>24.9</v>
      </c>
      <c r="P101" s="255">
        <v>35</v>
      </c>
      <c r="Q101" s="255">
        <v>15.4</v>
      </c>
      <c r="R101" s="255">
        <v>7.8</v>
      </c>
      <c r="S101" s="255">
        <v>4.4000000000000004</v>
      </c>
      <c r="T101" s="255">
        <v>12</v>
      </c>
      <c r="U101" s="255">
        <v>19.2</v>
      </c>
    </row>
    <row r="102" spans="1:21" ht="15.75" customHeight="1" thickBot="1" x14ac:dyDescent="0.3">
      <c r="A102" s="257">
        <v>101</v>
      </c>
      <c r="B102" s="259" t="s">
        <v>245</v>
      </c>
      <c r="C102" s="255">
        <v>30</v>
      </c>
      <c r="D102" s="255">
        <v>79.099999999999994</v>
      </c>
      <c r="E102" s="255">
        <v>27.1</v>
      </c>
      <c r="F102" s="255">
        <v>58.5</v>
      </c>
      <c r="G102" s="255">
        <v>46.3</v>
      </c>
      <c r="H102" s="255">
        <v>8.8000000000000007</v>
      </c>
      <c r="I102" s="255">
        <v>25.6</v>
      </c>
      <c r="J102" s="255">
        <v>34.4</v>
      </c>
      <c r="K102" s="255">
        <v>16.100000000000001</v>
      </c>
      <c r="L102" s="255">
        <v>22.6</v>
      </c>
      <c r="M102" s="255">
        <v>71.2</v>
      </c>
      <c r="N102" s="255">
        <v>10.4</v>
      </c>
      <c r="O102" s="255">
        <v>24.7</v>
      </c>
      <c r="P102" s="255">
        <v>35.1</v>
      </c>
      <c r="Q102" s="255">
        <v>15.4</v>
      </c>
      <c r="R102" s="255">
        <v>7.7</v>
      </c>
      <c r="S102" s="255">
        <v>3</v>
      </c>
      <c r="T102" s="255">
        <v>12.9</v>
      </c>
      <c r="U102" s="255">
        <v>19.8</v>
      </c>
    </row>
    <row r="103" spans="1:21" ht="15.75" customHeight="1" thickBot="1" x14ac:dyDescent="0.3">
      <c r="A103" s="257">
        <v>102</v>
      </c>
      <c r="B103" s="259" t="s">
        <v>281</v>
      </c>
      <c r="C103" s="255">
        <v>31</v>
      </c>
      <c r="D103" s="255">
        <v>79</v>
      </c>
      <c r="E103" s="255">
        <v>26.9</v>
      </c>
      <c r="F103" s="255">
        <v>60.2</v>
      </c>
      <c r="G103" s="255">
        <v>44.8</v>
      </c>
      <c r="H103" s="255">
        <v>10.5</v>
      </c>
      <c r="I103" s="255">
        <v>28.7</v>
      </c>
      <c r="J103" s="255">
        <v>36.6</v>
      </c>
      <c r="K103" s="255">
        <v>14.6</v>
      </c>
      <c r="L103" s="255">
        <v>19.8</v>
      </c>
      <c r="M103" s="255">
        <v>73.8</v>
      </c>
      <c r="N103" s="255">
        <v>10.9</v>
      </c>
      <c r="O103" s="255">
        <v>26.1</v>
      </c>
      <c r="P103" s="255">
        <v>37</v>
      </c>
      <c r="Q103" s="255">
        <v>13.1</v>
      </c>
      <c r="R103" s="255">
        <v>6</v>
      </c>
      <c r="S103" s="255">
        <v>2.2999999999999998</v>
      </c>
      <c r="T103" s="255">
        <v>10.8</v>
      </c>
      <c r="U103" s="255">
        <v>18.600000000000001</v>
      </c>
    </row>
    <row r="104" spans="1:21" ht="15.75" customHeight="1" thickBot="1" x14ac:dyDescent="0.3">
      <c r="A104" s="257">
        <v>102</v>
      </c>
      <c r="B104" s="259" t="s">
        <v>291</v>
      </c>
      <c r="C104" s="255">
        <v>30</v>
      </c>
      <c r="D104" s="255">
        <v>79</v>
      </c>
      <c r="E104" s="255">
        <v>28.9</v>
      </c>
      <c r="F104" s="255">
        <v>63.2</v>
      </c>
      <c r="G104" s="255">
        <v>45.7</v>
      </c>
      <c r="H104" s="255">
        <v>9.4</v>
      </c>
      <c r="I104" s="255">
        <v>26.1</v>
      </c>
      <c r="J104" s="255">
        <v>35.799999999999997</v>
      </c>
      <c r="K104" s="255">
        <v>11.8</v>
      </c>
      <c r="L104" s="255">
        <v>16.7</v>
      </c>
      <c r="M104" s="255">
        <v>70.7</v>
      </c>
      <c r="N104" s="255">
        <v>10.6</v>
      </c>
      <c r="O104" s="255">
        <v>23.8</v>
      </c>
      <c r="P104" s="255">
        <v>34.4</v>
      </c>
      <c r="Q104" s="255">
        <v>17.100000000000001</v>
      </c>
      <c r="R104" s="255">
        <v>7</v>
      </c>
      <c r="S104" s="255">
        <v>3.6</v>
      </c>
      <c r="T104" s="255">
        <v>13</v>
      </c>
      <c r="U104" s="255">
        <v>19.3</v>
      </c>
    </row>
    <row r="105" spans="1:21" ht="15.75" customHeight="1" thickBot="1" x14ac:dyDescent="0.3">
      <c r="A105" s="257">
        <v>104</v>
      </c>
      <c r="B105" s="259" t="s">
        <v>474</v>
      </c>
      <c r="C105" s="255">
        <v>31</v>
      </c>
      <c r="D105" s="255">
        <v>79</v>
      </c>
      <c r="E105" s="255">
        <v>27.1</v>
      </c>
      <c r="F105" s="255">
        <v>59.6</v>
      </c>
      <c r="G105" s="255">
        <v>45.5</v>
      </c>
      <c r="H105" s="255">
        <v>9.1</v>
      </c>
      <c r="I105" s="255">
        <v>26.2</v>
      </c>
      <c r="J105" s="255">
        <v>34.799999999999997</v>
      </c>
      <c r="K105" s="255">
        <v>15.6</v>
      </c>
      <c r="L105" s="255">
        <v>21.8</v>
      </c>
      <c r="M105" s="255">
        <v>71.400000000000006</v>
      </c>
      <c r="N105" s="255">
        <v>11.1</v>
      </c>
      <c r="O105" s="255">
        <v>23.8</v>
      </c>
      <c r="P105" s="255">
        <v>34.799999999999997</v>
      </c>
      <c r="Q105" s="255">
        <v>14.1</v>
      </c>
      <c r="R105" s="255">
        <v>5.8</v>
      </c>
      <c r="S105" s="255">
        <v>3.1</v>
      </c>
      <c r="T105" s="255">
        <v>9.6</v>
      </c>
      <c r="U105" s="255">
        <v>17.2</v>
      </c>
    </row>
    <row r="106" spans="1:21" ht="15.75" customHeight="1" thickBot="1" x14ac:dyDescent="0.3">
      <c r="A106" s="257">
        <v>105</v>
      </c>
      <c r="B106" s="259" t="s">
        <v>447</v>
      </c>
      <c r="C106" s="255">
        <v>30</v>
      </c>
      <c r="D106" s="255">
        <v>78.900000000000006</v>
      </c>
      <c r="E106" s="255">
        <v>26.7</v>
      </c>
      <c r="F106" s="255">
        <v>58.8</v>
      </c>
      <c r="G106" s="255">
        <v>45.5</v>
      </c>
      <c r="H106" s="255">
        <v>6.2</v>
      </c>
      <c r="I106" s="255">
        <v>19.600000000000001</v>
      </c>
      <c r="J106" s="255">
        <v>31.4</v>
      </c>
      <c r="K106" s="255">
        <v>19.3</v>
      </c>
      <c r="L106" s="255">
        <v>26.6</v>
      </c>
      <c r="M106" s="255">
        <v>72.599999999999994</v>
      </c>
      <c r="N106" s="255">
        <v>11.6</v>
      </c>
      <c r="O106" s="255">
        <v>25.1</v>
      </c>
      <c r="P106" s="255">
        <v>36.700000000000003</v>
      </c>
      <c r="Q106" s="255">
        <v>14.8</v>
      </c>
      <c r="R106" s="255">
        <v>6.5</v>
      </c>
      <c r="S106" s="255">
        <v>5.5</v>
      </c>
      <c r="T106" s="255">
        <v>12.7</v>
      </c>
      <c r="U106" s="255">
        <v>18.8</v>
      </c>
    </row>
    <row r="107" spans="1:21" ht="15.75" customHeight="1" thickBot="1" x14ac:dyDescent="0.3">
      <c r="A107" s="257">
        <v>106</v>
      </c>
      <c r="B107" s="259" t="s">
        <v>215</v>
      </c>
      <c r="C107" s="255">
        <v>31</v>
      </c>
      <c r="D107" s="255">
        <v>78.900000000000006</v>
      </c>
      <c r="E107" s="255">
        <v>27</v>
      </c>
      <c r="F107" s="255">
        <v>60.1</v>
      </c>
      <c r="G107" s="255">
        <v>45</v>
      </c>
      <c r="H107" s="255">
        <v>7.4</v>
      </c>
      <c r="I107" s="255">
        <v>22.3</v>
      </c>
      <c r="J107" s="255">
        <v>33.200000000000003</v>
      </c>
      <c r="K107" s="255">
        <v>17.5</v>
      </c>
      <c r="L107" s="255">
        <v>24.1</v>
      </c>
      <c r="M107" s="255">
        <v>72.400000000000006</v>
      </c>
      <c r="N107" s="255">
        <v>12.7</v>
      </c>
      <c r="O107" s="255">
        <v>23</v>
      </c>
      <c r="P107" s="255">
        <v>35.700000000000003</v>
      </c>
      <c r="Q107" s="255">
        <v>12.5</v>
      </c>
      <c r="R107" s="255">
        <v>6.8</v>
      </c>
      <c r="S107" s="255">
        <v>1.9</v>
      </c>
      <c r="T107" s="255">
        <v>12.1</v>
      </c>
      <c r="U107" s="255">
        <v>17.600000000000001</v>
      </c>
    </row>
    <row r="108" spans="1:21" ht="15.75" customHeight="1" thickBot="1" x14ac:dyDescent="0.3">
      <c r="A108" s="257">
        <v>107</v>
      </c>
      <c r="B108" s="259" t="s">
        <v>435</v>
      </c>
      <c r="C108" s="255">
        <v>30</v>
      </c>
      <c r="D108" s="255">
        <v>78.900000000000006</v>
      </c>
      <c r="E108" s="255">
        <v>28.3</v>
      </c>
      <c r="F108" s="255">
        <v>64.599999999999994</v>
      </c>
      <c r="G108" s="255">
        <v>43.8</v>
      </c>
      <c r="H108" s="255">
        <v>5.6</v>
      </c>
      <c r="I108" s="255">
        <v>19.899999999999999</v>
      </c>
      <c r="J108" s="255">
        <v>28.3</v>
      </c>
      <c r="K108" s="255">
        <v>16.7</v>
      </c>
      <c r="L108" s="255">
        <v>23.7</v>
      </c>
      <c r="M108" s="255">
        <v>70.7</v>
      </c>
      <c r="N108" s="255">
        <v>13.2</v>
      </c>
      <c r="O108" s="255">
        <v>27.2</v>
      </c>
      <c r="P108" s="255">
        <v>40.4</v>
      </c>
      <c r="Q108" s="255">
        <v>13.8</v>
      </c>
      <c r="R108" s="255">
        <v>8</v>
      </c>
      <c r="S108" s="255">
        <v>3.5</v>
      </c>
      <c r="T108" s="255">
        <v>9</v>
      </c>
      <c r="U108" s="255">
        <v>14.4</v>
      </c>
    </row>
    <row r="109" spans="1:21" ht="15.75" customHeight="1" thickBot="1" x14ac:dyDescent="0.3">
      <c r="A109" s="257">
        <v>108</v>
      </c>
      <c r="B109" s="259" t="s">
        <v>467</v>
      </c>
      <c r="C109" s="255">
        <v>29</v>
      </c>
      <c r="D109" s="255">
        <v>78.900000000000006</v>
      </c>
      <c r="E109" s="255">
        <v>28.4</v>
      </c>
      <c r="F109" s="255">
        <v>63.4</v>
      </c>
      <c r="G109" s="255">
        <v>44.9</v>
      </c>
      <c r="H109" s="255">
        <v>8.6999999999999993</v>
      </c>
      <c r="I109" s="255">
        <v>25.9</v>
      </c>
      <c r="J109" s="255">
        <v>33.700000000000003</v>
      </c>
      <c r="K109" s="255">
        <v>13.3</v>
      </c>
      <c r="L109" s="255">
        <v>18.600000000000001</v>
      </c>
      <c r="M109" s="255">
        <v>71.3</v>
      </c>
      <c r="N109" s="255">
        <v>13.4</v>
      </c>
      <c r="O109" s="255">
        <v>25</v>
      </c>
      <c r="P109" s="255">
        <v>38.4</v>
      </c>
      <c r="Q109" s="255">
        <v>13</v>
      </c>
      <c r="R109" s="255">
        <v>6.2</v>
      </c>
      <c r="S109" s="255">
        <v>2.8</v>
      </c>
      <c r="T109" s="255">
        <v>11.3</v>
      </c>
      <c r="U109" s="255">
        <v>19.2</v>
      </c>
    </row>
    <row r="110" spans="1:21" ht="15.75" customHeight="1" thickBot="1" x14ac:dyDescent="0.3">
      <c r="A110" s="257">
        <v>109</v>
      </c>
      <c r="B110" s="259" t="s">
        <v>397</v>
      </c>
      <c r="C110" s="255">
        <v>31</v>
      </c>
      <c r="D110" s="255">
        <v>78.8</v>
      </c>
      <c r="E110" s="255">
        <v>26.4</v>
      </c>
      <c r="F110" s="255">
        <v>58.3</v>
      </c>
      <c r="G110" s="255">
        <v>45.3</v>
      </c>
      <c r="H110" s="255">
        <v>9.6</v>
      </c>
      <c r="I110" s="255">
        <v>27</v>
      </c>
      <c r="J110" s="255">
        <v>35.5</v>
      </c>
      <c r="K110" s="255">
        <v>16.5</v>
      </c>
      <c r="L110" s="255">
        <v>24</v>
      </c>
      <c r="M110" s="255">
        <v>68.8</v>
      </c>
      <c r="N110" s="255">
        <v>9.1999999999999993</v>
      </c>
      <c r="O110" s="255">
        <v>27.3</v>
      </c>
      <c r="P110" s="255">
        <v>36.5</v>
      </c>
      <c r="Q110" s="255">
        <v>14.9</v>
      </c>
      <c r="R110" s="255">
        <v>4.5999999999999996</v>
      </c>
      <c r="S110" s="255">
        <v>2.7</v>
      </c>
      <c r="T110" s="255">
        <v>9.1999999999999993</v>
      </c>
      <c r="U110" s="255">
        <v>16</v>
      </c>
    </row>
    <row r="111" spans="1:21" ht="15.75" customHeight="1" thickBot="1" x14ac:dyDescent="0.3">
      <c r="A111" s="257">
        <v>110</v>
      </c>
      <c r="B111" s="259" t="s">
        <v>461</v>
      </c>
      <c r="C111" s="255">
        <v>30</v>
      </c>
      <c r="D111" s="255">
        <v>78.8</v>
      </c>
      <c r="E111" s="255">
        <v>27</v>
      </c>
      <c r="F111" s="255">
        <v>60.1</v>
      </c>
      <c r="G111" s="255">
        <v>45</v>
      </c>
      <c r="H111" s="255">
        <v>9</v>
      </c>
      <c r="I111" s="255">
        <v>26.4</v>
      </c>
      <c r="J111" s="255">
        <v>34.200000000000003</v>
      </c>
      <c r="K111" s="255">
        <v>15.7</v>
      </c>
      <c r="L111" s="255">
        <v>20.399999999999999</v>
      </c>
      <c r="M111" s="255">
        <v>77.099999999999994</v>
      </c>
      <c r="N111" s="255">
        <v>10.199999999999999</v>
      </c>
      <c r="O111" s="255">
        <v>22.7</v>
      </c>
      <c r="P111" s="255">
        <v>32.9</v>
      </c>
      <c r="Q111" s="255">
        <v>14.3</v>
      </c>
      <c r="R111" s="255">
        <v>8.1999999999999993</v>
      </c>
      <c r="S111" s="255">
        <v>3.4</v>
      </c>
      <c r="T111" s="255">
        <v>10.8</v>
      </c>
      <c r="U111" s="255">
        <v>18.600000000000001</v>
      </c>
    </row>
    <row r="112" spans="1:21" ht="15.75" customHeight="1" thickBot="1" x14ac:dyDescent="0.3">
      <c r="A112" s="257">
        <v>111</v>
      </c>
      <c r="B112" s="259" t="s">
        <v>391</v>
      </c>
      <c r="C112" s="255">
        <v>30</v>
      </c>
      <c r="D112" s="255">
        <v>78.8</v>
      </c>
      <c r="E112" s="255">
        <v>25.9</v>
      </c>
      <c r="F112" s="255">
        <v>60.9</v>
      </c>
      <c r="G112" s="255">
        <v>42.6</v>
      </c>
      <c r="H112" s="255">
        <v>7.6</v>
      </c>
      <c r="I112" s="255">
        <v>22.5</v>
      </c>
      <c r="J112" s="255">
        <v>33.700000000000003</v>
      </c>
      <c r="K112" s="255">
        <v>19.399999999999999</v>
      </c>
      <c r="L112" s="255">
        <v>24.9</v>
      </c>
      <c r="M112" s="255">
        <v>77.8</v>
      </c>
      <c r="N112" s="255">
        <v>9.6999999999999993</v>
      </c>
      <c r="O112" s="255">
        <v>24.6</v>
      </c>
      <c r="P112" s="255">
        <v>34.299999999999997</v>
      </c>
      <c r="Q112" s="255">
        <v>13.2</v>
      </c>
      <c r="R112" s="255">
        <v>7.6</v>
      </c>
      <c r="S112" s="255">
        <v>3.2</v>
      </c>
      <c r="T112" s="255">
        <v>10.5</v>
      </c>
      <c r="U112" s="255">
        <v>18.600000000000001</v>
      </c>
    </row>
    <row r="113" spans="1:21" ht="15.75" customHeight="1" thickBot="1" x14ac:dyDescent="0.3">
      <c r="A113" s="257">
        <v>112</v>
      </c>
      <c r="B113" s="259" t="s">
        <v>93</v>
      </c>
      <c r="C113" s="255">
        <v>30</v>
      </c>
      <c r="D113" s="255">
        <v>78.7</v>
      </c>
      <c r="E113" s="255">
        <v>26.7</v>
      </c>
      <c r="F113" s="255">
        <v>56.6</v>
      </c>
      <c r="G113" s="255">
        <v>47.2</v>
      </c>
      <c r="H113" s="255">
        <v>10.1</v>
      </c>
      <c r="I113" s="255">
        <v>29</v>
      </c>
      <c r="J113" s="255">
        <v>34.799999999999997</v>
      </c>
      <c r="K113" s="255">
        <v>15.2</v>
      </c>
      <c r="L113" s="255">
        <v>19.5</v>
      </c>
      <c r="M113" s="255">
        <v>78.3</v>
      </c>
      <c r="N113" s="255">
        <v>8.4</v>
      </c>
      <c r="O113" s="255">
        <v>24.5</v>
      </c>
      <c r="P113" s="255">
        <v>32.9</v>
      </c>
      <c r="Q113" s="255">
        <v>16.899999999999999</v>
      </c>
      <c r="R113" s="255">
        <v>4.5999999999999996</v>
      </c>
      <c r="S113" s="255">
        <v>2.8</v>
      </c>
      <c r="T113" s="255">
        <v>10.1</v>
      </c>
      <c r="U113" s="255">
        <v>18.3</v>
      </c>
    </row>
    <row r="114" spans="1:21" ht="15.75" customHeight="1" thickBot="1" x14ac:dyDescent="0.3">
      <c r="A114" s="257">
        <v>112</v>
      </c>
      <c r="B114" s="259" t="s">
        <v>99</v>
      </c>
      <c r="C114" s="255">
        <v>30</v>
      </c>
      <c r="D114" s="255">
        <v>78.7</v>
      </c>
      <c r="E114" s="255">
        <v>27.5</v>
      </c>
      <c r="F114" s="255">
        <v>58.2</v>
      </c>
      <c r="G114" s="255">
        <v>47.2</v>
      </c>
      <c r="H114" s="255">
        <v>7.6</v>
      </c>
      <c r="I114" s="255">
        <v>21.4</v>
      </c>
      <c r="J114" s="255">
        <v>35.6</v>
      </c>
      <c r="K114" s="255">
        <v>16.100000000000001</v>
      </c>
      <c r="L114" s="255">
        <v>21.2</v>
      </c>
      <c r="M114" s="255">
        <v>76.099999999999994</v>
      </c>
      <c r="N114" s="255">
        <v>12.7</v>
      </c>
      <c r="O114" s="255">
        <v>27.6</v>
      </c>
      <c r="P114" s="255">
        <v>40.299999999999997</v>
      </c>
      <c r="Q114" s="255">
        <v>18.399999999999999</v>
      </c>
      <c r="R114" s="255">
        <v>5.2</v>
      </c>
      <c r="S114" s="255">
        <v>4.2</v>
      </c>
      <c r="T114" s="255">
        <v>11.6</v>
      </c>
      <c r="U114" s="255">
        <v>16.2</v>
      </c>
    </row>
    <row r="115" spans="1:21" ht="15.75" customHeight="1" thickBot="1" x14ac:dyDescent="0.3">
      <c r="A115" s="257">
        <v>114</v>
      </c>
      <c r="B115" s="259" t="s">
        <v>47</v>
      </c>
      <c r="C115" s="255">
        <v>30</v>
      </c>
      <c r="D115" s="255">
        <v>78.7</v>
      </c>
      <c r="E115" s="255">
        <v>28.6</v>
      </c>
      <c r="F115" s="255">
        <v>58.6</v>
      </c>
      <c r="G115" s="255">
        <v>48.8</v>
      </c>
      <c r="H115" s="255">
        <v>8.6</v>
      </c>
      <c r="I115" s="255">
        <v>23.5</v>
      </c>
      <c r="J115" s="255">
        <v>36.5</v>
      </c>
      <c r="K115" s="255">
        <v>12.9</v>
      </c>
      <c r="L115" s="255">
        <v>18.3</v>
      </c>
      <c r="M115" s="255">
        <v>70.3</v>
      </c>
      <c r="N115" s="255">
        <v>11.2</v>
      </c>
      <c r="O115" s="255">
        <v>25.1</v>
      </c>
      <c r="P115" s="255">
        <v>36.4</v>
      </c>
      <c r="Q115" s="255">
        <v>18.600000000000001</v>
      </c>
      <c r="R115" s="255">
        <v>7</v>
      </c>
      <c r="S115" s="255">
        <v>5.5</v>
      </c>
      <c r="T115" s="255">
        <v>10.9</v>
      </c>
      <c r="U115" s="255">
        <v>18.2</v>
      </c>
    </row>
    <row r="116" spans="1:21" ht="15.75" customHeight="1" thickBot="1" x14ac:dyDescent="0.3">
      <c r="A116" s="257">
        <v>115</v>
      </c>
      <c r="B116" s="259" t="s">
        <v>445</v>
      </c>
      <c r="C116" s="255">
        <v>31</v>
      </c>
      <c r="D116" s="255">
        <v>78.7</v>
      </c>
      <c r="E116" s="255">
        <v>26.7</v>
      </c>
      <c r="F116" s="255">
        <v>58.5</v>
      </c>
      <c r="G116" s="255">
        <v>45.6</v>
      </c>
      <c r="H116" s="255">
        <v>8.5</v>
      </c>
      <c r="I116" s="255">
        <v>23.1</v>
      </c>
      <c r="J116" s="255">
        <v>36.5</v>
      </c>
      <c r="K116" s="255">
        <v>16.899999999999999</v>
      </c>
      <c r="L116" s="255">
        <v>24</v>
      </c>
      <c r="M116" s="255">
        <v>70.2</v>
      </c>
      <c r="N116" s="255">
        <v>10</v>
      </c>
      <c r="O116" s="255">
        <v>25.2</v>
      </c>
      <c r="P116" s="255">
        <v>35.299999999999997</v>
      </c>
      <c r="Q116" s="255">
        <v>12.8</v>
      </c>
      <c r="R116" s="255">
        <v>5.6</v>
      </c>
      <c r="S116" s="255">
        <v>1.7</v>
      </c>
      <c r="T116" s="255">
        <v>10.199999999999999</v>
      </c>
      <c r="U116" s="255">
        <v>16.2</v>
      </c>
    </row>
    <row r="117" spans="1:21" ht="15.75" customHeight="1" thickBot="1" x14ac:dyDescent="0.3">
      <c r="A117" s="257">
        <v>116</v>
      </c>
      <c r="B117" s="259" t="s">
        <v>459</v>
      </c>
      <c r="C117" s="255">
        <v>30</v>
      </c>
      <c r="D117" s="255">
        <v>78.7</v>
      </c>
      <c r="E117" s="255">
        <v>27.4</v>
      </c>
      <c r="F117" s="255">
        <v>60.4</v>
      </c>
      <c r="G117" s="255">
        <v>45.4</v>
      </c>
      <c r="H117" s="255">
        <v>8.6</v>
      </c>
      <c r="I117" s="255">
        <v>23.8</v>
      </c>
      <c r="J117" s="255">
        <v>36.1</v>
      </c>
      <c r="K117" s="255">
        <v>15.2</v>
      </c>
      <c r="L117" s="255">
        <v>20.6</v>
      </c>
      <c r="M117" s="255">
        <v>73.8</v>
      </c>
      <c r="N117" s="255">
        <v>10.6</v>
      </c>
      <c r="O117" s="255">
        <v>23.9</v>
      </c>
      <c r="P117" s="255">
        <v>34.5</v>
      </c>
      <c r="Q117" s="255">
        <v>14.3</v>
      </c>
      <c r="R117" s="255">
        <v>6.4</v>
      </c>
      <c r="S117" s="255">
        <v>3.1</v>
      </c>
      <c r="T117" s="255">
        <v>10.4</v>
      </c>
      <c r="U117" s="255">
        <v>17</v>
      </c>
    </row>
    <row r="118" spans="1:21" ht="15.75" customHeight="1" thickBot="1" x14ac:dyDescent="0.3">
      <c r="A118" s="257">
        <v>117</v>
      </c>
      <c r="B118" s="259" t="s">
        <v>252</v>
      </c>
      <c r="C118" s="255">
        <v>31</v>
      </c>
      <c r="D118" s="255">
        <v>78.599999999999994</v>
      </c>
      <c r="E118" s="255">
        <v>27.5</v>
      </c>
      <c r="F118" s="255">
        <v>60.7</v>
      </c>
      <c r="G118" s="255">
        <v>45.3</v>
      </c>
      <c r="H118" s="255">
        <v>8.9</v>
      </c>
      <c r="I118" s="255">
        <v>26</v>
      </c>
      <c r="J118" s="255">
        <v>34.200000000000003</v>
      </c>
      <c r="K118" s="255">
        <v>14.7</v>
      </c>
      <c r="L118" s="255">
        <v>20.399999999999999</v>
      </c>
      <c r="M118" s="255">
        <v>72.2</v>
      </c>
      <c r="N118" s="255">
        <v>11.9</v>
      </c>
      <c r="O118" s="255">
        <v>23.5</v>
      </c>
      <c r="P118" s="255">
        <v>35.5</v>
      </c>
      <c r="Q118" s="255">
        <v>15</v>
      </c>
      <c r="R118" s="255">
        <v>6.9</v>
      </c>
      <c r="S118" s="255">
        <v>2.9</v>
      </c>
      <c r="T118" s="255">
        <v>10.5</v>
      </c>
      <c r="U118" s="255">
        <v>16.7</v>
      </c>
    </row>
    <row r="119" spans="1:21" ht="15.75" customHeight="1" thickBot="1" x14ac:dyDescent="0.3">
      <c r="A119" s="257">
        <v>118</v>
      </c>
      <c r="B119" s="259" t="s">
        <v>25</v>
      </c>
      <c r="C119" s="255">
        <v>30</v>
      </c>
      <c r="D119" s="255">
        <v>78.400000000000006</v>
      </c>
      <c r="E119" s="255">
        <v>27.9</v>
      </c>
      <c r="F119" s="255">
        <v>53.9</v>
      </c>
      <c r="G119" s="255">
        <v>51.7</v>
      </c>
      <c r="H119" s="255">
        <v>10.6</v>
      </c>
      <c r="I119" s="255">
        <v>26.2</v>
      </c>
      <c r="J119" s="255">
        <v>40.299999999999997</v>
      </c>
      <c r="K119" s="255">
        <v>12.1</v>
      </c>
      <c r="L119" s="255">
        <v>17.2</v>
      </c>
      <c r="M119" s="255">
        <v>70.3</v>
      </c>
      <c r="N119" s="255">
        <v>5.5</v>
      </c>
      <c r="O119" s="255">
        <v>23.6</v>
      </c>
      <c r="P119" s="255">
        <v>29</v>
      </c>
      <c r="Q119" s="255">
        <v>17.2</v>
      </c>
      <c r="R119" s="255">
        <v>6.4</v>
      </c>
      <c r="S119" s="255">
        <v>3.4</v>
      </c>
      <c r="T119" s="255">
        <v>8.9</v>
      </c>
      <c r="U119" s="255">
        <v>13.9</v>
      </c>
    </row>
    <row r="120" spans="1:21" ht="15.75" customHeight="1" thickBot="1" x14ac:dyDescent="0.3">
      <c r="A120" s="257">
        <v>119</v>
      </c>
      <c r="B120" s="259" t="s">
        <v>97</v>
      </c>
      <c r="C120" s="255">
        <v>31</v>
      </c>
      <c r="D120" s="255">
        <v>78.400000000000006</v>
      </c>
      <c r="E120" s="255">
        <v>26.7</v>
      </c>
      <c r="F120" s="255">
        <v>57.8</v>
      </c>
      <c r="G120" s="255">
        <v>46.2</v>
      </c>
      <c r="H120" s="255">
        <v>8.1999999999999993</v>
      </c>
      <c r="I120" s="255">
        <v>20.9</v>
      </c>
      <c r="J120" s="255">
        <v>39.1</v>
      </c>
      <c r="K120" s="255">
        <v>16.8</v>
      </c>
      <c r="L120" s="255">
        <v>20.9</v>
      </c>
      <c r="M120" s="255">
        <v>80.3</v>
      </c>
      <c r="N120" s="255">
        <v>12.5</v>
      </c>
      <c r="O120" s="255">
        <v>27.9</v>
      </c>
      <c r="P120" s="255">
        <v>40.4</v>
      </c>
      <c r="Q120" s="255">
        <v>15.5</v>
      </c>
      <c r="R120" s="255">
        <v>5.8</v>
      </c>
      <c r="S120" s="255">
        <v>3.6</v>
      </c>
      <c r="T120" s="255">
        <v>10.8</v>
      </c>
      <c r="U120" s="255">
        <v>15.6</v>
      </c>
    </row>
    <row r="121" spans="1:21" ht="15.75" customHeight="1" thickBot="1" x14ac:dyDescent="0.3">
      <c r="A121" s="257">
        <v>120</v>
      </c>
      <c r="B121" s="259" t="s">
        <v>476</v>
      </c>
      <c r="C121" s="255">
        <v>30</v>
      </c>
      <c r="D121" s="255">
        <v>78.400000000000006</v>
      </c>
      <c r="E121" s="255">
        <v>28.2</v>
      </c>
      <c r="F121" s="255">
        <v>63.4</v>
      </c>
      <c r="G121" s="255">
        <v>44.5</v>
      </c>
      <c r="H121" s="255">
        <v>9.4</v>
      </c>
      <c r="I121" s="255">
        <v>25.6</v>
      </c>
      <c r="J121" s="255">
        <v>36.700000000000003</v>
      </c>
      <c r="K121" s="255">
        <v>12.6</v>
      </c>
      <c r="L121" s="255">
        <v>17.399999999999999</v>
      </c>
      <c r="M121" s="255">
        <v>72.2</v>
      </c>
      <c r="N121" s="255">
        <v>10</v>
      </c>
      <c r="O121" s="255">
        <v>24.6</v>
      </c>
      <c r="P121" s="255">
        <v>34.700000000000003</v>
      </c>
      <c r="Q121" s="255">
        <v>17.7</v>
      </c>
      <c r="R121" s="255">
        <v>6.5</v>
      </c>
      <c r="S121" s="255">
        <v>4.0999999999999996</v>
      </c>
      <c r="T121" s="255">
        <v>10.1</v>
      </c>
      <c r="U121" s="255">
        <v>17.8</v>
      </c>
    </row>
    <row r="122" spans="1:21" ht="15.75" customHeight="1" thickBot="1" x14ac:dyDescent="0.3">
      <c r="A122" s="257">
        <v>121</v>
      </c>
      <c r="B122" s="259" t="s">
        <v>199</v>
      </c>
      <c r="C122" s="255">
        <v>30</v>
      </c>
      <c r="D122" s="255">
        <v>78.3</v>
      </c>
      <c r="E122" s="255">
        <v>25.8</v>
      </c>
      <c r="F122" s="255">
        <v>56.8</v>
      </c>
      <c r="G122" s="255">
        <v>45.3</v>
      </c>
      <c r="H122" s="255">
        <v>8.5</v>
      </c>
      <c r="I122" s="255">
        <v>24.5</v>
      </c>
      <c r="J122" s="255">
        <v>34.700000000000003</v>
      </c>
      <c r="K122" s="255">
        <v>18.3</v>
      </c>
      <c r="L122" s="255">
        <v>23.4</v>
      </c>
      <c r="M122" s="255">
        <v>78.3</v>
      </c>
      <c r="N122" s="255">
        <v>10.6</v>
      </c>
      <c r="O122" s="255">
        <v>25.3</v>
      </c>
      <c r="P122" s="255">
        <v>35.9</v>
      </c>
      <c r="Q122" s="255">
        <v>13.4</v>
      </c>
      <c r="R122" s="255">
        <v>4.5999999999999996</v>
      </c>
      <c r="S122" s="255">
        <v>2.2999999999999998</v>
      </c>
      <c r="T122" s="255">
        <v>11.7</v>
      </c>
      <c r="U122" s="255">
        <v>17.100000000000001</v>
      </c>
    </row>
    <row r="123" spans="1:21" ht="15.75" customHeight="1" thickBot="1" x14ac:dyDescent="0.3">
      <c r="A123" s="257">
        <v>122</v>
      </c>
      <c r="B123" s="259" t="s">
        <v>207</v>
      </c>
      <c r="C123" s="255">
        <v>30</v>
      </c>
      <c r="D123" s="255">
        <v>78.3</v>
      </c>
      <c r="E123" s="255">
        <v>26.1</v>
      </c>
      <c r="F123" s="255">
        <v>55.4</v>
      </c>
      <c r="G123" s="255">
        <v>47.1</v>
      </c>
      <c r="H123" s="255">
        <v>9.6</v>
      </c>
      <c r="I123" s="255">
        <v>25.1</v>
      </c>
      <c r="J123" s="255">
        <v>38.200000000000003</v>
      </c>
      <c r="K123" s="255">
        <v>16.600000000000001</v>
      </c>
      <c r="L123" s="255">
        <v>22.3</v>
      </c>
      <c r="M123" s="255">
        <v>74.2</v>
      </c>
      <c r="N123" s="255">
        <v>9.1</v>
      </c>
      <c r="O123" s="255">
        <v>22.6</v>
      </c>
      <c r="P123" s="255">
        <v>31.7</v>
      </c>
      <c r="Q123" s="255">
        <v>14.7</v>
      </c>
      <c r="R123" s="255">
        <v>7.7</v>
      </c>
      <c r="S123" s="255">
        <v>2.8</v>
      </c>
      <c r="T123" s="255">
        <v>10.8</v>
      </c>
      <c r="U123" s="255">
        <v>16.3</v>
      </c>
    </row>
    <row r="124" spans="1:21" ht="15.75" customHeight="1" thickBot="1" x14ac:dyDescent="0.3">
      <c r="A124" s="257">
        <v>123</v>
      </c>
      <c r="B124" s="259" t="s">
        <v>440</v>
      </c>
      <c r="C124" s="255">
        <v>30</v>
      </c>
      <c r="D124" s="255">
        <v>78.2</v>
      </c>
      <c r="E124" s="255">
        <v>26.4</v>
      </c>
      <c r="F124" s="255">
        <v>56.1</v>
      </c>
      <c r="G124" s="255">
        <v>47.1</v>
      </c>
      <c r="H124" s="255">
        <v>9.1</v>
      </c>
      <c r="I124" s="255">
        <v>24.1</v>
      </c>
      <c r="J124" s="255">
        <v>38</v>
      </c>
      <c r="K124" s="255">
        <v>16.2</v>
      </c>
      <c r="L124" s="255">
        <v>21.4</v>
      </c>
      <c r="M124" s="255">
        <v>75.900000000000006</v>
      </c>
      <c r="N124" s="255">
        <v>10.6</v>
      </c>
      <c r="O124" s="255">
        <v>24.4</v>
      </c>
      <c r="P124" s="255">
        <v>35</v>
      </c>
      <c r="Q124" s="255">
        <v>14.6</v>
      </c>
      <c r="R124" s="255">
        <v>6.5</v>
      </c>
      <c r="S124" s="255">
        <v>2.4</v>
      </c>
      <c r="T124" s="255">
        <v>12.7</v>
      </c>
      <c r="U124" s="255">
        <v>18.8</v>
      </c>
    </row>
    <row r="125" spans="1:21" ht="15.75" customHeight="1" thickBot="1" x14ac:dyDescent="0.3">
      <c r="A125" s="257">
        <v>124</v>
      </c>
      <c r="B125" s="259" t="s">
        <v>40</v>
      </c>
      <c r="C125" s="255">
        <v>31</v>
      </c>
      <c r="D125" s="255">
        <v>78.2</v>
      </c>
      <c r="E125" s="255">
        <v>28</v>
      </c>
      <c r="F125" s="255">
        <v>57.6</v>
      </c>
      <c r="G125" s="255">
        <v>48.7</v>
      </c>
      <c r="H125" s="255">
        <v>7.5</v>
      </c>
      <c r="I125" s="255">
        <v>21.7</v>
      </c>
      <c r="J125" s="255">
        <v>34.4</v>
      </c>
      <c r="K125" s="255">
        <v>14.7</v>
      </c>
      <c r="L125" s="255">
        <v>19.399999999999999</v>
      </c>
      <c r="M125" s="255">
        <v>76</v>
      </c>
      <c r="N125" s="255">
        <v>9.5</v>
      </c>
      <c r="O125" s="255">
        <v>24.8</v>
      </c>
      <c r="P125" s="255">
        <v>34.299999999999997</v>
      </c>
      <c r="Q125" s="255">
        <v>14.5</v>
      </c>
      <c r="R125" s="255">
        <v>8.8000000000000007</v>
      </c>
      <c r="S125" s="255">
        <v>3.4</v>
      </c>
      <c r="T125" s="255">
        <v>10.199999999999999</v>
      </c>
      <c r="U125" s="255">
        <v>16.600000000000001</v>
      </c>
    </row>
    <row r="126" spans="1:21" ht="15.75" customHeight="1" thickBot="1" x14ac:dyDescent="0.3">
      <c r="A126" s="257">
        <v>125</v>
      </c>
      <c r="B126" s="259" t="s">
        <v>251</v>
      </c>
      <c r="C126" s="255">
        <v>31</v>
      </c>
      <c r="D126" s="255">
        <v>78.2</v>
      </c>
      <c r="E126" s="255">
        <v>27.8</v>
      </c>
      <c r="F126" s="255">
        <v>58.1</v>
      </c>
      <c r="G126" s="255">
        <v>47.9</v>
      </c>
      <c r="H126" s="255">
        <v>7.3</v>
      </c>
      <c r="I126" s="255">
        <v>20.2</v>
      </c>
      <c r="J126" s="255">
        <v>36.299999999999997</v>
      </c>
      <c r="K126" s="255">
        <v>15.2</v>
      </c>
      <c r="L126" s="255">
        <v>20.3</v>
      </c>
      <c r="M126" s="255">
        <v>74.900000000000006</v>
      </c>
      <c r="N126" s="255">
        <v>10.199999999999999</v>
      </c>
      <c r="O126" s="255">
        <v>22</v>
      </c>
      <c r="P126" s="255">
        <v>32.200000000000003</v>
      </c>
      <c r="Q126" s="255">
        <v>13.5</v>
      </c>
      <c r="R126" s="255">
        <v>6.2</v>
      </c>
      <c r="S126" s="255">
        <v>3.5</v>
      </c>
      <c r="T126" s="255">
        <v>12.4</v>
      </c>
      <c r="U126" s="255">
        <v>17.899999999999999</v>
      </c>
    </row>
    <row r="127" spans="1:21" ht="15.75" customHeight="1" thickBot="1" x14ac:dyDescent="0.3">
      <c r="A127" s="257">
        <v>126</v>
      </c>
      <c r="B127" s="259" t="s">
        <v>437</v>
      </c>
      <c r="C127" s="255">
        <v>30</v>
      </c>
      <c r="D127" s="255">
        <v>78.099999999999994</v>
      </c>
      <c r="E127" s="255">
        <v>25.8</v>
      </c>
      <c r="F127" s="255">
        <v>57.2</v>
      </c>
      <c r="G127" s="255">
        <v>45</v>
      </c>
      <c r="H127" s="255">
        <v>8.6</v>
      </c>
      <c r="I127" s="255">
        <v>24.4</v>
      </c>
      <c r="J127" s="255">
        <v>35.200000000000003</v>
      </c>
      <c r="K127" s="255">
        <v>18</v>
      </c>
      <c r="L127" s="255">
        <v>24</v>
      </c>
      <c r="M127" s="255">
        <v>75.099999999999994</v>
      </c>
      <c r="N127" s="255">
        <v>9.6</v>
      </c>
      <c r="O127" s="255">
        <v>24</v>
      </c>
      <c r="P127" s="255">
        <v>33.6</v>
      </c>
      <c r="Q127" s="255">
        <v>15.7</v>
      </c>
      <c r="R127" s="255">
        <v>7.9</v>
      </c>
      <c r="S127" s="255">
        <v>2.8</v>
      </c>
      <c r="T127" s="255">
        <v>12.9</v>
      </c>
      <c r="U127" s="255">
        <v>18.5</v>
      </c>
    </row>
    <row r="128" spans="1:21" ht="15.75" customHeight="1" thickBot="1" x14ac:dyDescent="0.3">
      <c r="A128" s="257">
        <v>127</v>
      </c>
      <c r="B128" s="259" t="s">
        <v>92</v>
      </c>
      <c r="C128" s="255">
        <v>30</v>
      </c>
      <c r="D128" s="255">
        <v>78.099999999999994</v>
      </c>
      <c r="E128" s="255">
        <v>27</v>
      </c>
      <c r="F128" s="255">
        <v>60.3</v>
      </c>
      <c r="G128" s="255">
        <v>44.8</v>
      </c>
      <c r="H128" s="255">
        <v>7.4</v>
      </c>
      <c r="I128" s="255">
        <v>22.2</v>
      </c>
      <c r="J128" s="255">
        <v>33.1</v>
      </c>
      <c r="K128" s="255">
        <v>16.7</v>
      </c>
      <c r="L128" s="255">
        <v>23.6</v>
      </c>
      <c r="M128" s="255">
        <v>70.599999999999994</v>
      </c>
      <c r="N128" s="255">
        <v>12.3</v>
      </c>
      <c r="O128" s="255">
        <v>23.9</v>
      </c>
      <c r="P128" s="255">
        <v>36.200000000000003</v>
      </c>
      <c r="Q128" s="255">
        <v>15.6</v>
      </c>
      <c r="R128" s="255">
        <v>8</v>
      </c>
      <c r="S128" s="255">
        <v>4.5999999999999996</v>
      </c>
      <c r="T128" s="255">
        <v>11.1</v>
      </c>
      <c r="U128" s="255">
        <v>16.399999999999999</v>
      </c>
    </row>
    <row r="129" spans="1:21" ht="15.75" customHeight="1" thickBot="1" x14ac:dyDescent="0.3">
      <c r="A129" s="257">
        <v>128</v>
      </c>
      <c r="B129" s="259" t="s">
        <v>379</v>
      </c>
      <c r="C129" s="255">
        <v>32</v>
      </c>
      <c r="D129" s="255">
        <v>78.099999999999994</v>
      </c>
      <c r="E129" s="255">
        <v>28</v>
      </c>
      <c r="F129" s="255">
        <v>60</v>
      </c>
      <c r="G129" s="255">
        <v>46.6</v>
      </c>
      <c r="H129" s="255">
        <v>9.4</v>
      </c>
      <c r="I129" s="255">
        <v>26.7</v>
      </c>
      <c r="J129" s="255">
        <v>35.200000000000003</v>
      </c>
      <c r="K129" s="255">
        <v>12.8</v>
      </c>
      <c r="L129" s="255">
        <v>18</v>
      </c>
      <c r="M129" s="255">
        <v>71.099999999999994</v>
      </c>
      <c r="N129" s="255">
        <v>8</v>
      </c>
      <c r="O129" s="255">
        <v>22.3</v>
      </c>
      <c r="P129" s="255">
        <v>30.3</v>
      </c>
      <c r="Q129" s="255">
        <v>13.8</v>
      </c>
      <c r="R129" s="255">
        <v>8.5</v>
      </c>
      <c r="S129" s="255">
        <v>3.2</v>
      </c>
      <c r="T129" s="255">
        <v>9.9</v>
      </c>
      <c r="U129" s="255">
        <v>15.6</v>
      </c>
    </row>
    <row r="130" spans="1:21" ht="15.75" customHeight="1" thickBot="1" x14ac:dyDescent="0.3">
      <c r="A130" s="257">
        <v>129</v>
      </c>
      <c r="B130" s="259" t="s">
        <v>330</v>
      </c>
      <c r="C130" s="255">
        <v>31</v>
      </c>
      <c r="D130" s="255">
        <v>78</v>
      </c>
      <c r="E130" s="255">
        <v>27.4</v>
      </c>
      <c r="F130" s="255">
        <v>58.6</v>
      </c>
      <c r="G130" s="255">
        <v>46.7</v>
      </c>
      <c r="H130" s="255">
        <v>9.9</v>
      </c>
      <c r="I130" s="255">
        <v>26.8</v>
      </c>
      <c r="J130" s="255">
        <v>36.9</v>
      </c>
      <c r="K130" s="255">
        <v>13.4</v>
      </c>
      <c r="L130" s="255">
        <v>17.899999999999999</v>
      </c>
      <c r="M130" s="255">
        <v>74.8</v>
      </c>
      <c r="N130" s="255">
        <v>9.4</v>
      </c>
      <c r="O130" s="255">
        <v>23.8</v>
      </c>
      <c r="P130" s="255">
        <v>33.200000000000003</v>
      </c>
      <c r="Q130" s="255">
        <v>11.4</v>
      </c>
      <c r="R130" s="255">
        <v>6.9</v>
      </c>
      <c r="S130" s="255">
        <v>2.9</v>
      </c>
      <c r="T130" s="255">
        <v>10.1</v>
      </c>
      <c r="U130" s="255">
        <v>15.6</v>
      </c>
    </row>
    <row r="131" spans="1:21" ht="15.75" customHeight="1" thickBot="1" x14ac:dyDescent="0.3">
      <c r="A131" s="257">
        <v>130</v>
      </c>
      <c r="B131" s="259" t="s">
        <v>242</v>
      </c>
      <c r="C131" s="255">
        <v>30</v>
      </c>
      <c r="D131" s="255">
        <v>77.900000000000006</v>
      </c>
      <c r="E131" s="255">
        <v>27.5</v>
      </c>
      <c r="F131" s="255">
        <v>61.3</v>
      </c>
      <c r="G131" s="255">
        <v>44.8</v>
      </c>
      <c r="H131" s="255">
        <v>6.7</v>
      </c>
      <c r="I131" s="255">
        <v>19.3</v>
      </c>
      <c r="J131" s="255">
        <v>34.799999999999997</v>
      </c>
      <c r="K131" s="255">
        <v>16.2</v>
      </c>
      <c r="L131" s="255">
        <v>21</v>
      </c>
      <c r="M131" s="255">
        <v>77.2</v>
      </c>
      <c r="N131" s="255">
        <v>12.2</v>
      </c>
      <c r="O131" s="255">
        <v>25.5</v>
      </c>
      <c r="P131" s="255">
        <v>37.700000000000003</v>
      </c>
      <c r="Q131" s="255">
        <v>13.2</v>
      </c>
      <c r="R131" s="255">
        <v>5.9</v>
      </c>
      <c r="S131" s="255">
        <v>3.3</v>
      </c>
      <c r="T131" s="255">
        <v>11.4</v>
      </c>
      <c r="U131" s="255">
        <v>19.399999999999999</v>
      </c>
    </row>
    <row r="132" spans="1:21" ht="15.75" customHeight="1" thickBot="1" x14ac:dyDescent="0.3">
      <c r="A132" s="257">
        <v>130</v>
      </c>
      <c r="B132" s="259" t="s">
        <v>471</v>
      </c>
      <c r="C132" s="255">
        <v>30</v>
      </c>
      <c r="D132" s="255">
        <v>77.900000000000006</v>
      </c>
      <c r="E132" s="255">
        <v>27.5</v>
      </c>
      <c r="F132" s="255">
        <v>62.2</v>
      </c>
      <c r="G132" s="255">
        <v>44.2</v>
      </c>
      <c r="H132" s="255">
        <v>7.2</v>
      </c>
      <c r="I132" s="255">
        <v>21.4</v>
      </c>
      <c r="J132" s="255">
        <v>33.799999999999997</v>
      </c>
      <c r="K132" s="255">
        <v>15.7</v>
      </c>
      <c r="L132" s="255">
        <v>22.9</v>
      </c>
      <c r="M132" s="255">
        <v>68.7</v>
      </c>
      <c r="N132" s="255">
        <v>14.9</v>
      </c>
      <c r="O132" s="255">
        <v>26.3</v>
      </c>
      <c r="P132" s="255">
        <v>41.2</v>
      </c>
      <c r="Q132" s="255">
        <v>11.5</v>
      </c>
      <c r="R132" s="255">
        <v>5.9</v>
      </c>
      <c r="S132" s="255">
        <v>4</v>
      </c>
      <c r="T132" s="255">
        <v>10.3</v>
      </c>
      <c r="U132" s="255">
        <v>17.600000000000001</v>
      </c>
    </row>
    <row r="133" spans="1:21" ht="15.75" customHeight="1" thickBot="1" x14ac:dyDescent="0.3">
      <c r="A133" s="257">
        <v>132</v>
      </c>
      <c r="B133" s="259" t="s">
        <v>258</v>
      </c>
      <c r="C133" s="255">
        <v>32</v>
      </c>
      <c r="D133" s="255">
        <v>77.8</v>
      </c>
      <c r="E133" s="255">
        <v>28.3</v>
      </c>
      <c r="F133" s="255">
        <v>62.4</v>
      </c>
      <c r="G133" s="255">
        <v>45.4</v>
      </c>
      <c r="H133" s="255">
        <v>8.1</v>
      </c>
      <c r="I133" s="255">
        <v>24.3</v>
      </c>
      <c r="J133" s="255">
        <v>33.1</v>
      </c>
      <c r="K133" s="255">
        <v>13.1</v>
      </c>
      <c r="L133" s="255">
        <v>18.3</v>
      </c>
      <c r="M133" s="255">
        <v>71.7</v>
      </c>
      <c r="N133" s="255">
        <v>11.9</v>
      </c>
      <c r="O133" s="255">
        <v>24.7</v>
      </c>
      <c r="P133" s="255">
        <v>36.700000000000003</v>
      </c>
      <c r="Q133" s="255">
        <v>14.9</v>
      </c>
      <c r="R133" s="255">
        <v>7.6</v>
      </c>
      <c r="S133" s="255">
        <v>3.7</v>
      </c>
      <c r="T133" s="255">
        <v>11</v>
      </c>
      <c r="U133" s="255">
        <v>18.7</v>
      </c>
    </row>
    <row r="134" spans="1:21" ht="15.75" customHeight="1" thickBot="1" x14ac:dyDescent="0.3">
      <c r="A134" s="257">
        <v>132</v>
      </c>
      <c r="B134" s="259" t="s">
        <v>387</v>
      </c>
      <c r="C134" s="255">
        <v>32</v>
      </c>
      <c r="D134" s="255">
        <v>77.8</v>
      </c>
      <c r="E134" s="255">
        <v>28.6</v>
      </c>
      <c r="F134" s="255">
        <v>60.4</v>
      </c>
      <c r="G134" s="255">
        <v>47.4</v>
      </c>
      <c r="H134" s="255">
        <v>9.1</v>
      </c>
      <c r="I134" s="255">
        <v>24.2</v>
      </c>
      <c r="J134" s="255">
        <v>37.700000000000003</v>
      </c>
      <c r="K134" s="255">
        <v>11.5</v>
      </c>
      <c r="L134" s="255">
        <v>16.5</v>
      </c>
      <c r="M134" s="255">
        <v>69.599999999999994</v>
      </c>
      <c r="N134" s="255">
        <v>13.2</v>
      </c>
      <c r="O134" s="255">
        <v>24.7</v>
      </c>
      <c r="P134" s="255">
        <v>37.799999999999997</v>
      </c>
      <c r="Q134" s="255">
        <v>17.8</v>
      </c>
      <c r="R134" s="255">
        <v>5.8</v>
      </c>
      <c r="S134" s="255">
        <v>2.6</v>
      </c>
      <c r="T134" s="255">
        <v>12.5</v>
      </c>
      <c r="U134" s="255">
        <v>18.100000000000001</v>
      </c>
    </row>
    <row r="135" spans="1:21" ht="15.75" customHeight="1" thickBot="1" x14ac:dyDescent="0.3">
      <c r="A135" s="257">
        <v>134</v>
      </c>
      <c r="B135" s="259" t="s">
        <v>300</v>
      </c>
      <c r="C135" s="255">
        <v>33</v>
      </c>
      <c r="D135" s="255">
        <v>77.8</v>
      </c>
      <c r="E135" s="255">
        <v>28.1</v>
      </c>
      <c r="F135" s="255">
        <v>62</v>
      </c>
      <c r="G135" s="255">
        <v>45.3</v>
      </c>
      <c r="H135" s="255">
        <v>5.9</v>
      </c>
      <c r="I135" s="255">
        <v>19.100000000000001</v>
      </c>
      <c r="J135" s="255">
        <v>30.8</v>
      </c>
      <c r="K135" s="255">
        <v>15.6</v>
      </c>
      <c r="L135" s="255">
        <v>23</v>
      </c>
      <c r="M135" s="255">
        <v>68</v>
      </c>
      <c r="N135" s="255">
        <v>12.8</v>
      </c>
      <c r="O135" s="255">
        <v>26.5</v>
      </c>
      <c r="P135" s="255">
        <v>39.200000000000003</v>
      </c>
      <c r="Q135" s="255">
        <v>14.5</v>
      </c>
      <c r="R135" s="255">
        <v>8.9</v>
      </c>
      <c r="S135" s="255">
        <v>4.5</v>
      </c>
      <c r="T135" s="255">
        <v>13.5</v>
      </c>
      <c r="U135" s="255">
        <v>17.100000000000001</v>
      </c>
    </row>
    <row r="136" spans="1:21" ht="15.75" customHeight="1" thickBot="1" x14ac:dyDescent="0.3">
      <c r="A136" s="257">
        <v>135</v>
      </c>
      <c r="B136" s="259" t="s">
        <v>76</v>
      </c>
      <c r="C136" s="255">
        <v>30</v>
      </c>
      <c r="D136" s="255">
        <v>77.7</v>
      </c>
      <c r="E136" s="255">
        <v>27.6</v>
      </c>
      <c r="F136" s="255">
        <v>59.1</v>
      </c>
      <c r="G136" s="255">
        <v>46.6</v>
      </c>
      <c r="H136" s="255">
        <v>10.6</v>
      </c>
      <c r="I136" s="255">
        <v>29.9</v>
      </c>
      <c r="J136" s="255">
        <v>35.299999999999997</v>
      </c>
      <c r="K136" s="255">
        <v>12</v>
      </c>
      <c r="L136" s="255">
        <v>15.9</v>
      </c>
      <c r="M136" s="255">
        <v>75.599999999999994</v>
      </c>
      <c r="N136" s="255">
        <v>8.9</v>
      </c>
      <c r="O136" s="255">
        <v>26.4</v>
      </c>
      <c r="P136" s="255">
        <v>35.299999999999997</v>
      </c>
      <c r="Q136" s="255">
        <v>18.100000000000001</v>
      </c>
      <c r="R136" s="255">
        <v>7.2</v>
      </c>
      <c r="S136" s="255">
        <v>2.7</v>
      </c>
      <c r="T136" s="255">
        <v>9.6999999999999993</v>
      </c>
      <c r="U136" s="255">
        <v>14.4</v>
      </c>
    </row>
    <row r="137" spans="1:21" ht="15.75" customHeight="1" thickBot="1" x14ac:dyDescent="0.3">
      <c r="A137" s="257">
        <v>136</v>
      </c>
      <c r="B137" s="259" t="s">
        <v>12</v>
      </c>
      <c r="C137" s="255">
        <v>31</v>
      </c>
      <c r="D137" s="255">
        <v>77.7</v>
      </c>
      <c r="E137" s="255">
        <v>26.4</v>
      </c>
      <c r="F137" s="255">
        <v>57.1</v>
      </c>
      <c r="G137" s="255">
        <v>46.2</v>
      </c>
      <c r="H137" s="255">
        <v>6.8</v>
      </c>
      <c r="I137" s="255">
        <v>19.399999999999999</v>
      </c>
      <c r="J137" s="255">
        <v>35</v>
      </c>
      <c r="K137" s="255">
        <v>18.100000000000001</v>
      </c>
      <c r="L137" s="255">
        <v>24.8</v>
      </c>
      <c r="M137" s="255">
        <v>72.900000000000006</v>
      </c>
      <c r="N137" s="255">
        <v>12.3</v>
      </c>
      <c r="O137" s="255">
        <v>24.2</v>
      </c>
      <c r="P137" s="255">
        <v>36.5</v>
      </c>
      <c r="Q137" s="255">
        <v>16.5</v>
      </c>
      <c r="R137" s="255">
        <v>8.6</v>
      </c>
      <c r="S137" s="255">
        <v>3.6</v>
      </c>
      <c r="T137" s="255">
        <v>13.6</v>
      </c>
      <c r="U137" s="255">
        <v>19.399999999999999</v>
      </c>
    </row>
    <row r="138" spans="1:21" ht="15.75" customHeight="1" thickBot="1" x14ac:dyDescent="0.3">
      <c r="A138" s="257">
        <v>137</v>
      </c>
      <c r="B138" s="259" t="s">
        <v>214</v>
      </c>
      <c r="C138" s="255">
        <v>30</v>
      </c>
      <c r="D138" s="255">
        <v>77.7</v>
      </c>
      <c r="E138" s="255">
        <v>25.9</v>
      </c>
      <c r="F138" s="255">
        <v>58.4</v>
      </c>
      <c r="G138" s="255">
        <v>44.4</v>
      </c>
      <c r="H138" s="255">
        <v>8.9</v>
      </c>
      <c r="I138" s="255">
        <v>24.7</v>
      </c>
      <c r="J138" s="255">
        <v>36.200000000000003</v>
      </c>
      <c r="K138" s="255">
        <v>16.899999999999999</v>
      </c>
      <c r="L138" s="255">
        <v>21.7</v>
      </c>
      <c r="M138" s="255">
        <v>78.2</v>
      </c>
      <c r="N138" s="255">
        <v>9</v>
      </c>
      <c r="O138" s="255">
        <v>25.8</v>
      </c>
      <c r="P138" s="255">
        <v>34.799999999999997</v>
      </c>
      <c r="Q138" s="255">
        <v>14</v>
      </c>
      <c r="R138" s="255">
        <v>6</v>
      </c>
      <c r="S138" s="255">
        <v>3.2</v>
      </c>
      <c r="T138" s="255">
        <v>10.4</v>
      </c>
      <c r="U138" s="255">
        <v>18.7</v>
      </c>
    </row>
    <row r="139" spans="1:21" ht="15.75" customHeight="1" thickBot="1" x14ac:dyDescent="0.3">
      <c r="A139" s="257">
        <v>138</v>
      </c>
      <c r="B139" s="259" t="s">
        <v>190</v>
      </c>
      <c r="C139" s="255">
        <v>30</v>
      </c>
      <c r="D139" s="255">
        <v>77.599999999999994</v>
      </c>
      <c r="E139" s="255">
        <v>26.2</v>
      </c>
      <c r="F139" s="255">
        <v>58.8</v>
      </c>
      <c r="G139" s="255">
        <v>44.6</v>
      </c>
      <c r="H139" s="255">
        <v>7.6</v>
      </c>
      <c r="I139" s="255">
        <v>22.3</v>
      </c>
      <c r="J139" s="255">
        <v>34.200000000000003</v>
      </c>
      <c r="K139" s="255">
        <v>17.5</v>
      </c>
      <c r="L139" s="255">
        <v>23.3</v>
      </c>
      <c r="M139" s="255">
        <v>75.400000000000006</v>
      </c>
      <c r="N139" s="255">
        <v>10.5</v>
      </c>
      <c r="O139" s="255">
        <v>22.9</v>
      </c>
      <c r="P139" s="255">
        <v>33.4</v>
      </c>
      <c r="Q139" s="255">
        <v>14.1</v>
      </c>
      <c r="R139" s="255">
        <v>7.1</v>
      </c>
      <c r="S139" s="255">
        <v>4.7</v>
      </c>
      <c r="T139" s="255">
        <v>11.2</v>
      </c>
      <c r="U139" s="255">
        <v>17.3</v>
      </c>
    </row>
    <row r="140" spans="1:21" ht="15.75" customHeight="1" thickBot="1" x14ac:dyDescent="0.3">
      <c r="A140" s="257">
        <v>139</v>
      </c>
      <c r="B140" s="259" t="s">
        <v>37</v>
      </c>
      <c r="C140" s="255">
        <v>30</v>
      </c>
      <c r="D140" s="255">
        <v>77.599999999999994</v>
      </c>
      <c r="E140" s="255">
        <v>27.4</v>
      </c>
      <c r="F140" s="255">
        <v>58.5</v>
      </c>
      <c r="G140" s="255">
        <v>46.9</v>
      </c>
      <c r="H140" s="255">
        <v>7.9</v>
      </c>
      <c r="I140" s="255">
        <v>20.8</v>
      </c>
      <c r="J140" s="255">
        <v>37.799999999999997</v>
      </c>
      <c r="K140" s="255">
        <v>14.9</v>
      </c>
      <c r="L140" s="255">
        <v>19.5</v>
      </c>
      <c r="M140" s="255">
        <v>76.599999999999994</v>
      </c>
      <c r="N140" s="255">
        <v>10</v>
      </c>
      <c r="O140" s="255">
        <v>22.3</v>
      </c>
      <c r="P140" s="255">
        <v>32.299999999999997</v>
      </c>
      <c r="Q140" s="255">
        <v>16</v>
      </c>
      <c r="R140" s="255">
        <v>6.4</v>
      </c>
      <c r="S140" s="255">
        <v>3</v>
      </c>
      <c r="T140" s="255">
        <v>9.1</v>
      </c>
      <c r="U140" s="255">
        <v>17.399999999999999</v>
      </c>
    </row>
    <row r="141" spans="1:21" ht="15.75" customHeight="1" thickBot="1" x14ac:dyDescent="0.3">
      <c r="A141" s="257">
        <v>140</v>
      </c>
      <c r="B141" s="259" t="s">
        <v>325</v>
      </c>
      <c r="C141" s="255">
        <v>30</v>
      </c>
      <c r="D141" s="255">
        <v>77.599999999999994</v>
      </c>
      <c r="E141" s="255">
        <v>28.1</v>
      </c>
      <c r="F141" s="255">
        <v>62.9</v>
      </c>
      <c r="G141" s="255">
        <v>44.7</v>
      </c>
      <c r="H141" s="255">
        <v>8.1999999999999993</v>
      </c>
      <c r="I141" s="255">
        <v>25.4</v>
      </c>
      <c r="J141" s="255">
        <v>32.4</v>
      </c>
      <c r="K141" s="255">
        <v>13.1</v>
      </c>
      <c r="L141" s="255">
        <v>19.7</v>
      </c>
      <c r="M141" s="255">
        <v>66.400000000000006</v>
      </c>
      <c r="N141" s="255">
        <v>11.5</v>
      </c>
      <c r="O141" s="255">
        <v>26.9</v>
      </c>
      <c r="P141" s="255">
        <v>38.4</v>
      </c>
      <c r="Q141" s="255">
        <v>12.8</v>
      </c>
      <c r="R141" s="255">
        <v>5.8</v>
      </c>
      <c r="S141" s="255">
        <v>4.4000000000000004</v>
      </c>
      <c r="T141" s="255">
        <v>11.5</v>
      </c>
      <c r="U141" s="255">
        <v>16.100000000000001</v>
      </c>
    </row>
    <row r="142" spans="1:21" ht="15.75" customHeight="1" thickBot="1" x14ac:dyDescent="0.3">
      <c r="A142" s="257">
        <v>141</v>
      </c>
      <c r="B142" s="259" t="s">
        <v>304</v>
      </c>
      <c r="C142" s="255">
        <v>31</v>
      </c>
      <c r="D142" s="255">
        <v>77.5</v>
      </c>
      <c r="E142" s="255">
        <v>26.9</v>
      </c>
      <c r="F142" s="255">
        <v>58.3</v>
      </c>
      <c r="G142" s="255">
        <v>46.2</v>
      </c>
      <c r="H142" s="255">
        <v>6.3</v>
      </c>
      <c r="I142" s="255">
        <v>19.5</v>
      </c>
      <c r="J142" s="255">
        <v>32.1</v>
      </c>
      <c r="K142" s="255">
        <v>17.5</v>
      </c>
      <c r="L142" s="255">
        <v>23.5</v>
      </c>
      <c r="M142" s="255">
        <v>74.3</v>
      </c>
      <c r="N142" s="255">
        <v>12</v>
      </c>
      <c r="O142" s="255">
        <v>24.9</v>
      </c>
      <c r="P142" s="255">
        <v>36.9</v>
      </c>
      <c r="Q142" s="255">
        <v>12.8</v>
      </c>
      <c r="R142" s="255">
        <v>8.6999999999999993</v>
      </c>
      <c r="S142" s="255">
        <v>2.4</v>
      </c>
      <c r="T142" s="255">
        <v>14</v>
      </c>
      <c r="U142" s="255">
        <v>19.3</v>
      </c>
    </row>
    <row r="143" spans="1:21" ht="15.75" customHeight="1" thickBot="1" x14ac:dyDescent="0.3">
      <c r="A143" s="257">
        <v>142</v>
      </c>
      <c r="B143" s="259" t="s">
        <v>80</v>
      </c>
      <c r="C143" s="255">
        <v>30</v>
      </c>
      <c r="D143" s="255">
        <v>77.5</v>
      </c>
      <c r="E143" s="255">
        <v>27.9</v>
      </c>
      <c r="F143" s="255">
        <v>62</v>
      </c>
      <c r="G143" s="255">
        <v>44.9</v>
      </c>
      <c r="H143" s="255">
        <v>8.8000000000000007</v>
      </c>
      <c r="I143" s="255">
        <v>25.7</v>
      </c>
      <c r="J143" s="255">
        <v>34.200000000000003</v>
      </c>
      <c r="K143" s="255">
        <v>13</v>
      </c>
      <c r="L143" s="255">
        <v>16.7</v>
      </c>
      <c r="M143" s="255">
        <v>77.5</v>
      </c>
      <c r="N143" s="255">
        <v>13</v>
      </c>
      <c r="O143" s="255">
        <v>23.6</v>
      </c>
      <c r="P143" s="255">
        <v>36.6</v>
      </c>
      <c r="Q143" s="255">
        <v>14.9</v>
      </c>
      <c r="R143" s="255">
        <v>7.9</v>
      </c>
      <c r="S143" s="255">
        <v>3.8</v>
      </c>
      <c r="T143" s="255">
        <v>8.3000000000000007</v>
      </c>
      <c r="U143" s="255">
        <v>18.100000000000001</v>
      </c>
    </row>
    <row r="144" spans="1:21" ht="15.75" customHeight="1" thickBot="1" x14ac:dyDescent="0.3">
      <c r="A144" s="257">
        <v>143</v>
      </c>
      <c r="B144" s="259" t="s">
        <v>203</v>
      </c>
      <c r="C144" s="255">
        <v>31</v>
      </c>
      <c r="D144" s="255">
        <v>77.5</v>
      </c>
      <c r="E144" s="255">
        <v>26.3</v>
      </c>
      <c r="F144" s="255">
        <v>59.9</v>
      </c>
      <c r="G144" s="255">
        <v>43.9</v>
      </c>
      <c r="H144" s="255">
        <v>8.8000000000000007</v>
      </c>
      <c r="I144" s="255">
        <v>24.6</v>
      </c>
      <c r="J144" s="255">
        <v>35.9</v>
      </c>
      <c r="K144" s="255">
        <v>16</v>
      </c>
      <c r="L144" s="255">
        <v>21.9</v>
      </c>
      <c r="M144" s="255">
        <v>72.900000000000006</v>
      </c>
      <c r="N144" s="255">
        <v>10.199999999999999</v>
      </c>
      <c r="O144" s="255">
        <v>24.4</v>
      </c>
      <c r="P144" s="255">
        <v>34.6</v>
      </c>
      <c r="Q144" s="255">
        <v>13.2</v>
      </c>
      <c r="R144" s="255">
        <v>7.9</v>
      </c>
      <c r="S144" s="255">
        <v>3.2</v>
      </c>
      <c r="T144" s="255">
        <v>9.6999999999999993</v>
      </c>
      <c r="U144" s="255">
        <v>18.7</v>
      </c>
    </row>
    <row r="145" spans="1:21" ht="15.75" customHeight="1" thickBot="1" x14ac:dyDescent="0.3">
      <c r="A145" s="257">
        <v>143</v>
      </c>
      <c r="B145" s="259" t="s">
        <v>28</v>
      </c>
      <c r="C145" s="255">
        <v>31</v>
      </c>
      <c r="D145" s="255">
        <v>77.5</v>
      </c>
      <c r="E145" s="255">
        <v>28</v>
      </c>
      <c r="F145" s="255">
        <v>61.9</v>
      </c>
      <c r="G145" s="255">
        <v>45.2</v>
      </c>
      <c r="H145" s="255">
        <v>9.1</v>
      </c>
      <c r="I145" s="255">
        <v>24.8</v>
      </c>
      <c r="J145" s="255">
        <v>36.700000000000003</v>
      </c>
      <c r="K145" s="255">
        <v>12.4</v>
      </c>
      <c r="L145" s="255">
        <v>18.3</v>
      </c>
      <c r="M145" s="255">
        <v>67.900000000000006</v>
      </c>
      <c r="N145" s="255">
        <v>12.9</v>
      </c>
      <c r="O145" s="255">
        <v>25.2</v>
      </c>
      <c r="P145" s="255">
        <v>38.1</v>
      </c>
      <c r="Q145" s="255">
        <v>13.9</v>
      </c>
      <c r="R145" s="255">
        <v>6.9</v>
      </c>
      <c r="S145" s="255">
        <v>3.7</v>
      </c>
      <c r="T145" s="255">
        <v>9.1999999999999993</v>
      </c>
      <c r="U145" s="255">
        <v>16.100000000000001</v>
      </c>
    </row>
    <row r="146" spans="1:21" ht="15.75" customHeight="1" thickBot="1" x14ac:dyDescent="0.3">
      <c r="A146" s="257">
        <v>145</v>
      </c>
      <c r="B146" s="259" t="s">
        <v>438</v>
      </c>
      <c r="C146" s="255">
        <v>31</v>
      </c>
      <c r="D146" s="255">
        <v>77.3</v>
      </c>
      <c r="E146" s="255">
        <v>28.5</v>
      </c>
      <c r="F146" s="255">
        <v>61.3</v>
      </c>
      <c r="G146" s="255">
        <v>46.5</v>
      </c>
      <c r="H146" s="255">
        <v>5.6</v>
      </c>
      <c r="I146" s="255">
        <v>17</v>
      </c>
      <c r="J146" s="255">
        <v>33.299999999999997</v>
      </c>
      <c r="K146" s="255">
        <v>14.7</v>
      </c>
      <c r="L146" s="255">
        <v>21.5</v>
      </c>
      <c r="M146" s="255">
        <v>68.400000000000006</v>
      </c>
      <c r="N146" s="255">
        <v>11.5</v>
      </c>
      <c r="O146" s="255">
        <v>28.6</v>
      </c>
      <c r="P146" s="255">
        <v>40.1</v>
      </c>
      <c r="Q146" s="255">
        <v>16.3</v>
      </c>
      <c r="R146" s="255">
        <v>7.8</v>
      </c>
      <c r="S146" s="255">
        <v>6</v>
      </c>
      <c r="T146" s="255">
        <v>12.4</v>
      </c>
      <c r="U146" s="255">
        <v>16</v>
      </c>
    </row>
    <row r="147" spans="1:21" ht="15.75" customHeight="1" thickBot="1" x14ac:dyDescent="0.3">
      <c r="A147" s="257">
        <v>146</v>
      </c>
      <c r="B147" s="259" t="s">
        <v>91</v>
      </c>
      <c r="C147" s="255">
        <v>31</v>
      </c>
      <c r="D147" s="255">
        <v>77.3</v>
      </c>
      <c r="E147" s="255">
        <v>26.1</v>
      </c>
      <c r="F147" s="255">
        <v>58.4</v>
      </c>
      <c r="G147" s="255">
        <v>44.8</v>
      </c>
      <c r="H147" s="255">
        <v>8.1999999999999993</v>
      </c>
      <c r="I147" s="255">
        <v>22.5</v>
      </c>
      <c r="J147" s="255">
        <v>36.299999999999997</v>
      </c>
      <c r="K147" s="255">
        <v>16.8</v>
      </c>
      <c r="L147" s="255">
        <v>24.5</v>
      </c>
      <c r="M147" s="255">
        <v>68.599999999999994</v>
      </c>
      <c r="N147" s="255">
        <v>13.1</v>
      </c>
      <c r="O147" s="255">
        <v>26.8</v>
      </c>
      <c r="P147" s="255">
        <v>39.9</v>
      </c>
      <c r="Q147" s="255">
        <v>13.6</v>
      </c>
      <c r="R147" s="255">
        <v>5.3</v>
      </c>
      <c r="S147" s="255">
        <v>2.4</v>
      </c>
      <c r="T147" s="255">
        <v>10</v>
      </c>
      <c r="U147" s="255">
        <v>16.899999999999999</v>
      </c>
    </row>
    <row r="148" spans="1:21" ht="15.75" customHeight="1" thickBot="1" x14ac:dyDescent="0.3">
      <c r="A148" s="257">
        <v>147</v>
      </c>
      <c r="B148" s="259" t="s">
        <v>230</v>
      </c>
      <c r="C148" s="255">
        <v>30</v>
      </c>
      <c r="D148" s="255">
        <v>77.099999999999994</v>
      </c>
      <c r="E148" s="255">
        <v>25.5</v>
      </c>
      <c r="F148" s="255">
        <v>51.2</v>
      </c>
      <c r="G148" s="255">
        <v>49.8</v>
      </c>
      <c r="H148" s="255">
        <v>9.9</v>
      </c>
      <c r="I148" s="255">
        <v>25</v>
      </c>
      <c r="J148" s="255">
        <v>39.6</v>
      </c>
      <c r="K148" s="255">
        <v>16.2</v>
      </c>
      <c r="L148" s="255">
        <v>21</v>
      </c>
      <c r="M148" s="255">
        <v>77.3</v>
      </c>
      <c r="N148" s="255">
        <v>8.6</v>
      </c>
      <c r="O148" s="255">
        <v>23.9</v>
      </c>
      <c r="P148" s="255">
        <v>32.5</v>
      </c>
      <c r="Q148" s="255">
        <v>16</v>
      </c>
      <c r="R148" s="255">
        <v>5.3</v>
      </c>
      <c r="S148" s="255">
        <v>2</v>
      </c>
      <c r="T148" s="255">
        <v>11.9</v>
      </c>
      <c r="U148" s="255">
        <v>16.600000000000001</v>
      </c>
    </row>
    <row r="149" spans="1:21" ht="15.75" customHeight="1" thickBot="1" x14ac:dyDescent="0.3">
      <c r="A149" s="257">
        <v>147</v>
      </c>
      <c r="B149" s="259" t="s">
        <v>59</v>
      </c>
      <c r="C149" s="255">
        <v>30</v>
      </c>
      <c r="D149" s="255">
        <v>77.099999999999994</v>
      </c>
      <c r="E149" s="255">
        <v>27.2</v>
      </c>
      <c r="F149" s="255">
        <v>59.6</v>
      </c>
      <c r="G149" s="255">
        <v>45.6</v>
      </c>
      <c r="H149" s="255">
        <v>9.6</v>
      </c>
      <c r="I149" s="255">
        <v>27.1</v>
      </c>
      <c r="J149" s="255">
        <v>35.4</v>
      </c>
      <c r="K149" s="255">
        <v>13.2</v>
      </c>
      <c r="L149" s="255">
        <v>19.2</v>
      </c>
      <c r="M149" s="255">
        <v>68.900000000000006</v>
      </c>
      <c r="N149" s="255">
        <v>11.7</v>
      </c>
      <c r="O149" s="255">
        <v>22.9</v>
      </c>
      <c r="P149" s="255">
        <v>34.6</v>
      </c>
      <c r="Q149" s="255">
        <v>15.2</v>
      </c>
      <c r="R149" s="255">
        <v>7.6</v>
      </c>
      <c r="S149" s="255">
        <v>2.2999999999999998</v>
      </c>
      <c r="T149" s="255">
        <v>10.199999999999999</v>
      </c>
      <c r="U149" s="255">
        <v>16.100000000000001</v>
      </c>
    </row>
    <row r="150" spans="1:21" ht="15.75" customHeight="1" thickBot="1" x14ac:dyDescent="0.3">
      <c r="A150" s="257">
        <v>149</v>
      </c>
      <c r="B150" s="259" t="s">
        <v>329</v>
      </c>
      <c r="C150" s="255">
        <v>31</v>
      </c>
      <c r="D150" s="255">
        <v>77.099999999999994</v>
      </c>
      <c r="E150" s="255">
        <v>26.8</v>
      </c>
      <c r="F150" s="255">
        <v>54.8</v>
      </c>
      <c r="G150" s="255">
        <v>49</v>
      </c>
      <c r="H150" s="255">
        <v>8.1999999999999993</v>
      </c>
      <c r="I150" s="255">
        <v>22.8</v>
      </c>
      <c r="J150" s="255">
        <v>35.799999999999997</v>
      </c>
      <c r="K150" s="255">
        <v>15.3</v>
      </c>
      <c r="L150" s="255">
        <v>19.899999999999999</v>
      </c>
      <c r="M150" s="255">
        <v>76.8</v>
      </c>
      <c r="N150" s="255">
        <v>6.8</v>
      </c>
      <c r="O150" s="255">
        <v>27.7</v>
      </c>
      <c r="P150" s="255">
        <v>34.5</v>
      </c>
      <c r="Q150" s="255">
        <v>15.3</v>
      </c>
      <c r="R150" s="255">
        <v>5.8</v>
      </c>
      <c r="S150" s="255">
        <v>2.5</v>
      </c>
      <c r="T150" s="255">
        <v>13.7</v>
      </c>
      <c r="U150" s="255">
        <v>17.5</v>
      </c>
    </row>
    <row r="151" spans="1:21" ht="15.75" customHeight="1" thickBot="1" x14ac:dyDescent="0.3">
      <c r="A151" s="257">
        <v>149</v>
      </c>
      <c r="B151" s="259" t="s">
        <v>192</v>
      </c>
      <c r="C151" s="255">
        <v>31</v>
      </c>
      <c r="D151" s="255">
        <v>77.099999999999994</v>
      </c>
      <c r="E151" s="255">
        <v>26.7</v>
      </c>
      <c r="F151" s="255">
        <v>59.4</v>
      </c>
      <c r="G151" s="255">
        <v>45</v>
      </c>
      <c r="H151" s="255">
        <v>7.5</v>
      </c>
      <c r="I151" s="255">
        <v>22.2</v>
      </c>
      <c r="J151" s="255">
        <v>34</v>
      </c>
      <c r="K151" s="255">
        <v>16.2</v>
      </c>
      <c r="L151" s="255">
        <v>21.4</v>
      </c>
      <c r="M151" s="255">
        <v>75.5</v>
      </c>
      <c r="N151" s="255">
        <v>10.3</v>
      </c>
      <c r="O151" s="255">
        <v>23.6</v>
      </c>
      <c r="P151" s="255">
        <v>33.9</v>
      </c>
      <c r="Q151" s="255">
        <v>15.6</v>
      </c>
      <c r="R151" s="255">
        <v>7.2</v>
      </c>
      <c r="S151" s="255">
        <v>3</v>
      </c>
      <c r="T151" s="255">
        <v>13.6</v>
      </c>
      <c r="U151" s="255">
        <v>19.600000000000001</v>
      </c>
    </row>
    <row r="152" spans="1:21" ht="15.75" customHeight="1" thickBot="1" x14ac:dyDescent="0.3">
      <c r="A152" s="257">
        <v>151</v>
      </c>
      <c r="B152" s="259" t="s">
        <v>347</v>
      </c>
      <c r="C152" s="255">
        <v>32</v>
      </c>
      <c r="D152" s="255">
        <v>77.099999999999994</v>
      </c>
      <c r="E152" s="255">
        <v>26.7</v>
      </c>
      <c r="F152" s="255">
        <v>61.2</v>
      </c>
      <c r="G152" s="255">
        <v>43.6</v>
      </c>
      <c r="H152" s="255">
        <v>8.1</v>
      </c>
      <c r="I152" s="255">
        <v>24.5</v>
      </c>
      <c r="J152" s="255">
        <v>33</v>
      </c>
      <c r="K152" s="255">
        <v>15.7</v>
      </c>
      <c r="L152" s="255">
        <v>22.1</v>
      </c>
      <c r="M152" s="255">
        <v>70.8</v>
      </c>
      <c r="N152" s="255">
        <v>11.2</v>
      </c>
      <c r="O152" s="255">
        <v>22.1</v>
      </c>
      <c r="P152" s="255">
        <v>33.299999999999997</v>
      </c>
      <c r="Q152" s="255">
        <v>11.4</v>
      </c>
      <c r="R152" s="255">
        <v>8.6999999999999993</v>
      </c>
      <c r="S152" s="255">
        <v>2.6</v>
      </c>
      <c r="T152" s="255">
        <v>9.9</v>
      </c>
      <c r="U152" s="255">
        <v>20.100000000000001</v>
      </c>
    </row>
    <row r="153" spans="1:21" ht="15.75" customHeight="1" thickBot="1" x14ac:dyDescent="0.3">
      <c r="A153" s="257">
        <v>152</v>
      </c>
      <c r="B153" s="259" t="s">
        <v>385</v>
      </c>
      <c r="C153" s="255">
        <v>30</v>
      </c>
      <c r="D153" s="255">
        <v>77</v>
      </c>
      <c r="E153" s="255">
        <v>25.8</v>
      </c>
      <c r="F153" s="255">
        <v>58.2</v>
      </c>
      <c r="G153" s="255">
        <v>44.4</v>
      </c>
      <c r="H153" s="255">
        <v>8.9</v>
      </c>
      <c r="I153" s="255">
        <v>24.7</v>
      </c>
      <c r="J153" s="255">
        <v>36.1</v>
      </c>
      <c r="K153" s="255">
        <v>16.5</v>
      </c>
      <c r="L153" s="255">
        <v>21.8</v>
      </c>
      <c r="M153" s="255">
        <v>75.5</v>
      </c>
      <c r="N153" s="255">
        <v>8.9</v>
      </c>
      <c r="O153" s="255">
        <v>24.9</v>
      </c>
      <c r="P153" s="255">
        <v>33.700000000000003</v>
      </c>
      <c r="Q153" s="255">
        <v>14.1</v>
      </c>
      <c r="R153" s="255">
        <v>7.2</v>
      </c>
      <c r="S153" s="255">
        <v>2.2999999999999998</v>
      </c>
      <c r="T153" s="255">
        <v>9.6999999999999993</v>
      </c>
      <c r="U153" s="255">
        <v>18.100000000000001</v>
      </c>
    </row>
    <row r="154" spans="1:21" ht="15.75" customHeight="1" thickBot="1" x14ac:dyDescent="0.3">
      <c r="A154" s="257">
        <v>153</v>
      </c>
      <c r="B154" s="259" t="s">
        <v>465</v>
      </c>
      <c r="C154" s="255">
        <v>31</v>
      </c>
      <c r="D154" s="255">
        <v>77</v>
      </c>
      <c r="E154" s="255">
        <v>28.4</v>
      </c>
      <c r="F154" s="255">
        <v>63</v>
      </c>
      <c r="G154" s="255">
        <v>45</v>
      </c>
      <c r="H154" s="255">
        <v>7.2</v>
      </c>
      <c r="I154" s="255">
        <v>21</v>
      </c>
      <c r="J154" s="255">
        <v>34.4</v>
      </c>
      <c r="K154" s="255">
        <v>13</v>
      </c>
      <c r="L154" s="255">
        <v>18.600000000000001</v>
      </c>
      <c r="M154" s="255">
        <v>69.7</v>
      </c>
      <c r="N154" s="255">
        <v>11.8</v>
      </c>
      <c r="O154" s="255">
        <v>24.8</v>
      </c>
      <c r="P154" s="255">
        <v>36.700000000000003</v>
      </c>
      <c r="Q154" s="255">
        <v>13</v>
      </c>
      <c r="R154" s="255">
        <v>6.5</v>
      </c>
      <c r="S154" s="255">
        <v>5</v>
      </c>
      <c r="T154" s="255">
        <v>11.2</v>
      </c>
      <c r="U154" s="255">
        <v>16.8</v>
      </c>
    </row>
    <row r="155" spans="1:21" ht="15.75" customHeight="1" thickBot="1" x14ac:dyDescent="0.3">
      <c r="A155" s="257">
        <v>154</v>
      </c>
      <c r="B155" s="259" t="s">
        <v>360</v>
      </c>
      <c r="C155" s="255">
        <v>30</v>
      </c>
      <c r="D155" s="255">
        <v>77</v>
      </c>
      <c r="E155" s="255">
        <v>27.5</v>
      </c>
      <c r="F155" s="255">
        <v>59.6</v>
      </c>
      <c r="G155" s="255">
        <v>46.1</v>
      </c>
      <c r="H155" s="255">
        <v>6.8</v>
      </c>
      <c r="I155" s="255">
        <v>22.5</v>
      </c>
      <c r="J155" s="255">
        <v>30.4</v>
      </c>
      <c r="K155" s="255">
        <v>15.2</v>
      </c>
      <c r="L155" s="255">
        <v>21.7</v>
      </c>
      <c r="M155" s="255">
        <v>70</v>
      </c>
      <c r="N155" s="255">
        <v>10.1</v>
      </c>
      <c r="O155" s="255">
        <v>23.5</v>
      </c>
      <c r="P155" s="255">
        <v>33.6</v>
      </c>
      <c r="Q155" s="255">
        <v>13.6</v>
      </c>
      <c r="R155" s="255">
        <v>6.3</v>
      </c>
      <c r="S155" s="255">
        <v>3.5</v>
      </c>
      <c r="T155" s="255">
        <v>11</v>
      </c>
      <c r="U155" s="255">
        <v>17.7</v>
      </c>
    </row>
    <row r="156" spans="1:21" ht="15.75" customHeight="1" thickBot="1" x14ac:dyDescent="0.3">
      <c r="A156" s="257">
        <v>154</v>
      </c>
      <c r="B156" s="259" t="s">
        <v>475</v>
      </c>
      <c r="C156" s="255">
        <v>30</v>
      </c>
      <c r="D156" s="255">
        <v>77</v>
      </c>
      <c r="E156" s="255">
        <v>26.5</v>
      </c>
      <c r="F156" s="255">
        <v>58.5</v>
      </c>
      <c r="G156" s="255">
        <v>45.3</v>
      </c>
      <c r="H156" s="255">
        <v>8.3000000000000007</v>
      </c>
      <c r="I156" s="255">
        <v>25.2</v>
      </c>
      <c r="J156" s="255">
        <v>33.1</v>
      </c>
      <c r="K156" s="255">
        <v>15.7</v>
      </c>
      <c r="L156" s="255">
        <v>21.3</v>
      </c>
      <c r="M156" s="255">
        <v>73.8</v>
      </c>
      <c r="N156" s="255">
        <v>11.7</v>
      </c>
      <c r="O156" s="255">
        <v>23.7</v>
      </c>
      <c r="P156" s="255">
        <v>35.5</v>
      </c>
      <c r="Q156" s="255">
        <v>14</v>
      </c>
      <c r="R156" s="255">
        <v>6.7</v>
      </c>
      <c r="S156" s="255">
        <v>2.4</v>
      </c>
      <c r="T156" s="255">
        <v>11.2</v>
      </c>
      <c r="U156" s="255">
        <v>21</v>
      </c>
    </row>
    <row r="157" spans="1:21" ht="15.75" customHeight="1" thickBot="1" x14ac:dyDescent="0.3">
      <c r="A157" s="257">
        <v>156</v>
      </c>
      <c r="B157" s="259" t="s">
        <v>417</v>
      </c>
      <c r="C157" s="255">
        <v>30</v>
      </c>
      <c r="D157" s="255">
        <v>76.900000000000006</v>
      </c>
      <c r="E157" s="255">
        <v>28.4</v>
      </c>
      <c r="F157" s="255">
        <v>60.7</v>
      </c>
      <c r="G157" s="255">
        <v>46.9</v>
      </c>
      <c r="H157" s="255">
        <v>7.2</v>
      </c>
      <c r="I157" s="255">
        <v>19.3</v>
      </c>
      <c r="J157" s="255">
        <v>37.299999999999997</v>
      </c>
      <c r="K157" s="255">
        <v>12.9</v>
      </c>
      <c r="L157" s="255">
        <v>17.2</v>
      </c>
      <c r="M157" s="255">
        <v>75</v>
      </c>
      <c r="N157" s="255">
        <v>11.9</v>
      </c>
      <c r="O157" s="255">
        <v>23.3</v>
      </c>
      <c r="P157" s="255">
        <v>35.299999999999997</v>
      </c>
      <c r="Q157" s="255">
        <v>16</v>
      </c>
      <c r="R157" s="255">
        <v>7.6</v>
      </c>
      <c r="S157" s="255">
        <v>4.7</v>
      </c>
      <c r="T157" s="255">
        <v>11.5</v>
      </c>
      <c r="U157" s="255">
        <v>16.100000000000001</v>
      </c>
    </row>
    <row r="158" spans="1:21" ht="15.75" customHeight="1" thickBot="1" x14ac:dyDescent="0.3">
      <c r="A158" s="257">
        <v>157</v>
      </c>
      <c r="B158" s="259" t="s">
        <v>231</v>
      </c>
      <c r="C158" s="255">
        <v>27</v>
      </c>
      <c r="D158" s="255">
        <v>76.900000000000006</v>
      </c>
      <c r="E158" s="255">
        <v>28.5</v>
      </c>
      <c r="F158" s="255">
        <v>59.7</v>
      </c>
      <c r="G158" s="255">
        <v>47.7</v>
      </c>
      <c r="H158" s="255">
        <v>8</v>
      </c>
      <c r="I158" s="255">
        <v>22.4</v>
      </c>
      <c r="J158" s="255">
        <v>35.9</v>
      </c>
      <c r="K158" s="255">
        <v>11.9</v>
      </c>
      <c r="L158" s="255">
        <v>17.100000000000001</v>
      </c>
      <c r="M158" s="255">
        <v>69.099999999999994</v>
      </c>
      <c r="N158" s="255">
        <v>12.8</v>
      </c>
      <c r="O158" s="255">
        <v>26.6</v>
      </c>
      <c r="P158" s="255">
        <v>39.4</v>
      </c>
      <c r="Q158" s="255">
        <v>16</v>
      </c>
      <c r="R158" s="255">
        <v>5.8</v>
      </c>
      <c r="S158" s="255">
        <v>3.1</v>
      </c>
      <c r="T158" s="255">
        <v>13.2</v>
      </c>
      <c r="U158" s="255">
        <v>16.5</v>
      </c>
    </row>
    <row r="159" spans="1:21" ht="15.75" customHeight="1" thickBot="1" x14ac:dyDescent="0.3">
      <c r="A159" s="257">
        <v>158</v>
      </c>
      <c r="B159" s="259" t="s">
        <v>365</v>
      </c>
      <c r="C159" s="255">
        <v>31</v>
      </c>
      <c r="D159" s="255">
        <v>76.8</v>
      </c>
      <c r="E159" s="255">
        <v>27.1</v>
      </c>
      <c r="F159" s="255">
        <v>57.9</v>
      </c>
      <c r="G159" s="255">
        <v>46.8</v>
      </c>
      <c r="H159" s="255">
        <v>8.6</v>
      </c>
      <c r="I159" s="255">
        <v>23.9</v>
      </c>
      <c r="J159" s="255">
        <v>36.200000000000003</v>
      </c>
      <c r="K159" s="255">
        <v>14</v>
      </c>
      <c r="L159" s="255">
        <v>19.2</v>
      </c>
      <c r="M159" s="255">
        <v>72.900000000000006</v>
      </c>
      <c r="N159" s="255">
        <v>9.1999999999999993</v>
      </c>
      <c r="O159" s="255">
        <v>25.5</v>
      </c>
      <c r="P159" s="255">
        <v>34.6</v>
      </c>
      <c r="Q159" s="255">
        <v>13.4</v>
      </c>
      <c r="R159" s="255">
        <v>5.9</v>
      </c>
      <c r="S159" s="255">
        <v>2.8</v>
      </c>
      <c r="T159" s="255">
        <v>11.2</v>
      </c>
      <c r="U159" s="255">
        <v>16.5</v>
      </c>
    </row>
    <row r="160" spans="1:21" ht="15.75" customHeight="1" thickBot="1" x14ac:dyDescent="0.3">
      <c r="A160" s="257">
        <v>159</v>
      </c>
      <c r="B160" s="259" t="s">
        <v>416</v>
      </c>
      <c r="C160" s="255">
        <v>30</v>
      </c>
      <c r="D160" s="255">
        <v>76.8</v>
      </c>
      <c r="E160" s="255">
        <v>27.5</v>
      </c>
      <c r="F160" s="255">
        <v>59.2</v>
      </c>
      <c r="G160" s="255">
        <v>46.4</v>
      </c>
      <c r="H160" s="255">
        <v>7.6</v>
      </c>
      <c r="I160" s="255">
        <v>21.4</v>
      </c>
      <c r="J160" s="255">
        <v>35.4</v>
      </c>
      <c r="K160" s="255">
        <v>14.3</v>
      </c>
      <c r="L160" s="255">
        <v>19.899999999999999</v>
      </c>
      <c r="M160" s="255">
        <v>71.900000000000006</v>
      </c>
      <c r="N160" s="255">
        <v>10.5</v>
      </c>
      <c r="O160" s="255">
        <v>25.5</v>
      </c>
      <c r="P160" s="255">
        <v>36</v>
      </c>
      <c r="Q160" s="255">
        <v>14.3</v>
      </c>
      <c r="R160" s="255">
        <v>5.6</v>
      </c>
      <c r="S160" s="255">
        <v>4.3</v>
      </c>
      <c r="T160" s="255">
        <v>14.3</v>
      </c>
      <c r="U160" s="255">
        <v>16.5</v>
      </c>
    </row>
    <row r="161" spans="1:21" ht="15.75" customHeight="1" thickBot="1" x14ac:dyDescent="0.3">
      <c r="A161" s="257">
        <v>160</v>
      </c>
      <c r="B161" s="259" t="s">
        <v>477</v>
      </c>
      <c r="C161" s="255">
        <v>31</v>
      </c>
      <c r="D161" s="255">
        <v>76.8</v>
      </c>
      <c r="E161" s="255">
        <v>26.8</v>
      </c>
      <c r="F161" s="255">
        <v>58.2</v>
      </c>
      <c r="G161" s="255">
        <v>46.1</v>
      </c>
      <c r="H161" s="255">
        <v>9.9</v>
      </c>
      <c r="I161" s="255">
        <v>28.6</v>
      </c>
      <c r="J161" s="255">
        <v>34.5</v>
      </c>
      <c r="K161" s="255">
        <v>13.3</v>
      </c>
      <c r="L161" s="255">
        <v>18.2</v>
      </c>
      <c r="M161" s="255">
        <v>73.2</v>
      </c>
      <c r="N161" s="255">
        <v>10.6</v>
      </c>
      <c r="O161" s="255">
        <v>23.3</v>
      </c>
      <c r="P161" s="255">
        <v>33.9</v>
      </c>
      <c r="Q161" s="255">
        <v>14.4</v>
      </c>
      <c r="R161" s="255">
        <v>6.8</v>
      </c>
      <c r="S161" s="255">
        <v>3.5</v>
      </c>
      <c r="T161" s="255">
        <v>12.7</v>
      </c>
      <c r="U161" s="255">
        <v>17.600000000000001</v>
      </c>
    </row>
    <row r="162" spans="1:21" ht="15.75" customHeight="1" thickBot="1" x14ac:dyDescent="0.3">
      <c r="A162" s="257">
        <v>161</v>
      </c>
      <c r="B162" s="259" t="s">
        <v>462</v>
      </c>
      <c r="C162" s="255">
        <v>30</v>
      </c>
      <c r="D162" s="255">
        <v>76.7</v>
      </c>
      <c r="E162" s="255">
        <v>28.1</v>
      </c>
      <c r="F162" s="255">
        <v>61.1</v>
      </c>
      <c r="G162" s="255">
        <v>46</v>
      </c>
      <c r="H162" s="255">
        <v>6.5</v>
      </c>
      <c r="I162" s="255">
        <v>20.7</v>
      </c>
      <c r="J162" s="255">
        <v>31.2</v>
      </c>
      <c r="K162" s="255">
        <v>14</v>
      </c>
      <c r="L162" s="255">
        <v>18.5</v>
      </c>
      <c r="M162" s="255">
        <v>75.900000000000006</v>
      </c>
      <c r="N162" s="255">
        <v>11.7</v>
      </c>
      <c r="O162" s="255">
        <v>25.2</v>
      </c>
      <c r="P162" s="255">
        <v>36.9</v>
      </c>
      <c r="Q162" s="255">
        <v>13.5</v>
      </c>
      <c r="R162" s="255">
        <v>5.7</v>
      </c>
      <c r="S162" s="255">
        <v>4.2</v>
      </c>
      <c r="T162" s="255">
        <v>10.6</v>
      </c>
      <c r="U162" s="255">
        <v>17.100000000000001</v>
      </c>
    </row>
    <row r="163" spans="1:21" ht="15.75" customHeight="1" thickBot="1" x14ac:dyDescent="0.3">
      <c r="A163" s="257">
        <v>162</v>
      </c>
      <c r="B163" s="259" t="s">
        <v>228</v>
      </c>
      <c r="C163" s="255">
        <v>32</v>
      </c>
      <c r="D163" s="255">
        <v>76.7</v>
      </c>
      <c r="E163" s="255">
        <v>28.2</v>
      </c>
      <c r="F163" s="255">
        <v>58.6</v>
      </c>
      <c r="G163" s="255">
        <v>48.1</v>
      </c>
      <c r="H163" s="255">
        <v>7.4</v>
      </c>
      <c r="I163" s="255">
        <v>20.399999999999999</v>
      </c>
      <c r="J163" s="255">
        <v>36.4</v>
      </c>
      <c r="K163" s="255">
        <v>12.8</v>
      </c>
      <c r="L163" s="255">
        <v>17.2</v>
      </c>
      <c r="M163" s="255">
        <v>74.7</v>
      </c>
      <c r="N163" s="255">
        <v>8.9</v>
      </c>
      <c r="O163" s="255">
        <v>25.3</v>
      </c>
      <c r="P163" s="255">
        <v>34.200000000000003</v>
      </c>
      <c r="Q163" s="255">
        <v>14.7</v>
      </c>
      <c r="R163" s="255">
        <v>5.9</v>
      </c>
      <c r="S163" s="255">
        <v>3.1</v>
      </c>
      <c r="T163" s="255">
        <v>10.199999999999999</v>
      </c>
      <c r="U163" s="255">
        <v>16.899999999999999</v>
      </c>
    </row>
    <row r="164" spans="1:21" ht="15.75" customHeight="1" thickBot="1" x14ac:dyDescent="0.3">
      <c r="A164" s="257">
        <v>163</v>
      </c>
      <c r="B164" s="259" t="s">
        <v>100</v>
      </c>
      <c r="C164" s="255">
        <v>29</v>
      </c>
      <c r="D164" s="255">
        <v>76.5</v>
      </c>
      <c r="E164" s="255">
        <v>27.8</v>
      </c>
      <c r="F164" s="255">
        <v>59.4</v>
      </c>
      <c r="G164" s="255">
        <v>46.7</v>
      </c>
      <c r="H164" s="255">
        <v>6.8</v>
      </c>
      <c r="I164" s="255">
        <v>20.5</v>
      </c>
      <c r="J164" s="255">
        <v>33.299999999999997</v>
      </c>
      <c r="K164" s="255">
        <v>14.2</v>
      </c>
      <c r="L164" s="255">
        <v>20.2</v>
      </c>
      <c r="M164" s="255">
        <v>70.3</v>
      </c>
      <c r="N164" s="255">
        <v>11.2</v>
      </c>
      <c r="O164" s="255">
        <v>25.8</v>
      </c>
      <c r="P164" s="255">
        <v>37</v>
      </c>
      <c r="Q164" s="255">
        <v>14.9</v>
      </c>
      <c r="R164" s="255">
        <v>7.6</v>
      </c>
      <c r="S164" s="255">
        <v>3.9</v>
      </c>
      <c r="T164" s="255">
        <v>12.1</v>
      </c>
      <c r="U164" s="255">
        <v>19.600000000000001</v>
      </c>
    </row>
    <row r="165" spans="1:21" ht="15.75" customHeight="1" thickBot="1" x14ac:dyDescent="0.3">
      <c r="A165" s="257">
        <v>164</v>
      </c>
      <c r="B165" s="259" t="s">
        <v>223</v>
      </c>
      <c r="C165" s="255">
        <v>31</v>
      </c>
      <c r="D165" s="255">
        <v>76.400000000000006</v>
      </c>
      <c r="E165" s="255">
        <v>26.6</v>
      </c>
      <c r="F165" s="255">
        <v>58.3</v>
      </c>
      <c r="G165" s="255">
        <v>45.7</v>
      </c>
      <c r="H165" s="255">
        <v>10.5</v>
      </c>
      <c r="I165" s="255">
        <v>29.6</v>
      </c>
      <c r="J165" s="255">
        <v>35.6</v>
      </c>
      <c r="K165" s="255">
        <v>12.6</v>
      </c>
      <c r="L165" s="255">
        <v>16.399999999999999</v>
      </c>
      <c r="M165" s="255">
        <v>76.599999999999994</v>
      </c>
      <c r="N165" s="255">
        <v>7.8</v>
      </c>
      <c r="O165" s="255">
        <v>25.4</v>
      </c>
      <c r="P165" s="255">
        <v>33.200000000000003</v>
      </c>
      <c r="Q165" s="255">
        <v>15.2</v>
      </c>
      <c r="R165" s="255">
        <v>5.4</v>
      </c>
      <c r="S165" s="255">
        <v>2.6</v>
      </c>
      <c r="T165" s="255">
        <v>9.6999999999999993</v>
      </c>
      <c r="U165" s="255">
        <v>19.2</v>
      </c>
    </row>
    <row r="166" spans="1:21" ht="15.75" customHeight="1" thickBot="1" x14ac:dyDescent="0.3">
      <c r="A166" s="257">
        <v>165</v>
      </c>
      <c r="B166" s="259" t="s">
        <v>439</v>
      </c>
      <c r="C166" s="255">
        <v>31</v>
      </c>
      <c r="D166" s="255">
        <v>76.400000000000006</v>
      </c>
      <c r="E166" s="255">
        <v>27.3</v>
      </c>
      <c r="F166" s="255">
        <v>59.3</v>
      </c>
      <c r="G166" s="255">
        <v>46</v>
      </c>
      <c r="H166" s="255">
        <v>8.6</v>
      </c>
      <c r="I166" s="255">
        <v>25.5</v>
      </c>
      <c r="J166" s="255">
        <v>33.9</v>
      </c>
      <c r="K166" s="255">
        <v>13.1</v>
      </c>
      <c r="L166" s="255">
        <v>19</v>
      </c>
      <c r="M166" s="255">
        <v>69.099999999999994</v>
      </c>
      <c r="N166" s="255">
        <v>9.8000000000000007</v>
      </c>
      <c r="O166" s="255">
        <v>27.5</v>
      </c>
      <c r="P166" s="255">
        <v>37.299999999999997</v>
      </c>
      <c r="Q166" s="255">
        <v>15.2</v>
      </c>
      <c r="R166" s="255">
        <v>7.5</v>
      </c>
      <c r="S166" s="255">
        <v>2.7</v>
      </c>
      <c r="T166" s="255">
        <v>11.4</v>
      </c>
      <c r="U166" s="255">
        <v>16.100000000000001</v>
      </c>
    </row>
    <row r="167" spans="1:21" ht="15.75" customHeight="1" thickBot="1" x14ac:dyDescent="0.3">
      <c r="A167" s="257">
        <v>165</v>
      </c>
      <c r="B167" s="259" t="s">
        <v>463</v>
      </c>
      <c r="C167" s="255">
        <v>31</v>
      </c>
      <c r="D167" s="255">
        <v>76.400000000000006</v>
      </c>
      <c r="E167" s="255">
        <v>26.8</v>
      </c>
      <c r="F167" s="255">
        <v>57.1</v>
      </c>
      <c r="G167" s="255">
        <v>47</v>
      </c>
      <c r="H167" s="255">
        <v>9.5</v>
      </c>
      <c r="I167" s="255">
        <v>25.5</v>
      </c>
      <c r="J167" s="255">
        <v>37.200000000000003</v>
      </c>
      <c r="K167" s="255">
        <v>13.2</v>
      </c>
      <c r="L167" s="255">
        <v>17.8</v>
      </c>
      <c r="M167" s="255">
        <v>74.099999999999994</v>
      </c>
      <c r="N167" s="255">
        <v>9.9</v>
      </c>
      <c r="O167" s="255">
        <v>24.4</v>
      </c>
      <c r="P167" s="255">
        <v>34.299999999999997</v>
      </c>
      <c r="Q167" s="255">
        <v>13.6</v>
      </c>
      <c r="R167" s="255">
        <v>5.6</v>
      </c>
      <c r="S167" s="255">
        <v>3</v>
      </c>
      <c r="T167" s="255">
        <v>13.2</v>
      </c>
      <c r="U167" s="255">
        <v>17.8</v>
      </c>
    </row>
    <row r="168" spans="1:21" ht="15.75" customHeight="1" thickBot="1" x14ac:dyDescent="0.3">
      <c r="A168" s="257">
        <v>167</v>
      </c>
      <c r="B168" s="259" t="s">
        <v>323</v>
      </c>
      <c r="C168" s="255">
        <v>32</v>
      </c>
      <c r="D168" s="255">
        <v>76.3</v>
      </c>
      <c r="E168" s="255">
        <v>27.5</v>
      </c>
      <c r="F168" s="255">
        <v>61.9</v>
      </c>
      <c r="G168" s="255">
        <v>44.4</v>
      </c>
      <c r="H168" s="255">
        <v>7.5</v>
      </c>
      <c r="I168" s="255">
        <v>23.3</v>
      </c>
      <c r="J168" s="255">
        <v>32.299999999999997</v>
      </c>
      <c r="K168" s="255">
        <v>13.8</v>
      </c>
      <c r="L168" s="255">
        <v>19.899999999999999</v>
      </c>
      <c r="M168" s="255">
        <v>69</v>
      </c>
      <c r="N168" s="255">
        <v>12.6</v>
      </c>
      <c r="O168" s="255">
        <v>23.5</v>
      </c>
      <c r="P168" s="255">
        <v>36</v>
      </c>
      <c r="Q168" s="255">
        <v>13.3</v>
      </c>
      <c r="R168" s="255">
        <v>6.8</v>
      </c>
      <c r="S168" s="255">
        <v>2.9</v>
      </c>
      <c r="T168" s="255">
        <v>10.4</v>
      </c>
      <c r="U168" s="255">
        <v>18.899999999999999</v>
      </c>
    </row>
    <row r="169" spans="1:21" ht="15.75" customHeight="1" thickBot="1" x14ac:dyDescent="0.3">
      <c r="A169" s="257">
        <v>168</v>
      </c>
      <c r="B169" s="259" t="s">
        <v>343</v>
      </c>
      <c r="C169" s="255">
        <v>31</v>
      </c>
      <c r="D169" s="255">
        <v>76.2</v>
      </c>
      <c r="E169" s="255">
        <v>26.8</v>
      </c>
      <c r="F169" s="255">
        <v>57.7</v>
      </c>
      <c r="G169" s="255">
        <v>46.5</v>
      </c>
      <c r="H169" s="255">
        <v>5.9</v>
      </c>
      <c r="I169" s="255">
        <v>17.399999999999999</v>
      </c>
      <c r="J169" s="255">
        <v>33.799999999999997</v>
      </c>
      <c r="K169" s="255">
        <v>16.7</v>
      </c>
      <c r="L169" s="255">
        <v>24.4</v>
      </c>
      <c r="M169" s="255">
        <v>68.599999999999994</v>
      </c>
      <c r="N169" s="255">
        <v>11.5</v>
      </c>
      <c r="O169" s="255">
        <v>23.3</v>
      </c>
      <c r="P169" s="255">
        <v>34.799999999999997</v>
      </c>
      <c r="Q169" s="255">
        <v>12</v>
      </c>
      <c r="R169" s="255">
        <v>7.2</v>
      </c>
      <c r="S169" s="255">
        <v>3</v>
      </c>
      <c r="T169" s="255">
        <v>12.1</v>
      </c>
      <c r="U169" s="255">
        <v>19.5</v>
      </c>
    </row>
    <row r="170" spans="1:21" ht="15.75" customHeight="1" thickBot="1" x14ac:dyDescent="0.3">
      <c r="A170" s="257">
        <v>169</v>
      </c>
      <c r="B170" s="259" t="s">
        <v>363</v>
      </c>
      <c r="C170" s="255">
        <v>33</v>
      </c>
      <c r="D170" s="255">
        <v>76.2</v>
      </c>
      <c r="E170" s="255">
        <v>26.6</v>
      </c>
      <c r="F170" s="255">
        <v>59.9</v>
      </c>
      <c r="G170" s="255">
        <v>44.4</v>
      </c>
      <c r="H170" s="255">
        <v>7.7</v>
      </c>
      <c r="I170" s="255">
        <v>21.7</v>
      </c>
      <c r="J170" s="255">
        <v>35.4</v>
      </c>
      <c r="K170" s="255">
        <v>15.3</v>
      </c>
      <c r="L170" s="255">
        <v>20.8</v>
      </c>
      <c r="M170" s="255">
        <v>73.400000000000006</v>
      </c>
      <c r="N170" s="255">
        <v>9.5</v>
      </c>
      <c r="O170" s="255">
        <v>25.4</v>
      </c>
      <c r="P170" s="255">
        <v>34.9</v>
      </c>
      <c r="Q170" s="255">
        <v>13.1</v>
      </c>
      <c r="R170" s="255">
        <v>5.7</v>
      </c>
      <c r="S170" s="255">
        <v>3.2</v>
      </c>
      <c r="T170" s="255">
        <v>10.9</v>
      </c>
      <c r="U170" s="255">
        <v>19.3</v>
      </c>
    </row>
    <row r="171" spans="1:21" ht="15.75" customHeight="1" thickBot="1" x14ac:dyDescent="0.3">
      <c r="A171" s="257">
        <v>170</v>
      </c>
      <c r="B171" s="259" t="s">
        <v>419</v>
      </c>
      <c r="C171" s="255">
        <v>30</v>
      </c>
      <c r="D171" s="255">
        <v>76.099999999999994</v>
      </c>
      <c r="E171" s="255">
        <v>25.5</v>
      </c>
      <c r="F171" s="255">
        <v>58.6</v>
      </c>
      <c r="G171" s="255">
        <v>43.5</v>
      </c>
      <c r="H171" s="255">
        <v>9.1999999999999993</v>
      </c>
      <c r="I171" s="255">
        <v>26</v>
      </c>
      <c r="J171" s="255">
        <v>35.4</v>
      </c>
      <c r="K171" s="255">
        <v>15.9</v>
      </c>
      <c r="L171" s="255">
        <v>21.8</v>
      </c>
      <c r="M171" s="255">
        <v>73</v>
      </c>
      <c r="N171" s="255">
        <v>11.3</v>
      </c>
      <c r="O171" s="255">
        <v>22.6</v>
      </c>
      <c r="P171" s="255">
        <v>33.799999999999997</v>
      </c>
      <c r="Q171" s="255">
        <v>12.1</v>
      </c>
      <c r="R171" s="255">
        <v>7.9</v>
      </c>
      <c r="S171" s="255">
        <v>3.6</v>
      </c>
      <c r="T171" s="255">
        <v>10.7</v>
      </c>
      <c r="U171" s="255">
        <v>17.7</v>
      </c>
    </row>
    <row r="172" spans="1:21" ht="15.75" customHeight="1" thickBot="1" x14ac:dyDescent="0.3">
      <c r="A172" s="257">
        <v>171</v>
      </c>
      <c r="B172" s="259" t="s">
        <v>453</v>
      </c>
      <c r="C172" s="255">
        <v>31</v>
      </c>
      <c r="D172" s="255">
        <v>76.099999999999994</v>
      </c>
      <c r="E172" s="255">
        <v>27.6</v>
      </c>
      <c r="F172" s="255">
        <v>58.6</v>
      </c>
      <c r="G172" s="255">
        <v>47.1</v>
      </c>
      <c r="H172" s="255">
        <v>7.8</v>
      </c>
      <c r="I172" s="255">
        <v>22.6</v>
      </c>
      <c r="J172" s="255">
        <v>34.700000000000003</v>
      </c>
      <c r="K172" s="255">
        <v>13</v>
      </c>
      <c r="L172" s="255">
        <v>17.899999999999999</v>
      </c>
      <c r="M172" s="255">
        <v>72.3</v>
      </c>
      <c r="N172" s="255">
        <v>9.6</v>
      </c>
      <c r="O172" s="255">
        <v>24.5</v>
      </c>
      <c r="P172" s="255">
        <v>34.1</v>
      </c>
      <c r="Q172" s="255">
        <v>14.3</v>
      </c>
      <c r="R172" s="255">
        <v>7.2</v>
      </c>
      <c r="S172" s="255">
        <v>3.2</v>
      </c>
      <c r="T172" s="255">
        <v>12.2</v>
      </c>
      <c r="U172" s="255">
        <v>16</v>
      </c>
    </row>
    <row r="173" spans="1:21" ht="15.75" customHeight="1" thickBot="1" x14ac:dyDescent="0.3">
      <c r="A173" s="257">
        <v>172</v>
      </c>
      <c r="B173" s="259" t="s">
        <v>392</v>
      </c>
      <c r="C173" s="255">
        <v>32</v>
      </c>
      <c r="D173" s="255">
        <v>76.099999999999994</v>
      </c>
      <c r="E173" s="255">
        <v>25.7</v>
      </c>
      <c r="F173" s="255">
        <v>58.9</v>
      </c>
      <c r="G173" s="255">
        <v>43.6</v>
      </c>
      <c r="H173" s="255">
        <v>10.8</v>
      </c>
      <c r="I173" s="255">
        <v>29.8</v>
      </c>
      <c r="J173" s="255">
        <v>36.1</v>
      </c>
      <c r="K173" s="255">
        <v>13.9</v>
      </c>
      <c r="L173" s="255">
        <v>18</v>
      </c>
      <c r="M173" s="255">
        <v>77.599999999999994</v>
      </c>
      <c r="N173" s="255">
        <v>10.4</v>
      </c>
      <c r="O173" s="255">
        <v>24.7</v>
      </c>
      <c r="P173" s="255">
        <v>35.1</v>
      </c>
      <c r="Q173" s="255">
        <v>14.9</v>
      </c>
      <c r="R173" s="255">
        <v>5.9</v>
      </c>
      <c r="S173" s="255">
        <v>2.8</v>
      </c>
      <c r="T173" s="255">
        <v>12</v>
      </c>
      <c r="U173" s="255">
        <v>15</v>
      </c>
    </row>
    <row r="174" spans="1:21" ht="15.75" customHeight="1" thickBot="1" x14ac:dyDescent="0.3">
      <c r="A174" s="257">
        <v>173</v>
      </c>
      <c r="B174" s="259" t="s">
        <v>263</v>
      </c>
      <c r="C174" s="255">
        <v>31</v>
      </c>
      <c r="D174" s="255">
        <v>76</v>
      </c>
      <c r="E174" s="255">
        <v>27.5</v>
      </c>
      <c r="F174" s="255">
        <v>58.1</v>
      </c>
      <c r="G174" s="255">
        <v>47.4</v>
      </c>
      <c r="H174" s="255">
        <v>8.8000000000000007</v>
      </c>
      <c r="I174" s="255">
        <v>27.6</v>
      </c>
      <c r="J174" s="255">
        <v>31.8</v>
      </c>
      <c r="K174" s="255">
        <v>12.2</v>
      </c>
      <c r="L174" s="255">
        <v>18.100000000000001</v>
      </c>
      <c r="M174" s="255">
        <v>67.400000000000006</v>
      </c>
      <c r="N174" s="255">
        <v>11.1</v>
      </c>
      <c r="O174" s="255">
        <v>27.5</v>
      </c>
      <c r="P174" s="255">
        <v>38.5</v>
      </c>
      <c r="Q174" s="255">
        <v>15.9</v>
      </c>
      <c r="R174" s="255">
        <v>4.7</v>
      </c>
      <c r="S174" s="255">
        <v>3.4</v>
      </c>
      <c r="T174" s="255">
        <v>12.1</v>
      </c>
      <c r="U174" s="255">
        <v>15</v>
      </c>
    </row>
    <row r="175" spans="1:21" ht="15.75" customHeight="1" thickBot="1" x14ac:dyDescent="0.3">
      <c r="A175" s="257">
        <v>173</v>
      </c>
      <c r="B175" s="259" t="s">
        <v>220</v>
      </c>
      <c r="C175" s="255">
        <v>31</v>
      </c>
      <c r="D175" s="255">
        <v>76</v>
      </c>
      <c r="E175" s="255">
        <v>25.9</v>
      </c>
      <c r="F175" s="255">
        <v>58</v>
      </c>
      <c r="G175" s="255">
        <v>44.7</v>
      </c>
      <c r="H175" s="255">
        <v>6.6</v>
      </c>
      <c r="I175" s="255">
        <v>21.9</v>
      </c>
      <c r="J175" s="255">
        <v>30.2</v>
      </c>
      <c r="K175" s="255">
        <v>17.600000000000001</v>
      </c>
      <c r="L175" s="255">
        <v>23.9</v>
      </c>
      <c r="M175" s="255">
        <v>73.7</v>
      </c>
      <c r="N175" s="255">
        <v>10.6</v>
      </c>
      <c r="O175" s="255">
        <v>26.9</v>
      </c>
      <c r="P175" s="255">
        <v>37.5</v>
      </c>
      <c r="Q175" s="255">
        <v>13.5</v>
      </c>
      <c r="R175" s="255">
        <v>5.7</v>
      </c>
      <c r="S175" s="255">
        <v>4.5</v>
      </c>
      <c r="T175" s="255">
        <v>10.7</v>
      </c>
      <c r="U175" s="255">
        <v>16.8</v>
      </c>
    </row>
    <row r="176" spans="1:21" ht="15.75" customHeight="1" thickBot="1" x14ac:dyDescent="0.3">
      <c r="A176" s="257">
        <v>175</v>
      </c>
      <c r="B176" s="259" t="s">
        <v>201</v>
      </c>
      <c r="C176" s="255">
        <v>32</v>
      </c>
      <c r="D176" s="255">
        <v>76</v>
      </c>
      <c r="E176" s="255">
        <v>27</v>
      </c>
      <c r="F176" s="255">
        <v>54.4</v>
      </c>
      <c r="G176" s="255">
        <v>49.7</v>
      </c>
      <c r="H176" s="255">
        <v>9.6</v>
      </c>
      <c r="I176" s="255">
        <v>24.1</v>
      </c>
      <c r="J176" s="255">
        <v>39.799999999999997</v>
      </c>
      <c r="K176" s="255">
        <v>12.3</v>
      </c>
      <c r="L176" s="255">
        <v>17</v>
      </c>
      <c r="M176" s="255">
        <v>72.3</v>
      </c>
      <c r="N176" s="255">
        <v>8.3000000000000007</v>
      </c>
      <c r="O176" s="255">
        <v>24.1</v>
      </c>
      <c r="P176" s="255">
        <v>32.4</v>
      </c>
      <c r="Q176" s="255">
        <v>14.7</v>
      </c>
      <c r="R176" s="255">
        <v>4.9000000000000004</v>
      </c>
      <c r="S176" s="255">
        <v>3.3</v>
      </c>
      <c r="T176" s="255">
        <v>11.6</v>
      </c>
      <c r="U176" s="255">
        <v>16.2</v>
      </c>
    </row>
    <row r="177" spans="1:21" ht="15.75" customHeight="1" thickBot="1" x14ac:dyDescent="0.3">
      <c r="A177" s="257">
        <v>176</v>
      </c>
      <c r="B177" s="259" t="s">
        <v>371</v>
      </c>
      <c r="C177" s="255">
        <v>26</v>
      </c>
      <c r="D177" s="255">
        <v>76</v>
      </c>
      <c r="E177" s="255">
        <v>26.3</v>
      </c>
      <c r="F177" s="255">
        <v>59.5</v>
      </c>
      <c r="G177" s="255">
        <v>44.1</v>
      </c>
      <c r="H177" s="255">
        <v>7.8</v>
      </c>
      <c r="I177" s="255">
        <v>20.5</v>
      </c>
      <c r="J177" s="255">
        <v>38.200000000000003</v>
      </c>
      <c r="K177" s="255">
        <v>15.6</v>
      </c>
      <c r="L177" s="255">
        <v>22.8</v>
      </c>
      <c r="M177" s="255">
        <v>68.5</v>
      </c>
      <c r="N177" s="255">
        <v>11.7</v>
      </c>
      <c r="O177" s="255">
        <v>24.8</v>
      </c>
      <c r="P177" s="255">
        <v>36.5</v>
      </c>
      <c r="Q177" s="255">
        <v>13.9</v>
      </c>
      <c r="R177" s="255">
        <v>6.3</v>
      </c>
      <c r="S177" s="255">
        <v>3.1</v>
      </c>
      <c r="T177" s="255">
        <v>10.8</v>
      </c>
      <c r="U177" s="255">
        <v>17</v>
      </c>
    </row>
    <row r="178" spans="1:21" ht="15.75" customHeight="1" thickBot="1" x14ac:dyDescent="0.3">
      <c r="A178" s="257">
        <v>177</v>
      </c>
      <c r="B178" s="259" t="s">
        <v>336</v>
      </c>
      <c r="C178" s="255">
        <v>30</v>
      </c>
      <c r="D178" s="255">
        <v>75.900000000000006</v>
      </c>
      <c r="E178" s="255">
        <v>24.8</v>
      </c>
      <c r="F178" s="255">
        <v>56.8</v>
      </c>
      <c r="G178" s="255">
        <v>43.6</v>
      </c>
      <c r="H178" s="255">
        <v>6.9</v>
      </c>
      <c r="I178" s="255">
        <v>18.5</v>
      </c>
      <c r="J178" s="255">
        <v>37.4</v>
      </c>
      <c r="K178" s="255">
        <v>19.5</v>
      </c>
      <c r="L178" s="255">
        <v>26</v>
      </c>
      <c r="M178" s="255">
        <v>75</v>
      </c>
      <c r="N178" s="255">
        <v>11.5</v>
      </c>
      <c r="O178" s="255">
        <v>24.3</v>
      </c>
      <c r="P178" s="255">
        <v>35.700000000000003</v>
      </c>
      <c r="Q178" s="255">
        <v>14.2</v>
      </c>
      <c r="R178" s="255">
        <v>6.5</v>
      </c>
      <c r="S178" s="255">
        <v>3.8</v>
      </c>
      <c r="T178" s="255">
        <v>9.8000000000000007</v>
      </c>
      <c r="U178" s="255">
        <v>18</v>
      </c>
    </row>
    <row r="179" spans="1:21" ht="15.75" customHeight="1" thickBot="1" x14ac:dyDescent="0.3">
      <c r="A179" s="257">
        <v>178</v>
      </c>
      <c r="B179" s="259" t="s">
        <v>282</v>
      </c>
      <c r="C179" s="255">
        <v>31</v>
      </c>
      <c r="D179" s="255">
        <v>75.900000000000006</v>
      </c>
      <c r="E179" s="255">
        <v>27.3</v>
      </c>
      <c r="F179" s="255">
        <v>58</v>
      </c>
      <c r="G179" s="255">
        <v>47</v>
      </c>
      <c r="H179" s="255">
        <v>8.8000000000000007</v>
      </c>
      <c r="I179" s="255">
        <v>24.5</v>
      </c>
      <c r="J179" s="255">
        <v>35.700000000000003</v>
      </c>
      <c r="K179" s="255">
        <v>12.5</v>
      </c>
      <c r="L179" s="255">
        <v>17.8</v>
      </c>
      <c r="M179" s="255">
        <v>70.3</v>
      </c>
      <c r="N179" s="255">
        <v>9.8000000000000007</v>
      </c>
      <c r="O179" s="255">
        <v>26.2</v>
      </c>
      <c r="P179" s="255">
        <v>36</v>
      </c>
      <c r="Q179" s="255">
        <v>13.7</v>
      </c>
      <c r="R179" s="255">
        <v>5.7</v>
      </c>
      <c r="S179" s="255">
        <v>2.2999999999999998</v>
      </c>
      <c r="T179" s="255">
        <v>11.4</v>
      </c>
      <c r="U179" s="255">
        <v>16.899999999999999</v>
      </c>
    </row>
    <row r="180" spans="1:21" ht="15.75" customHeight="1" thickBot="1" x14ac:dyDescent="0.3">
      <c r="A180" s="257">
        <v>179</v>
      </c>
      <c r="B180" s="259" t="s">
        <v>331</v>
      </c>
      <c r="C180" s="255">
        <v>31</v>
      </c>
      <c r="D180" s="255">
        <v>75.8</v>
      </c>
      <c r="E180" s="255">
        <v>27.1</v>
      </c>
      <c r="F180" s="255">
        <v>58.1</v>
      </c>
      <c r="G180" s="255">
        <v>46.7</v>
      </c>
      <c r="H180" s="255">
        <v>6</v>
      </c>
      <c r="I180" s="255">
        <v>17.899999999999999</v>
      </c>
      <c r="J180" s="255">
        <v>33.6</v>
      </c>
      <c r="K180" s="255">
        <v>15.6</v>
      </c>
      <c r="L180" s="255">
        <v>21.3</v>
      </c>
      <c r="M180" s="255">
        <v>73.2</v>
      </c>
      <c r="N180" s="255">
        <v>12.4</v>
      </c>
      <c r="O180" s="255">
        <v>23.6</v>
      </c>
      <c r="P180" s="255">
        <v>36</v>
      </c>
      <c r="Q180" s="255">
        <v>13.8</v>
      </c>
      <c r="R180" s="255">
        <v>6.6</v>
      </c>
      <c r="S180" s="255">
        <v>3</v>
      </c>
      <c r="T180" s="255">
        <v>11.9</v>
      </c>
      <c r="U180" s="255">
        <v>17.399999999999999</v>
      </c>
    </row>
    <row r="181" spans="1:21" ht="15.75" customHeight="1" thickBot="1" x14ac:dyDescent="0.3">
      <c r="A181" s="257">
        <v>180</v>
      </c>
      <c r="B181" s="259" t="s">
        <v>364</v>
      </c>
      <c r="C181" s="255">
        <v>30</v>
      </c>
      <c r="D181" s="255">
        <v>75.8</v>
      </c>
      <c r="E181" s="255">
        <v>26.5</v>
      </c>
      <c r="F181" s="255">
        <v>59.9</v>
      </c>
      <c r="G181" s="255">
        <v>44.3</v>
      </c>
      <c r="H181" s="255">
        <v>7.4</v>
      </c>
      <c r="I181" s="255">
        <v>22</v>
      </c>
      <c r="J181" s="255">
        <v>33.5</v>
      </c>
      <c r="K181" s="255">
        <v>15.3</v>
      </c>
      <c r="L181" s="255">
        <v>20.5</v>
      </c>
      <c r="M181" s="255">
        <v>74.900000000000006</v>
      </c>
      <c r="N181" s="255">
        <v>10.3</v>
      </c>
      <c r="O181" s="255">
        <v>23.8</v>
      </c>
      <c r="P181" s="255">
        <v>34.200000000000003</v>
      </c>
      <c r="Q181" s="255">
        <v>13.9</v>
      </c>
      <c r="R181" s="255">
        <v>6.9</v>
      </c>
      <c r="S181" s="255">
        <v>4.2</v>
      </c>
      <c r="T181" s="255">
        <v>9.8000000000000007</v>
      </c>
      <c r="U181" s="255">
        <v>19.5</v>
      </c>
    </row>
    <row r="182" spans="1:21" ht="15.75" customHeight="1" thickBot="1" x14ac:dyDescent="0.3">
      <c r="A182" s="257">
        <v>181</v>
      </c>
      <c r="B182" s="259" t="s">
        <v>339</v>
      </c>
      <c r="C182" s="255">
        <v>29</v>
      </c>
      <c r="D182" s="255">
        <v>75.7</v>
      </c>
      <c r="E182" s="255">
        <v>26.3</v>
      </c>
      <c r="F182" s="255">
        <v>60.9</v>
      </c>
      <c r="G182" s="255">
        <v>43.1</v>
      </c>
      <c r="H182" s="255">
        <v>7.8</v>
      </c>
      <c r="I182" s="255">
        <v>23.8</v>
      </c>
      <c r="J182" s="255">
        <v>32.9</v>
      </c>
      <c r="K182" s="255">
        <v>15.2</v>
      </c>
      <c r="L182" s="255">
        <v>21</v>
      </c>
      <c r="M182" s="255">
        <v>72.7</v>
      </c>
      <c r="N182" s="255">
        <v>12.2</v>
      </c>
      <c r="O182" s="255">
        <v>25.6</v>
      </c>
      <c r="P182" s="255">
        <v>37.799999999999997</v>
      </c>
      <c r="Q182" s="255">
        <v>13.4</v>
      </c>
      <c r="R182" s="255">
        <v>6.5</v>
      </c>
      <c r="S182" s="255">
        <v>3.3</v>
      </c>
      <c r="T182" s="255">
        <v>10.4</v>
      </c>
      <c r="U182" s="255">
        <v>19.899999999999999</v>
      </c>
    </row>
    <row r="183" spans="1:21" ht="15.75" customHeight="1" thickBot="1" x14ac:dyDescent="0.3">
      <c r="A183" s="257">
        <v>182</v>
      </c>
      <c r="B183" s="259" t="s">
        <v>322</v>
      </c>
      <c r="C183" s="255">
        <v>30</v>
      </c>
      <c r="D183" s="255">
        <v>75.7</v>
      </c>
      <c r="E183" s="255">
        <v>26.7</v>
      </c>
      <c r="F183" s="255">
        <v>59.9</v>
      </c>
      <c r="G183" s="255">
        <v>44.5</v>
      </c>
      <c r="H183" s="255">
        <v>9.3000000000000007</v>
      </c>
      <c r="I183" s="255">
        <v>27.5</v>
      </c>
      <c r="J183" s="255">
        <v>33.700000000000003</v>
      </c>
      <c r="K183" s="255">
        <v>13.1</v>
      </c>
      <c r="L183" s="255">
        <v>18.600000000000001</v>
      </c>
      <c r="M183" s="255">
        <v>70.099999999999994</v>
      </c>
      <c r="N183" s="255">
        <v>11.3</v>
      </c>
      <c r="O183" s="255">
        <v>25.1</v>
      </c>
      <c r="P183" s="255">
        <v>36.5</v>
      </c>
      <c r="Q183" s="255">
        <v>14.3</v>
      </c>
      <c r="R183" s="255">
        <v>6.2</v>
      </c>
      <c r="S183" s="255">
        <v>4.3</v>
      </c>
      <c r="T183" s="255">
        <v>11.4</v>
      </c>
      <c r="U183" s="255">
        <v>17.100000000000001</v>
      </c>
    </row>
    <row r="184" spans="1:21" ht="15.75" customHeight="1" thickBot="1" x14ac:dyDescent="0.3">
      <c r="A184" s="257">
        <v>182</v>
      </c>
      <c r="B184" s="259" t="s">
        <v>327</v>
      </c>
      <c r="C184" s="255">
        <v>30</v>
      </c>
      <c r="D184" s="255">
        <v>75.7</v>
      </c>
      <c r="E184" s="255">
        <v>25.6</v>
      </c>
      <c r="F184" s="255">
        <v>57.5</v>
      </c>
      <c r="G184" s="255">
        <v>44.6</v>
      </c>
      <c r="H184" s="255">
        <v>7.6</v>
      </c>
      <c r="I184" s="255">
        <v>23.3</v>
      </c>
      <c r="J184" s="255">
        <v>32.799999999999997</v>
      </c>
      <c r="K184" s="255">
        <v>16.8</v>
      </c>
      <c r="L184" s="255">
        <v>24.6</v>
      </c>
      <c r="M184" s="255">
        <v>68.2</v>
      </c>
      <c r="N184" s="255">
        <v>12</v>
      </c>
      <c r="O184" s="255">
        <v>23.2</v>
      </c>
      <c r="P184" s="255">
        <v>35.200000000000003</v>
      </c>
      <c r="Q184" s="255">
        <v>14.4</v>
      </c>
      <c r="R184" s="255">
        <v>7</v>
      </c>
      <c r="S184" s="255">
        <v>3.2</v>
      </c>
      <c r="T184" s="255">
        <v>11.4</v>
      </c>
      <c r="U184" s="255">
        <v>18</v>
      </c>
    </row>
    <row r="185" spans="1:21" ht="15.75" customHeight="1" thickBot="1" x14ac:dyDescent="0.3">
      <c r="A185" s="257">
        <v>184</v>
      </c>
      <c r="B185" s="259" t="s">
        <v>66</v>
      </c>
      <c r="C185" s="255">
        <v>31</v>
      </c>
      <c r="D185" s="255">
        <v>75.599999999999994</v>
      </c>
      <c r="E185" s="255">
        <v>26.7</v>
      </c>
      <c r="F185" s="255">
        <v>57.3</v>
      </c>
      <c r="G185" s="255">
        <v>46.7</v>
      </c>
      <c r="H185" s="255">
        <v>5.8</v>
      </c>
      <c r="I185" s="255">
        <v>17.3</v>
      </c>
      <c r="J185" s="255">
        <v>33.6</v>
      </c>
      <c r="K185" s="255">
        <v>16.399999999999999</v>
      </c>
      <c r="L185" s="255">
        <v>23.7</v>
      </c>
      <c r="M185" s="255">
        <v>69</v>
      </c>
      <c r="N185" s="255">
        <v>10.4</v>
      </c>
      <c r="O185" s="255">
        <v>25.5</v>
      </c>
      <c r="P185" s="255">
        <v>35.9</v>
      </c>
      <c r="Q185" s="255">
        <v>13.7</v>
      </c>
      <c r="R185" s="255">
        <v>7.1</v>
      </c>
      <c r="S185" s="255">
        <v>4.5999999999999996</v>
      </c>
      <c r="T185" s="255">
        <v>13.9</v>
      </c>
      <c r="U185" s="255">
        <v>18.100000000000001</v>
      </c>
    </row>
    <row r="186" spans="1:21" ht="15.75" customHeight="1" thickBot="1" x14ac:dyDescent="0.3">
      <c r="A186" s="257">
        <v>185</v>
      </c>
      <c r="B186" s="259" t="s">
        <v>234</v>
      </c>
      <c r="C186" s="255">
        <v>31</v>
      </c>
      <c r="D186" s="255">
        <v>75.599999999999994</v>
      </c>
      <c r="E186" s="255">
        <v>26.7</v>
      </c>
      <c r="F186" s="255">
        <v>59.1</v>
      </c>
      <c r="G186" s="255">
        <v>45.2</v>
      </c>
      <c r="H186" s="255">
        <v>9.9</v>
      </c>
      <c r="I186" s="255">
        <v>28.3</v>
      </c>
      <c r="J186" s="255">
        <v>35</v>
      </c>
      <c r="K186" s="255">
        <v>12.3</v>
      </c>
      <c r="L186" s="255">
        <v>16.2</v>
      </c>
      <c r="M186" s="255">
        <v>76.099999999999994</v>
      </c>
      <c r="N186" s="255">
        <v>9.5</v>
      </c>
      <c r="O186" s="255">
        <v>25.6</v>
      </c>
      <c r="P186" s="255">
        <v>35.1</v>
      </c>
      <c r="Q186" s="255">
        <v>15.5</v>
      </c>
      <c r="R186" s="255">
        <v>5.8</v>
      </c>
      <c r="S186" s="255">
        <v>2.6</v>
      </c>
      <c r="T186" s="255">
        <v>11.4</v>
      </c>
      <c r="U186" s="255">
        <v>14.2</v>
      </c>
    </row>
    <row r="187" spans="1:21" ht="15.75" customHeight="1" thickBot="1" x14ac:dyDescent="0.3">
      <c r="A187" s="257">
        <v>186</v>
      </c>
      <c r="B187" s="259" t="s">
        <v>53</v>
      </c>
      <c r="C187" s="255">
        <v>30</v>
      </c>
      <c r="D187" s="255">
        <v>75.599999999999994</v>
      </c>
      <c r="E187" s="255">
        <v>26.8</v>
      </c>
      <c r="F187" s="255">
        <v>58.7</v>
      </c>
      <c r="G187" s="255">
        <v>45.7</v>
      </c>
      <c r="H187" s="255">
        <v>7.4</v>
      </c>
      <c r="I187" s="255">
        <v>21</v>
      </c>
      <c r="J187" s="255">
        <v>35.1</v>
      </c>
      <c r="K187" s="255">
        <v>14.5</v>
      </c>
      <c r="L187" s="255">
        <v>18.8</v>
      </c>
      <c r="M187" s="255">
        <v>77.2</v>
      </c>
      <c r="N187" s="255">
        <v>9.9</v>
      </c>
      <c r="O187" s="255">
        <v>28.8</v>
      </c>
      <c r="P187" s="255">
        <v>38.6</v>
      </c>
      <c r="Q187" s="255">
        <v>14.4</v>
      </c>
      <c r="R187" s="255">
        <v>5.5</v>
      </c>
      <c r="S187" s="255">
        <v>5.9</v>
      </c>
      <c r="T187" s="255">
        <v>10.7</v>
      </c>
      <c r="U187" s="255">
        <v>14.5</v>
      </c>
    </row>
    <row r="188" spans="1:21" ht="15.75" customHeight="1" thickBot="1" x14ac:dyDescent="0.3">
      <c r="A188" s="257">
        <v>187</v>
      </c>
      <c r="B188" s="259" t="s">
        <v>237</v>
      </c>
      <c r="C188" s="255">
        <v>30</v>
      </c>
      <c r="D188" s="255">
        <v>75.5</v>
      </c>
      <c r="E188" s="255">
        <v>24.3</v>
      </c>
      <c r="F188" s="255">
        <v>53.6</v>
      </c>
      <c r="G188" s="255">
        <v>45.3</v>
      </c>
      <c r="H188" s="255">
        <v>7.6</v>
      </c>
      <c r="I188" s="255">
        <v>22.2</v>
      </c>
      <c r="J188" s="255">
        <v>34.4</v>
      </c>
      <c r="K188" s="255">
        <v>19.399999999999999</v>
      </c>
      <c r="L188" s="255">
        <v>25.6</v>
      </c>
      <c r="M188" s="255">
        <v>75.599999999999994</v>
      </c>
      <c r="N188" s="255">
        <v>8.6999999999999993</v>
      </c>
      <c r="O188" s="255">
        <v>23.8</v>
      </c>
      <c r="P188" s="255">
        <v>32.5</v>
      </c>
      <c r="Q188" s="255">
        <v>14.5</v>
      </c>
      <c r="R188" s="255">
        <v>8.6999999999999993</v>
      </c>
      <c r="S188" s="255">
        <v>4.0999999999999996</v>
      </c>
      <c r="T188" s="255">
        <v>12.2</v>
      </c>
      <c r="U188" s="255">
        <v>16.7</v>
      </c>
    </row>
    <row r="189" spans="1:21" ht="15.75" customHeight="1" thickBot="1" x14ac:dyDescent="0.3">
      <c r="A189" s="257">
        <v>188</v>
      </c>
      <c r="B189" s="259" t="s">
        <v>14</v>
      </c>
      <c r="C189" s="255">
        <v>29</v>
      </c>
      <c r="D189" s="255">
        <v>75.5</v>
      </c>
      <c r="E189" s="255">
        <v>26.9</v>
      </c>
      <c r="F189" s="255">
        <v>57.3</v>
      </c>
      <c r="G189" s="255">
        <v>46.9</v>
      </c>
      <c r="H189" s="255">
        <v>7.8</v>
      </c>
      <c r="I189" s="255">
        <v>22.2</v>
      </c>
      <c r="J189" s="255">
        <v>35.299999999999997</v>
      </c>
      <c r="K189" s="255">
        <v>13.9</v>
      </c>
      <c r="L189" s="255">
        <v>18.399999999999999</v>
      </c>
      <c r="M189" s="255">
        <v>75.3</v>
      </c>
      <c r="N189" s="255">
        <v>8.3000000000000007</v>
      </c>
      <c r="O189" s="255">
        <v>27.4</v>
      </c>
      <c r="P189" s="255">
        <v>35.700000000000003</v>
      </c>
      <c r="Q189" s="255">
        <v>12.3</v>
      </c>
      <c r="R189" s="255">
        <v>5</v>
      </c>
      <c r="S189" s="255">
        <v>2.6</v>
      </c>
      <c r="T189" s="255">
        <v>9.8000000000000007</v>
      </c>
      <c r="U189" s="255">
        <v>13.6</v>
      </c>
    </row>
    <row r="190" spans="1:21" ht="15.75" customHeight="1" thickBot="1" x14ac:dyDescent="0.3">
      <c r="A190" s="257">
        <v>189</v>
      </c>
      <c r="B190" s="259" t="s">
        <v>450</v>
      </c>
      <c r="C190" s="255">
        <v>31</v>
      </c>
      <c r="D190" s="255">
        <v>75.5</v>
      </c>
      <c r="E190" s="255">
        <v>26.8</v>
      </c>
      <c r="F190" s="255">
        <v>56.9</v>
      </c>
      <c r="G190" s="255">
        <v>47.2</v>
      </c>
      <c r="H190" s="255">
        <v>9.3000000000000007</v>
      </c>
      <c r="I190" s="255">
        <v>25</v>
      </c>
      <c r="J190" s="255">
        <v>37.200000000000003</v>
      </c>
      <c r="K190" s="255">
        <v>12.5</v>
      </c>
      <c r="L190" s="255">
        <v>16.5</v>
      </c>
      <c r="M190" s="255">
        <v>75.599999999999994</v>
      </c>
      <c r="N190" s="255">
        <v>9.6999999999999993</v>
      </c>
      <c r="O190" s="255">
        <v>25.1</v>
      </c>
      <c r="P190" s="255">
        <v>34.799999999999997</v>
      </c>
      <c r="Q190" s="255">
        <v>16.5</v>
      </c>
      <c r="R190" s="255">
        <v>6</v>
      </c>
      <c r="S190" s="255">
        <v>2.8</v>
      </c>
      <c r="T190" s="255">
        <v>11.7</v>
      </c>
      <c r="U190" s="255">
        <v>17.899999999999999</v>
      </c>
    </row>
    <row r="191" spans="1:21" ht="15.75" customHeight="1" thickBot="1" x14ac:dyDescent="0.3">
      <c r="A191" s="257">
        <v>190</v>
      </c>
      <c r="B191" s="259" t="s">
        <v>332</v>
      </c>
      <c r="C191" s="255">
        <v>29</v>
      </c>
      <c r="D191" s="255">
        <v>75.400000000000006</v>
      </c>
      <c r="E191" s="255">
        <v>25.2</v>
      </c>
      <c r="F191" s="255">
        <v>58.9</v>
      </c>
      <c r="G191" s="255">
        <v>42.7</v>
      </c>
      <c r="H191" s="255">
        <v>7.1</v>
      </c>
      <c r="I191" s="255">
        <v>21.1</v>
      </c>
      <c r="J191" s="255">
        <v>33.700000000000003</v>
      </c>
      <c r="K191" s="255">
        <v>18</v>
      </c>
      <c r="L191" s="255">
        <v>24.3</v>
      </c>
      <c r="M191" s="255">
        <v>74.099999999999994</v>
      </c>
      <c r="N191" s="255">
        <v>11.4</v>
      </c>
      <c r="O191" s="255">
        <v>23.6</v>
      </c>
      <c r="P191" s="255">
        <v>34.9</v>
      </c>
      <c r="Q191" s="255">
        <v>13.3</v>
      </c>
      <c r="R191" s="255">
        <v>5</v>
      </c>
      <c r="S191" s="255">
        <v>3.6</v>
      </c>
      <c r="T191" s="255">
        <v>12.7</v>
      </c>
      <c r="U191" s="255">
        <v>21.5</v>
      </c>
    </row>
    <row r="192" spans="1:21" ht="15.75" customHeight="1" thickBot="1" x14ac:dyDescent="0.3">
      <c r="A192" s="257">
        <v>191</v>
      </c>
      <c r="B192" s="259" t="s">
        <v>69</v>
      </c>
      <c r="C192" s="255">
        <v>30</v>
      </c>
      <c r="D192" s="255">
        <v>75.400000000000006</v>
      </c>
      <c r="E192" s="255">
        <v>26.6</v>
      </c>
      <c r="F192" s="255">
        <v>54.1</v>
      </c>
      <c r="G192" s="255">
        <v>49.1</v>
      </c>
      <c r="H192" s="255">
        <v>7.8</v>
      </c>
      <c r="I192" s="255">
        <v>22.2</v>
      </c>
      <c r="J192" s="255">
        <v>35.200000000000003</v>
      </c>
      <c r="K192" s="255">
        <v>14.5</v>
      </c>
      <c r="L192" s="255">
        <v>18.600000000000001</v>
      </c>
      <c r="M192" s="255">
        <v>77.8</v>
      </c>
      <c r="N192" s="255">
        <v>9</v>
      </c>
      <c r="O192" s="255">
        <v>20.7</v>
      </c>
      <c r="P192" s="255">
        <v>29.7</v>
      </c>
      <c r="Q192" s="255">
        <v>15.1</v>
      </c>
      <c r="R192" s="255">
        <v>7.1</v>
      </c>
      <c r="S192" s="255">
        <v>2.1</v>
      </c>
      <c r="T192" s="255">
        <v>9.3000000000000007</v>
      </c>
      <c r="U192" s="255">
        <v>17.8</v>
      </c>
    </row>
    <row r="193" spans="1:21" ht="15.75" customHeight="1" thickBot="1" x14ac:dyDescent="0.3">
      <c r="A193" s="257">
        <v>192</v>
      </c>
      <c r="B193" s="259" t="s">
        <v>410</v>
      </c>
      <c r="C193" s="255">
        <v>32</v>
      </c>
      <c r="D193" s="255">
        <v>75.400000000000006</v>
      </c>
      <c r="E193" s="255">
        <v>27.3</v>
      </c>
      <c r="F193" s="255">
        <v>59.4</v>
      </c>
      <c r="G193" s="255">
        <v>46</v>
      </c>
      <c r="H193" s="255">
        <v>8</v>
      </c>
      <c r="I193" s="255">
        <v>23.3</v>
      </c>
      <c r="J193" s="255">
        <v>34.4</v>
      </c>
      <c r="K193" s="255">
        <v>12.7</v>
      </c>
      <c r="L193" s="255">
        <v>17.8</v>
      </c>
      <c r="M193" s="255">
        <v>71.099999999999994</v>
      </c>
      <c r="N193" s="255">
        <v>10.9</v>
      </c>
      <c r="O193" s="255">
        <v>26.4</v>
      </c>
      <c r="P193" s="255">
        <v>37.299999999999997</v>
      </c>
      <c r="Q193" s="255">
        <v>14.3</v>
      </c>
      <c r="R193" s="255">
        <v>5.8</v>
      </c>
      <c r="S193" s="255">
        <v>2.2999999999999998</v>
      </c>
      <c r="T193" s="255">
        <v>11.1</v>
      </c>
      <c r="U193" s="255">
        <v>16.8</v>
      </c>
    </row>
    <row r="194" spans="1:21" ht="15.75" customHeight="1" thickBot="1" x14ac:dyDescent="0.3">
      <c r="A194" s="257">
        <v>193</v>
      </c>
      <c r="B194" s="259" t="s">
        <v>423</v>
      </c>
      <c r="C194" s="255">
        <v>30</v>
      </c>
      <c r="D194" s="255">
        <v>75.400000000000006</v>
      </c>
      <c r="E194" s="255">
        <v>27.4</v>
      </c>
      <c r="F194" s="255">
        <v>58.4</v>
      </c>
      <c r="G194" s="255">
        <v>46.8</v>
      </c>
      <c r="H194" s="255">
        <v>7.1</v>
      </c>
      <c r="I194" s="255">
        <v>21.3</v>
      </c>
      <c r="J194" s="255">
        <v>33.299999999999997</v>
      </c>
      <c r="K194" s="255">
        <v>13.6</v>
      </c>
      <c r="L194" s="255">
        <v>21.2</v>
      </c>
      <c r="M194" s="255">
        <v>64.099999999999994</v>
      </c>
      <c r="N194" s="255">
        <v>10.3</v>
      </c>
      <c r="O194" s="255">
        <v>23.9</v>
      </c>
      <c r="P194" s="255">
        <v>34.200000000000003</v>
      </c>
      <c r="Q194" s="255">
        <v>12.8</v>
      </c>
      <c r="R194" s="255">
        <v>6.3</v>
      </c>
      <c r="S194" s="255">
        <v>6</v>
      </c>
      <c r="T194" s="255">
        <v>11.1</v>
      </c>
      <c r="U194" s="255">
        <v>16.399999999999999</v>
      </c>
    </row>
    <row r="195" spans="1:21" ht="15.75" customHeight="1" thickBot="1" x14ac:dyDescent="0.3">
      <c r="A195" s="257">
        <v>194</v>
      </c>
      <c r="B195" s="259" t="s">
        <v>276</v>
      </c>
      <c r="C195" s="255">
        <v>31</v>
      </c>
      <c r="D195" s="255">
        <v>75.400000000000006</v>
      </c>
      <c r="E195" s="255">
        <v>26.2</v>
      </c>
      <c r="F195" s="255">
        <v>58.8</v>
      </c>
      <c r="G195" s="255">
        <v>44.5</v>
      </c>
      <c r="H195" s="255">
        <v>9.4</v>
      </c>
      <c r="I195" s="255">
        <v>25.4</v>
      </c>
      <c r="J195" s="255">
        <v>36.9</v>
      </c>
      <c r="K195" s="255">
        <v>13.6</v>
      </c>
      <c r="L195" s="255">
        <v>18.399999999999999</v>
      </c>
      <c r="M195" s="255">
        <v>74.2</v>
      </c>
      <c r="N195" s="255">
        <v>12.1</v>
      </c>
      <c r="O195" s="255">
        <v>27</v>
      </c>
      <c r="P195" s="255">
        <v>39.1</v>
      </c>
      <c r="Q195" s="255">
        <v>13</v>
      </c>
      <c r="R195" s="255">
        <v>5</v>
      </c>
      <c r="S195" s="255">
        <v>4</v>
      </c>
      <c r="T195" s="255">
        <v>10.8</v>
      </c>
      <c r="U195" s="255">
        <v>16.899999999999999</v>
      </c>
    </row>
    <row r="196" spans="1:21" ht="15.75" customHeight="1" thickBot="1" x14ac:dyDescent="0.3">
      <c r="A196" s="257">
        <v>194</v>
      </c>
      <c r="B196" s="259" t="s">
        <v>381</v>
      </c>
      <c r="C196" s="255">
        <v>31</v>
      </c>
      <c r="D196" s="255">
        <v>75.400000000000006</v>
      </c>
      <c r="E196" s="255">
        <v>27</v>
      </c>
      <c r="F196" s="255">
        <v>62.6</v>
      </c>
      <c r="G196" s="255">
        <v>43.1</v>
      </c>
      <c r="H196" s="255">
        <v>7.4</v>
      </c>
      <c r="I196" s="255">
        <v>21.4</v>
      </c>
      <c r="J196" s="255">
        <v>34.4</v>
      </c>
      <c r="K196" s="255">
        <v>14</v>
      </c>
      <c r="L196" s="255">
        <v>20.399999999999999</v>
      </c>
      <c r="M196" s="255">
        <v>68.7</v>
      </c>
      <c r="N196" s="255">
        <v>12.5</v>
      </c>
      <c r="O196" s="255">
        <v>24.2</v>
      </c>
      <c r="P196" s="255">
        <v>36.700000000000003</v>
      </c>
      <c r="Q196" s="255">
        <v>13.6</v>
      </c>
      <c r="R196" s="255">
        <v>7.9</v>
      </c>
      <c r="S196" s="255">
        <v>4.5</v>
      </c>
      <c r="T196" s="255">
        <v>10.9</v>
      </c>
      <c r="U196" s="255">
        <v>16.2</v>
      </c>
    </row>
    <row r="197" spans="1:21" ht="15.75" customHeight="1" thickBot="1" x14ac:dyDescent="0.3">
      <c r="A197" s="257">
        <v>196</v>
      </c>
      <c r="B197" s="259" t="s">
        <v>406</v>
      </c>
      <c r="C197" s="255">
        <v>30</v>
      </c>
      <c r="D197" s="255">
        <v>75.3</v>
      </c>
      <c r="E197" s="255">
        <v>25.3</v>
      </c>
      <c r="F197" s="255">
        <v>58</v>
      </c>
      <c r="G197" s="255">
        <v>43.6</v>
      </c>
      <c r="H197" s="255">
        <v>7.9</v>
      </c>
      <c r="I197" s="255">
        <v>25.5</v>
      </c>
      <c r="J197" s="255">
        <v>30.8</v>
      </c>
      <c r="K197" s="255">
        <v>16.899999999999999</v>
      </c>
      <c r="L197" s="255">
        <v>21.5</v>
      </c>
      <c r="M197" s="255">
        <v>78.599999999999994</v>
      </c>
      <c r="N197" s="255">
        <v>9.1</v>
      </c>
      <c r="O197" s="255">
        <v>23.4</v>
      </c>
      <c r="P197" s="255">
        <v>32.5</v>
      </c>
      <c r="Q197" s="255">
        <v>13.3</v>
      </c>
      <c r="R197" s="255">
        <v>5.6</v>
      </c>
      <c r="S197" s="255">
        <v>2.4</v>
      </c>
      <c r="T197" s="255">
        <v>9.8000000000000007</v>
      </c>
      <c r="U197" s="255">
        <v>17.600000000000001</v>
      </c>
    </row>
    <row r="198" spans="1:21" ht="15.75" customHeight="1" thickBot="1" x14ac:dyDescent="0.3">
      <c r="A198" s="257">
        <v>197</v>
      </c>
      <c r="B198" s="259" t="s">
        <v>441</v>
      </c>
      <c r="C198" s="255">
        <v>31</v>
      </c>
      <c r="D198" s="255">
        <v>75.3</v>
      </c>
      <c r="E198" s="255">
        <v>26.6</v>
      </c>
      <c r="F198" s="255">
        <v>58.9</v>
      </c>
      <c r="G198" s="255">
        <v>45.2</v>
      </c>
      <c r="H198" s="255">
        <v>6.3</v>
      </c>
      <c r="I198" s="255">
        <v>19.399999999999999</v>
      </c>
      <c r="J198" s="255">
        <v>32.6</v>
      </c>
      <c r="K198" s="255">
        <v>15.8</v>
      </c>
      <c r="L198" s="255">
        <v>21.6</v>
      </c>
      <c r="M198" s="255">
        <v>73</v>
      </c>
      <c r="N198" s="255">
        <v>13</v>
      </c>
      <c r="O198" s="255">
        <v>23.5</v>
      </c>
      <c r="P198" s="255">
        <v>36.5</v>
      </c>
      <c r="Q198" s="255">
        <v>14.5</v>
      </c>
      <c r="R198" s="255">
        <v>8.1999999999999993</v>
      </c>
      <c r="S198" s="255">
        <v>3.7</v>
      </c>
      <c r="T198" s="255">
        <v>12.3</v>
      </c>
      <c r="U198" s="255">
        <v>16.8</v>
      </c>
    </row>
    <row r="199" spans="1:21" ht="15.75" customHeight="1" thickBot="1" x14ac:dyDescent="0.3">
      <c r="A199" s="257">
        <v>198</v>
      </c>
      <c r="B199" s="259" t="s">
        <v>235</v>
      </c>
      <c r="C199" s="255">
        <v>26</v>
      </c>
      <c r="D199" s="255">
        <v>75.3</v>
      </c>
      <c r="E199" s="255">
        <v>25</v>
      </c>
      <c r="F199" s="255">
        <v>56.7</v>
      </c>
      <c r="G199" s="255">
        <v>44.1</v>
      </c>
      <c r="H199" s="255">
        <v>10.199999999999999</v>
      </c>
      <c r="I199" s="255">
        <v>28</v>
      </c>
      <c r="J199" s="255">
        <v>36.299999999999997</v>
      </c>
      <c r="K199" s="255">
        <v>15.1</v>
      </c>
      <c r="L199" s="255">
        <v>20.6</v>
      </c>
      <c r="M199" s="255">
        <v>73.5</v>
      </c>
      <c r="N199" s="255">
        <v>8.8000000000000007</v>
      </c>
      <c r="O199" s="255">
        <v>26.6</v>
      </c>
      <c r="P199" s="255">
        <v>35.5</v>
      </c>
      <c r="Q199" s="255">
        <v>13.8</v>
      </c>
      <c r="R199" s="255">
        <v>4.9000000000000004</v>
      </c>
      <c r="S199" s="255">
        <v>3.7</v>
      </c>
      <c r="T199" s="255">
        <v>12.2</v>
      </c>
      <c r="U199" s="255">
        <v>16.100000000000001</v>
      </c>
    </row>
    <row r="200" spans="1:21" ht="15.75" customHeight="1" thickBot="1" x14ac:dyDescent="0.3">
      <c r="A200" s="257">
        <v>199</v>
      </c>
      <c r="B200" s="259" t="s">
        <v>308</v>
      </c>
      <c r="C200" s="255">
        <v>32</v>
      </c>
      <c r="D200" s="255">
        <v>75.2</v>
      </c>
      <c r="E200" s="255">
        <v>26.4</v>
      </c>
      <c r="F200" s="255">
        <v>60.8</v>
      </c>
      <c r="G200" s="255">
        <v>43.4</v>
      </c>
      <c r="H200" s="255">
        <v>9.5</v>
      </c>
      <c r="I200" s="255">
        <v>28.6</v>
      </c>
      <c r="J200" s="255">
        <v>33.4</v>
      </c>
      <c r="K200" s="255">
        <v>12.9</v>
      </c>
      <c r="L200" s="255">
        <v>18.399999999999999</v>
      </c>
      <c r="M200" s="255">
        <v>70.2</v>
      </c>
      <c r="N200" s="255">
        <v>10.7</v>
      </c>
      <c r="O200" s="255">
        <v>24.5</v>
      </c>
      <c r="P200" s="255">
        <v>35.200000000000003</v>
      </c>
      <c r="Q200" s="255">
        <v>13.2</v>
      </c>
      <c r="R200" s="255">
        <v>6.2</v>
      </c>
      <c r="S200" s="255">
        <v>3.6</v>
      </c>
      <c r="T200" s="255">
        <v>10.9</v>
      </c>
      <c r="U200" s="255">
        <v>16.8</v>
      </c>
    </row>
    <row r="201" spans="1:21" ht="15.75" customHeight="1" thickBot="1" x14ac:dyDescent="0.3">
      <c r="A201" s="257">
        <v>200</v>
      </c>
      <c r="B201" s="259" t="s">
        <v>345</v>
      </c>
      <c r="C201" s="255">
        <v>29</v>
      </c>
      <c r="D201" s="255">
        <v>75.2</v>
      </c>
      <c r="E201" s="255">
        <v>25.8</v>
      </c>
      <c r="F201" s="255">
        <v>55.7</v>
      </c>
      <c r="G201" s="255">
        <v>46.2</v>
      </c>
      <c r="H201" s="255">
        <v>5.8</v>
      </c>
      <c r="I201" s="255">
        <v>18.3</v>
      </c>
      <c r="J201" s="255">
        <v>31.8</v>
      </c>
      <c r="K201" s="255">
        <v>17.8</v>
      </c>
      <c r="L201" s="255">
        <v>25</v>
      </c>
      <c r="M201" s="255">
        <v>71.2</v>
      </c>
      <c r="N201" s="255">
        <v>10.6</v>
      </c>
      <c r="O201" s="255">
        <v>26.4</v>
      </c>
      <c r="P201" s="255">
        <v>37</v>
      </c>
      <c r="Q201" s="255">
        <v>12.1</v>
      </c>
      <c r="R201" s="255">
        <v>5.3</v>
      </c>
      <c r="S201" s="255">
        <v>3.8</v>
      </c>
      <c r="T201" s="255">
        <v>12.8</v>
      </c>
      <c r="U201" s="255">
        <v>18</v>
      </c>
    </row>
    <row r="202" spans="1:21" ht="15.75" customHeight="1" thickBot="1" x14ac:dyDescent="0.3">
      <c r="A202" s="257">
        <v>201</v>
      </c>
      <c r="B202" s="259" t="s">
        <v>272</v>
      </c>
      <c r="C202" s="255">
        <v>30</v>
      </c>
      <c r="D202" s="255">
        <v>75.2</v>
      </c>
      <c r="E202" s="255">
        <v>25.7</v>
      </c>
      <c r="F202" s="255">
        <v>56.8</v>
      </c>
      <c r="G202" s="255">
        <v>45.3</v>
      </c>
      <c r="H202" s="255">
        <v>6.9</v>
      </c>
      <c r="I202" s="255">
        <v>22.1</v>
      </c>
      <c r="J202" s="255">
        <v>31.3</v>
      </c>
      <c r="K202" s="255">
        <v>16.8</v>
      </c>
      <c r="L202" s="255">
        <v>22.2</v>
      </c>
      <c r="M202" s="255">
        <v>75.7</v>
      </c>
      <c r="N202" s="255">
        <v>10.4</v>
      </c>
      <c r="O202" s="255">
        <v>26</v>
      </c>
      <c r="P202" s="255">
        <v>36.4</v>
      </c>
      <c r="Q202" s="255">
        <v>12.6</v>
      </c>
      <c r="R202" s="255">
        <v>6.4</v>
      </c>
      <c r="S202" s="255">
        <v>3.6</v>
      </c>
      <c r="T202" s="255">
        <v>12.3</v>
      </c>
      <c r="U202" s="255">
        <v>18.399999999999999</v>
      </c>
    </row>
    <row r="203" spans="1:21" ht="15.75" customHeight="1" thickBot="1" x14ac:dyDescent="0.3">
      <c r="A203" s="257">
        <v>202</v>
      </c>
      <c r="B203" s="259" t="s">
        <v>428</v>
      </c>
      <c r="C203" s="255">
        <v>29</v>
      </c>
      <c r="D203" s="255">
        <v>75.099999999999994</v>
      </c>
      <c r="E203" s="255">
        <v>26.4</v>
      </c>
      <c r="F203" s="255">
        <v>58.3</v>
      </c>
      <c r="G203" s="255">
        <v>45.2</v>
      </c>
      <c r="H203" s="255">
        <v>6.2</v>
      </c>
      <c r="I203" s="255">
        <v>18.899999999999999</v>
      </c>
      <c r="J203" s="255">
        <v>32.9</v>
      </c>
      <c r="K203" s="255">
        <v>16.100000000000001</v>
      </c>
      <c r="L203" s="255">
        <v>22.5</v>
      </c>
      <c r="M203" s="255">
        <v>71.599999999999994</v>
      </c>
      <c r="N203" s="255">
        <v>10.3</v>
      </c>
      <c r="O203" s="255">
        <v>25.3</v>
      </c>
      <c r="P203" s="255">
        <v>35.6</v>
      </c>
      <c r="Q203" s="255">
        <v>11.1</v>
      </c>
      <c r="R203" s="255">
        <v>6.9</v>
      </c>
      <c r="S203" s="255">
        <v>3.3</v>
      </c>
      <c r="T203" s="255">
        <v>13.6</v>
      </c>
      <c r="U203" s="255">
        <v>19.600000000000001</v>
      </c>
    </row>
    <row r="204" spans="1:21" ht="15.75" customHeight="1" thickBot="1" x14ac:dyDescent="0.3">
      <c r="A204" s="257">
        <v>203</v>
      </c>
      <c r="B204" s="259" t="s">
        <v>399</v>
      </c>
      <c r="C204" s="255">
        <v>32</v>
      </c>
      <c r="D204" s="255">
        <v>75.099999999999994</v>
      </c>
      <c r="E204" s="255">
        <v>27</v>
      </c>
      <c r="F204" s="255">
        <v>60.7</v>
      </c>
      <c r="G204" s="255">
        <v>44.6</v>
      </c>
      <c r="H204" s="255">
        <v>9.1999999999999993</v>
      </c>
      <c r="I204" s="255">
        <v>26.1</v>
      </c>
      <c r="J204" s="255">
        <v>35.299999999999997</v>
      </c>
      <c r="K204" s="255">
        <v>11.8</v>
      </c>
      <c r="L204" s="255">
        <v>15.6</v>
      </c>
      <c r="M204" s="255">
        <v>75.7</v>
      </c>
      <c r="N204" s="255">
        <v>10.199999999999999</v>
      </c>
      <c r="O204" s="255">
        <v>21.4</v>
      </c>
      <c r="P204" s="255">
        <v>31.7</v>
      </c>
      <c r="Q204" s="255">
        <v>16.2</v>
      </c>
      <c r="R204" s="255">
        <v>7.9</v>
      </c>
      <c r="S204" s="255">
        <v>2.8</v>
      </c>
      <c r="T204" s="255">
        <v>12.4</v>
      </c>
      <c r="U204" s="255">
        <v>18.2</v>
      </c>
    </row>
    <row r="205" spans="1:21" ht="15.75" customHeight="1" thickBot="1" x14ac:dyDescent="0.3">
      <c r="A205" s="257">
        <v>204</v>
      </c>
      <c r="B205" s="259" t="s">
        <v>243</v>
      </c>
      <c r="C205" s="255">
        <v>32</v>
      </c>
      <c r="D205" s="255">
        <v>75</v>
      </c>
      <c r="E205" s="255">
        <v>26</v>
      </c>
      <c r="F205" s="255">
        <v>58.8</v>
      </c>
      <c r="G205" s="255">
        <v>44.2</v>
      </c>
      <c r="H205" s="255">
        <v>9.1999999999999993</v>
      </c>
      <c r="I205" s="255">
        <v>26.8</v>
      </c>
      <c r="J205" s="255">
        <v>34.200000000000003</v>
      </c>
      <c r="K205" s="255">
        <v>13.9</v>
      </c>
      <c r="L205" s="255">
        <v>19.5</v>
      </c>
      <c r="M205" s="255">
        <v>71.2</v>
      </c>
      <c r="N205" s="255">
        <v>9.8000000000000007</v>
      </c>
      <c r="O205" s="255">
        <v>25.9</v>
      </c>
      <c r="P205" s="255">
        <v>35.700000000000003</v>
      </c>
      <c r="Q205" s="255">
        <v>13.3</v>
      </c>
      <c r="R205" s="255">
        <v>5.5</v>
      </c>
      <c r="S205" s="255">
        <v>3.1</v>
      </c>
      <c r="T205" s="255">
        <v>10.3</v>
      </c>
      <c r="U205" s="255">
        <v>17</v>
      </c>
    </row>
    <row r="206" spans="1:21" ht="15.75" customHeight="1" thickBot="1" x14ac:dyDescent="0.3">
      <c r="A206" s="257">
        <v>205</v>
      </c>
      <c r="B206" s="259" t="s">
        <v>313</v>
      </c>
      <c r="C206" s="255">
        <v>30</v>
      </c>
      <c r="D206" s="255">
        <v>75</v>
      </c>
      <c r="E206" s="255">
        <v>26.7</v>
      </c>
      <c r="F206" s="255">
        <v>61.1</v>
      </c>
      <c r="G206" s="255">
        <v>43.8</v>
      </c>
      <c r="H206" s="255">
        <v>8.1</v>
      </c>
      <c r="I206" s="255">
        <v>25.4</v>
      </c>
      <c r="J206" s="255">
        <v>31.7</v>
      </c>
      <c r="K206" s="255">
        <v>13.5</v>
      </c>
      <c r="L206" s="255">
        <v>19.899999999999999</v>
      </c>
      <c r="M206" s="255">
        <v>67.599999999999994</v>
      </c>
      <c r="N206" s="255">
        <v>11.2</v>
      </c>
      <c r="O206" s="255">
        <v>23.2</v>
      </c>
      <c r="P206" s="255">
        <v>34.4</v>
      </c>
      <c r="Q206" s="255">
        <v>15.3</v>
      </c>
      <c r="R206" s="255">
        <v>9.4</v>
      </c>
      <c r="S206" s="255">
        <v>3.1</v>
      </c>
      <c r="T206" s="255">
        <v>11.4</v>
      </c>
      <c r="U206" s="255">
        <v>17.100000000000001</v>
      </c>
    </row>
    <row r="207" spans="1:21" ht="15.75" customHeight="1" thickBot="1" x14ac:dyDescent="0.3">
      <c r="A207" s="257">
        <v>205</v>
      </c>
      <c r="B207" s="259" t="s">
        <v>340</v>
      </c>
      <c r="C207" s="255">
        <v>31</v>
      </c>
      <c r="D207" s="255">
        <v>75</v>
      </c>
      <c r="E207" s="255">
        <v>24.9</v>
      </c>
      <c r="F207" s="255">
        <v>55.8</v>
      </c>
      <c r="G207" s="255">
        <v>44.5</v>
      </c>
      <c r="H207" s="255">
        <v>6.1</v>
      </c>
      <c r="I207" s="255">
        <v>19</v>
      </c>
      <c r="J207" s="255">
        <v>32</v>
      </c>
      <c r="K207" s="255">
        <v>19.2</v>
      </c>
      <c r="L207" s="255">
        <v>25.7</v>
      </c>
      <c r="M207" s="255">
        <v>74.7</v>
      </c>
      <c r="N207" s="255">
        <v>11.9</v>
      </c>
      <c r="O207" s="255">
        <v>25.6</v>
      </c>
      <c r="P207" s="255">
        <v>37.5</v>
      </c>
      <c r="Q207" s="255">
        <v>13</v>
      </c>
      <c r="R207" s="255">
        <v>5.7</v>
      </c>
      <c r="S207" s="255">
        <v>3.8</v>
      </c>
      <c r="T207" s="255">
        <v>14.6</v>
      </c>
      <c r="U207" s="255">
        <v>19.8</v>
      </c>
    </row>
    <row r="208" spans="1:21" ht="15.75" customHeight="1" thickBot="1" x14ac:dyDescent="0.3">
      <c r="A208" s="257">
        <v>207</v>
      </c>
      <c r="B208" s="259" t="s">
        <v>411</v>
      </c>
      <c r="C208" s="255">
        <v>32</v>
      </c>
      <c r="D208" s="255">
        <v>75</v>
      </c>
      <c r="E208" s="255">
        <v>26.5</v>
      </c>
      <c r="F208" s="255">
        <v>58.4</v>
      </c>
      <c r="G208" s="255">
        <v>45.3</v>
      </c>
      <c r="H208" s="255">
        <v>6.5</v>
      </c>
      <c r="I208" s="255">
        <v>21.3</v>
      </c>
      <c r="J208" s="255">
        <v>30.6</v>
      </c>
      <c r="K208" s="255">
        <v>15.5</v>
      </c>
      <c r="L208" s="255">
        <v>22.4</v>
      </c>
      <c r="M208" s="255">
        <v>69.2</v>
      </c>
      <c r="N208" s="255">
        <v>9.8000000000000007</v>
      </c>
      <c r="O208" s="255">
        <v>24</v>
      </c>
      <c r="P208" s="255">
        <v>33.9</v>
      </c>
      <c r="Q208" s="255">
        <v>12.6</v>
      </c>
      <c r="R208" s="255">
        <v>6.8</v>
      </c>
      <c r="S208" s="255">
        <v>3.6</v>
      </c>
      <c r="T208" s="255">
        <v>11.8</v>
      </c>
      <c r="U208" s="255">
        <v>19.7</v>
      </c>
    </row>
    <row r="209" spans="1:21" ht="15.75" customHeight="1" thickBot="1" x14ac:dyDescent="0.3">
      <c r="A209" s="257">
        <v>208</v>
      </c>
      <c r="B209" s="259" t="s">
        <v>443</v>
      </c>
      <c r="C209" s="255">
        <v>31</v>
      </c>
      <c r="D209" s="255">
        <v>74.900000000000006</v>
      </c>
      <c r="E209" s="255">
        <v>27.3</v>
      </c>
      <c r="F209" s="255">
        <v>58.9</v>
      </c>
      <c r="G209" s="255">
        <v>46.4</v>
      </c>
      <c r="H209" s="255">
        <v>5.7</v>
      </c>
      <c r="I209" s="255">
        <v>18</v>
      </c>
      <c r="J209" s="255">
        <v>31.7</v>
      </c>
      <c r="K209" s="255">
        <v>14.5</v>
      </c>
      <c r="L209" s="255">
        <v>22</v>
      </c>
      <c r="M209" s="255">
        <v>66</v>
      </c>
      <c r="N209" s="255">
        <v>12.1</v>
      </c>
      <c r="O209" s="255">
        <v>25.4</v>
      </c>
      <c r="P209" s="255">
        <v>37.5</v>
      </c>
      <c r="Q209" s="255">
        <v>12.5</v>
      </c>
      <c r="R209" s="255">
        <v>5.2</v>
      </c>
      <c r="S209" s="255">
        <v>3</v>
      </c>
      <c r="T209" s="255">
        <v>12.3</v>
      </c>
      <c r="U209" s="255">
        <v>15</v>
      </c>
    </row>
    <row r="210" spans="1:21" ht="15.75" customHeight="1" thickBot="1" x14ac:dyDescent="0.3">
      <c r="A210" s="257">
        <v>209</v>
      </c>
      <c r="B210" s="259" t="s">
        <v>254</v>
      </c>
      <c r="C210" s="255">
        <v>32</v>
      </c>
      <c r="D210" s="255">
        <v>74.8</v>
      </c>
      <c r="E210" s="255">
        <v>27.3</v>
      </c>
      <c r="F210" s="255">
        <v>62.9</v>
      </c>
      <c r="G210" s="255">
        <v>43.3</v>
      </c>
      <c r="H210" s="255">
        <v>7.7</v>
      </c>
      <c r="I210" s="255">
        <v>22.7</v>
      </c>
      <c r="J210" s="255">
        <v>33.700000000000003</v>
      </c>
      <c r="K210" s="255">
        <v>12.6</v>
      </c>
      <c r="L210" s="255">
        <v>17.7</v>
      </c>
      <c r="M210" s="255">
        <v>71.3</v>
      </c>
      <c r="N210" s="255">
        <v>13.8</v>
      </c>
      <c r="O210" s="255">
        <v>24.6</v>
      </c>
      <c r="P210" s="255">
        <v>38.4</v>
      </c>
      <c r="Q210" s="255">
        <v>12.1</v>
      </c>
      <c r="R210" s="255">
        <v>6.6</v>
      </c>
      <c r="S210" s="255">
        <v>3.6</v>
      </c>
      <c r="T210" s="255">
        <v>10.3</v>
      </c>
      <c r="U210" s="255">
        <v>15.1</v>
      </c>
    </row>
    <row r="211" spans="1:21" ht="15.75" customHeight="1" thickBot="1" x14ac:dyDescent="0.3">
      <c r="A211" s="257">
        <v>209</v>
      </c>
      <c r="B211" s="259" t="s">
        <v>34</v>
      </c>
      <c r="C211" s="255">
        <v>32</v>
      </c>
      <c r="D211" s="255">
        <v>74.8</v>
      </c>
      <c r="E211" s="255">
        <v>26</v>
      </c>
      <c r="F211" s="255">
        <v>54.3</v>
      </c>
      <c r="G211" s="255">
        <v>47.8</v>
      </c>
      <c r="H211" s="255">
        <v>6.7</v>
      </c>
      <c r="I211" s="255">
        <v>18.399999999999999</v>
      </c>
      <c r="J211" s="255">
        <v>36.4</v>
      </c>
      <c r="K211" s="255">
        <v>16.100000000000001</v>
      </c>
      <c r="L211" s="255">
        <v>21.9</v>
      </c>
      <c r="M211" s="255">
        <v>73.599999999999994</v>
      </c>
      <c r="N211" s="255">
        <v>10.3</v>
      </c>
      <c r="O211" s="255">
        <v>26.4</v>
      </c>
      <c r="P211" s="255">
        <v>36.700000000000003</v>
      </c>
      <c r="Q211" s="255">
        <v>16.3</v>
      </c>
      <c r="R211" s="255">
        <v>7.6</v>
      </c>
      <c r="S211" s="255">
        <v>3.2</v>
      </c>
      <c r="T211" s="255">
        <v>11.5</v>
      </c>
      <c r="U211" s="255">
        <v>14.4</v>
      </c>
    </row>
    <row r="212" spans="1:21" ht="15.75" customHeight="1" thickBot="1" x14ac:dyDescent="0.3">
      <c r="A212" s="257">
        <v>209</v>
      </c>
      <c r="B212" s="259" t="s">
        <v>273</v>
      </c>
      <c r="C212" s="255">
        <v>32</v>
      </c>
      <c r="D212" s="255">
        <v>74.8</v>
      </c>
      <c r="E212" s="255">
        <v>25.5</v>
      </c>
      <c r="F212" s="255">
        <v>52.5</v>
      </c>
      <c r="G212" s="255">
        <v>48.5</v>
      </c>
      <c r="H212" s="255">
        <v>7.2</v>
      </c>
      <c r="I212" s="255">
        <v>19.7</v>
      </c>
      <c r="J212" s="255">
        <v>36.299999999999997</v>
      </c>
      <c r="K212" s="255">
        <v>16.7</v>
      </c>
      <c r="L212" s="255">
        <v>21.9</v>
      </c>
      <c r="M212" s="255">
        <v>76.099999999999994</v>
      </c>
      <c r="N212" s="255">
        <v>7.7</v>
      </c>
      <c r="O212" s="255">
        <v>23.8</v>
      </c>
      <c r="P212" s="255">
        <v>31.5</v>
      </c>
      <c r="Q212" s="255">
        <v>13.8</v>
      </c>
      <c r="R212" s="255">
        <v>4.5999999999999996</v>
      </c>
      <c r="S212" s="255">
        <v>2.7</v>
      </c>
      <c r="T212" s="255">
        <v>10.5</v>
      </c>
      <c r="U212" s="255">
        <v>17</v>
      </c>
    </row>
    <row r="213" spans="1:21" ht="15.75" customHeight="1" thickBot="1" x14ac:dyDescent="0.3">
      <c r="A213" s="257">
        <v>212</v>
      </c>
      <c r="B213" s="259" t="s">
        <v>319</v>
      </c>
      <c r="C213" s="255">
        <v>30</v>
      </c>
      <c r="D213" s="255">
        <v>74.7</v>
      </c>
      <c r="E213" s="255">
        <v>26.6</v>
      </c>
      <c r="F213" s="255">
        <v>61.4</v>
      </c>
      <c r="G213" s="255">
        <v>43.4</v>
      </c>
      <c r="H213" s="255">
        <v>6.6</v>
      </c>
      <c r="I213" s="255">
        <v>20.7</v>
      </c>
      <c r="J213" s="255">
        <v>31.7</v>
      </c>
      <c r="K213" s="255">
        <v>14.9</v>
      </c>
      <c r="L213" s="255">
        <v>20.6</v>
      </c>
      <c r="M213" s="255">
        <v>72.400000000000006</v>
      </c>
      <c r="N213" s="255">
        <v>12.9</v>
      </c>
      <c r="O213" s="255">
        <v>23.5</v>
      </c>
      <c r="P213" s="255">
        <v>36.4</v>
      </c>
      <c r="Q213" s="255">
        <v>13.4</v>
      </c>
      <c r="R213" s="255">
        <v>8.6</v>
      </c>
      <c r="S213" s="255">
        <v>4.2</v>
      </c>
      <c r="T213" s="255">
        <v>13.7</v>
      </c>
      <c r="U213" s="255">
        <v>20.399999999999999</v>
      </c>
    </row>
    <row r="214" spans="1:21" ht="15.75" customHeight="1" thickBot="1" x14ac:dyDescent="0.3">
      <c r="A214" s="257">
        <v>213</v>
      </c>
      <c r="B214" s="259" t="s">
        <v>374</v>
      </c>
      <c r="C214" s="255">
        <v>32</v>
      </c>
      <c r="D214" s="255">
        <v>74.7</v>
      </c>
      <c r="E214" s="255">
        <v>26.7</v>
      </c>
      <c r="F214" s="255">
        <v>57.3</v>
      </c>
      <c r="G214" s="255">
        <v>46.6</v>
      </c>
      <c r="H214" s="255">
        <v>6.2</v>
      </c>
      <c r="I214" s="255">
        <v>20.2</v>
      </c>
      <c r="J214" s="255">
        <v>30.5</v>
      </c>
      <c r="K214" s="255">
        <v>15.2</v>
      </c>
      <c r="L214" s="255">
        <v>20.7</v>
      </c>
      <c r="M214" s="255">
        <v>73.5</v>
      </c>
      <c r="N214" s="255">
        <v>9.5</v>
      </c>
      <c r="O214" s="255">
        <v>24.1</v>
      </c>
      <c r="P214" s="255">
        <v>33.6</v>
      </c>
      <c r="Q214" s="255">
        <v>16.8</v>
      </c>
      <c r="R214" s="255">
        <v>6.1</v>
      </c>
      <c r="S214" s="255">
        <v>2.9</v>
      </c>
      <c r="T214" s="255">
        <v>13.7</v>
      </c>
      <c r="U214" s="255">
        <v>17.5</v>
      </c>
    </row>
    <row r="215" spans="1:21" ht="15.75" customHeight="1" thickBot="1" x14ac:dyDescent="0.3">
      <c r="A215" s="257">
        <v>214</v>
      </c>
      <c r="B215" s="259" t="s">
        <v>470</v>
      </c>
      <c r="C215" s="255">
        <v>30</v>
      </c>
      <c r="D215" s="255">
        <v>74.7</v>
      </c>
      <c r="E215" s="255">
        <v>26.4</v>
      </c>
      <c r="F215" s="255">
        <v>59.7</v>
      </c>
      <c r="G215" s="255">
        <v>44.2</v>
      </c>
      <c r="H215" s="255">
        <v>7.2</v>
      </c>
      <c r="I215" s="255">
        <v>20.5</v>
      </c>
      <c r="J215" s="255">
        <v>35</v>
      </c>
      <c r="K215" s="255">
        <v>14.8</v>
      </c>
      <c r="L215" s="255">
        <v>19.899999999999999</v>
      </c>
      <c r="M215" s="255">
        <v>74.2</v>
      </c>
      <c r="N215" s="255">
        <v>11</v>
      </c>
      <c r="O215" s="255">
        <v>25.4</v>
      </c>
      <c r="P215" s="255">
        <v>36.4</v>
      </c>
      <c r="Q215" s="255">
        <v>12.6</v>
      </c>
      <c r="R215" s="255">
        <v>4.5999999999999996</v>
      </c>
      <c r="S215" s="255">
        <v>2.6</v>
      </c>
      <c r="T215" s="255">
        <v>12.2</v>
      </c>
      <c r="U215" s="255">
        <v>18.899999999999999</v>
      </c>
    </row>
    <row r="216" spans="1:21" ht="15.75" customHeight="1" thickBot="1" x14ac:dyDescent="0.3">
      <c r="A216" s="257">
        <v>215</v>
      </c>
      <c r="B216" s="259" t="s">
        <v>358</v>
      </c>
      <c r="C216" s="255">
        <v>30</v>
      </c>
      <c r="D216" s="255">
        <v>74.599999999999994</v>
      </c>
      <c r="E216" s="255">
        <v>26</v>
      </c>
      <c r="F216" s="255">
        <v>57.9</v>
      </c>
      <c r="G216" s="255">
        <v>44.8</v>
      </c>
      <c r="H216" s="255">
        <v>8.9</v>
      </c>
      <c r="I216" s="255">
        <v>24.9</v>
      </c>
      <c r="J216" s="255">
        <v>35.799999999999997</v>
      </c>
      <c r="K216" s="255">
        <v>13.8</v>
      </c>
      <c r="L216" s="255">
        <v>19.7</v>
      </c>
      <c r="M216" s="255">
        <v>69.8</v>
      </c>
      <c r="N216" s="255">
        <v>11.2</v>
      </c>
      <c r="O216" s="255">
        <v>25.4</v>
      </c>
      <c r="P216" s="255">
        <v>36.6</v>
      </c>
      <c r="Q216" s="255">
        <v>12.3</v>
      </c>
      <c r="R216" s="255">
        <v>4.5</v>
      </c>
      <c r="S216" s="255">
        <v>2.2000000000000002</v>
      </c>
      <c r="T216" s="255">
        <v>11.5</v>
      </c>
      <c r="U216" s="255">
        <v>17.5</v>
      </c>
    </row>
    <row r="217" spans="1:21" ht="15.75" customHeight="1" thickBot="1" x14ac:dyDescent="0.3">
      <c r="A217" s="257">
        <v>216</v>
      </c>
      <c r="B217" s="259" t="s">
        <v>454</v>
      </c>
      <c r="C217" s="255">
        <v>30</v>
      </c>
      <c r="D217" s="255">
        <v>74.599999999999994</v>
      </c>
      <c r="E217" s="255">
        <v>26.5</v>
      </c>
      <c r="F217" s="255">
        <v>58.6</v>
      </c>
      <c r="G217" s="255">
        <v>45.3</v>
      </c>
      <c r="H217" s="255">
        <v>7.8</v>
      </c>
      <c r="I217" s="255">
        <v>22.3</v>
      </c>
      <c r="J217" s="255">
        <v>35.200000000000003</v>
      </c>
      <c r="K217" s="255">
        <v>13.7</v>
      </c>
      <c r="L217" s="255">
        <v>18.8</v>
      </c>
      <c r="M217" s="255">
        <v>72.900000000000006</v>
      </c>
      <c r="N217" s="255">
        <v>10.1</v>
      </c>
      <c r="O217" s="255">
        <v>23.8</v>
      </c>
      <c r="P217" s="255">
        <v>34</v>
      </c>
      <c r="Q217" s="255">
        <v>13.8</v>
      </c>
      <c r="R217" s="255">
        <v>5.5</v>
      </c>
      <c r="S217" s="255">
        <v>3.5</v>
      </c>
      <c r="T217" s="255">
        <v>11.4</v>
      </c>
      <c r="U217" s="255">
        <v>16.3</v>
      </c>
    </row>
    <row r="218" spans="1:21" ht="15.75" customHeight="1" thickBot="1" x14ac:dyDescent="0.3">
      <c r="A218" s="257">
        <v>217</v>
      </c>
      <c r="B218" s="259" t="s">
        <v>188</v>
      </c>
      <c r="C218" s="255">
        <v>32</v>
      </c>
      <c r="D218" s="255">
        <v>74.599999999999994</v>
      </c>
      <c r="E218" s="255">
        <v>26.3</v>
      </c>
      <c r="F218" s="255">
        <v>58.7</v>
      </c>
      <c r="G218" s="255">
        <v>44.9</v>
      </c>
      <c r="H218" s="255">
        <v>9</v>
      </c>
      <c r="I218" s="255">
        <v>27</v>
      </c>
      <c r="J218" s="255">
        <v>33.299999999999997</v>
      </c>
      <c r="K218" s="255">
        <v>12.9</v>
      </c>
      <c r="L218" s="255">
        <v>17.2</v>
      </c>
      <c r="M218" s="255">
        <v>75.099999999999994</v>
      </c>
      <c r="N218" s="255">
        <v>9.6999999999999993</v>
      </c>
      <c r="O218" s="255">
        <v>22.1</v>
      </c>
      <c r="P218" s="255">
        <v>31.8</v>
      </c>
      <c r="Q218" s="255">
        <v>13.4</v>
      </c>
      <c r="R218" s="255">
        <v>7.7</v>
      </c>
      <c r="S218" s="255">
        <v>1.5</v>
      </c>
      <c r="T218" s="255">
        <v>10.6</v>
      </c>
      <c r="U218" s="255">
        <v>18.600000000000001</v>
      </c>
    </row>
    <row r="219" spans="1:21" ht="15.75" customHeight="1" thickBot="1" x14ac:dyDescent="0.3">
      <c r="A219" s="257">
        <v>218</v>
      </c>
      <c r="B219" s="259" t="s">
        <v>303</v>
      </c>
      <c r="C219" s="255">
        <v>31</v>
      </c>
      <c r="D219" s="255">
        <v>74.599999999999994</v>
      </c>
      <c r="E219" s="255">
        <v>27.4</v>
      </c>
      <c r="F219" s="255">
        <v>60.4</v>
      </c>
      <c r="G219" s="255">
        <v>45.4</v>
      </c>
      <c r="H219" s="255">
        <v>6.7</v>
      </c>
      <c r="I219" s="255">
        <v>20.6</v>
      </c>
      <c r="J219" s="255">
        <v>32.700000000000003</v>
      </c>
      <c r="K219" s="255">
        <v>13</v>
      </c>
      <c r="L219" s="255">
        <v>17.8</v>
      </c>
      <c r="M219" s="255">
        <v>73.099999999999994</v>
      </c>
      <c r="N219" s="255">
        <v>9.6</v>
      </c>
      <c r="O219" s="255">
        <v>23.5</v>
      </c>
      <c r="P219" s="255">
        <v>33.1</v>
      </c>
      <c r="Q219" s="255">
        <v>13.4</v>
      </c>
      <c r="R219" s="255">
        <v>7.1</v>
      </c>
      <c r="S219" s="255">
        <v>3</v>
      </c>
      <c r="T219" s="255">
        <v>12.7</v>
      </c>
      <c r="U219" s="255">
        <v>20.3</v>
      </c>
    </row>
    <row r="220" spans="1:21" ht="15.75" customHeight="1" thickBot="1" x14ac:dyDescent="0.3">
      <c r="A220" s="257">
        <v>219</v>
      </c>
      <c r="B220" s="259" t="s">
        <v>289</v>
      </c>
      <c r="C220" s="255">
        <v>33</v>
      </c>
      <c r="D220" s="255">
        <v>74.5</v>
      </c>
      <c r="E220" s="255">
        <v>25.9</v>
      </c>
      <c r="F220" s="255">
        <v>56.8</v>
      </c>
      <c r="G220" s="255">
        <v>45.5</v>
      </c>
      <c r="H220" s="255">
        <v>8.4</v>
      </c>
      <c r="I220" s="255">
        <v>24.1</v>
      </c>
      <c r="J220" s="255">
        <v>34.799999999999997</v>
      </c>
      <c r="K220" s="255">
        <v>14.4</v>
      </c>
      <c r="L220" s="255">
        <v>20.399999999999999</v>
      </c>
      <c r="M220" s="255">
        <v>70.599999999999994</v>
      </c>
      <c r="N220" s="255">
        <v>10.6</v>
      </c>
      <c r="O220" s="255">
        <v>26.1</v>
      </c>
      <c r="P220" s="255">
        <v>36.700000000000003</v>
      </c>
      <c r="Q220" s="255">
        <v>12.5</v>
      </c>
      <c r="R220" s="255">
        <v>5.2</v>
      </c>
      <c r="S220" s="255">
        <v>4.2</v>
      </c>
      <c r="T220" s="255">
        <v>11.7</v>
      </c>
      <c r="U220" s="255">
        <v>18.8</v>
      </c>
    </row>
    <row r="221" spans="1:21" ht="15.75" customHeight="1" thickBot="1" x14ac:dyDescent="0.3">
      <c r="A221" s="257">
        <v>220</v>
      </c>
      <c r="B221" s="259" t="s">
        <v>280</v>
      </c>
      <c r="C221" s="255">
        <v>31</v>
      </c>
      <c r="D221" s="255">
        <v>74.5</v>
      </c>
      <c r="E221" s="255">
        <v>25.5</v>
      </c>
      <c r="F221" s="255">
        <v>56.2</v>
      </c>
      <c r="G221" s="255">
        <v>45.3</v>
      </c>
      <c r="H221" s="255">
        <v>7.7</v>
      </c>
      <c r="I221" s="255">
        <v>23.4</v>
      </c>
      <c r="J221" s="255">
        <v>32.9</v>
      </c>
      <c r="K221" s="255">
        <v>15.8</v>
      </c>
      <c r="L221" s="255">
        <v>21.1</v>
      </c>
      <c r="M221" s="255">
        <v>75</v>
      </c>
      <c r="N221" s="255">
        <v>10.8</v>
      </c>
      <c r="O221" s="255">
        <v>22</v>
      </c>
      <c r="P221" s="255">
        <v>32.799999999999997</v>
      </c>
      <c r="Q221" s="255">
        <v>12</v>
      </c>
      <c r="R221" s="255">
        <v>5.4</v>
      </c>
      <c r="S221" s="255">
        <v>4.3</v>
      </c>
      <c r="T221" s="255">
        <v>11.1</v>
      </c>
      <c r="U221" s="255">
        <v>17.3</v>
      </c>
    </row>
    <row r="222" spans="1:21" ht="15.75" customHeight="1" thickBot="1" x14ac:dyDescent="0.3">
      <c r="A222" s="257">
        <v>221</v>
      </c>
      <c r="B222" s="259" t="s">
        <v>424</v>
      </c>
      <c r="C222" s="255">
        <v>31</v>
      </c>
      <c r="D222" s="255">
        <v>74.400000000000006</v>
      </c>
      <c r="E222" s="255">
        <v>26.2</v>
      </c>
      <c r="F222" s="255">
        <v>58</v>
      </c>
      <c r="G222" s="255">
        <v>45.2</v>
      </c>
      <c r="H222" s="255">
        <v>4.5999999999999996</v>
      </c>
      <c r="I222" s="255">
        <v>14.3</v>
      </c>
      <c r="J222" s="255">
        <v>32.1</v>
      </c>
      <c r="K222" s="255">
        <v>17.5</v>
      </c>
      <c r="L222" s="255">
        <v>23.4</v>
      </c>
      <c r="M222" s="255">
        <v>74.599999999999994</v>
      </c>
      <c r="N222" s="255">
        <v>11.1</v>
      </c>
      <c r="O222" s="255">
        <v>21.7</v>
      </c>
      <c r="P222" s="255">
        <v>32.9</v>
      </c>
      <c r="Q222" s="255">
        <v>11.3</v>
      </c>
      <c r="R222" s="255">
        <v>10.4</v>
      </c>
      <c r="S222" s="255">
        <v>3.1</v>
      </c>
      <c r="T222" s="255">
        <v>14.4</v>
      </c>
      <c r="U222" s="255">
        <v>19.7</v>
      </c>
    </row>
    <row r="223" spans="1:21" ht="15.75" customHeight="1" thickBot="1" x14ac:dyDescent="0.3">
      <c r="A223" s="257">
        <v>222</v>
      </c>
      <c r="B223" s="259" t="s">
        <v>350</v>
      </c>
      <c r="C223" s="255">
        <v>29</v>
      </c>
      <c r="D223" s="255">
        <v>74.400000000000006</v>
      </c>
      <c r="E223" s="255">
        <v>27.4</v>
      </c>
      <c r="F223" s="255">
        <v>59.7</v>
      </c>
      <c r="G223" s="255">
        <v>46</v>
      </c>
      <c r="H223" s="255">
        <v>7.6</v>
      </c>
      <c r="I223" s="255">
        <v>22.6</v>
      </c>
      <c r="J223" s="255">
        <v>33.700000000000003</v>
      </c>
      <c r="K223" s="255">
        <v>11.9</v>
      </c>
      <c r="L223" s="255">
        <v>17.2</v>
      </c>
      <c r="M223" s="255">
        <v>68.8</v>
      </c>
      <c r="N223" s="255">
        <v>9.4</v>
      </c>
      <c r="O223" s="255">
        <v>22.2</v>
      </c>
      <c r="P223" s="255">
        <v>31.7</v>
      </c>
      <c r="Q223" s="255">
        <v>15.3</v>
      </c>
      <c r="R223" s="255">
        <v>6.8</v>
      </c>
      <c r="S223" s="255">
        <v>3</v>
      </c>
      <c r="T223" s="255">
        <v>11.6</v>
      </c>
      <c r="U223" s="255">
        <v>19</v>
      </c>
    </row>
    <row r="224" spans="1:21" ht="15.75" customHeight="1" thickBot="1" x14ac:dyDescent="0.3">
      <c r="A224" s="257">
        <v>223</v>
      </c>
      <c r="B224" s="259" t="s">
        <v>267</v>
      </c>
      <c r="C224" s="255">
        <v>30</v>
      </c>
      <c r="D224" s="255">
        <v>74.400000000000006</v>
      </c>
      <c r="E224" s="255">
        <v>25.6</v>
      </c>
      <c r="F224" s="255">
        <v>58.3</v>
      </c>
      <c r="G224" s="255">
        <v>43.9</v>
      </c>
      <c r="H224" s="255">
        <v>6.8</v>
      </c>
      <c r="I224" s="255">
        <v>21</v>
      </c>
      <c r="J224" s="255">
        <v>32.299999999999997</v>
      </c>
      <c r="K224" s="255">
        <v>16.5</v>
      </c>
      <c r="L224" s="255">
        <v>22.4</v>
      </c>
      <c r="M224" s="255">
        <v>73.5</v>
      </c>
      <c r="N224" s="255">
        <v>11.4</v>
      </c>
      <c r="O224" s="255">
        <v>24.5</v>
      </c>
      <c r="P224" s="255">
        <v>35.799999999999997</v>
      </c>
      <c r="Q224" s="255">
        <v>14.9</v>
      </c>
      <c r="R224" s="255">
        <v>6.5</v>
      </c>
      <c r="S224" s="255">
        <v>3.7</v>
      </c>
      <c r="T224" s="255">
        <v>10.5</v>
      </c>
      <c r="U224" s="255">
        <v>18.3</v>
      </c>
    </row>
    <row r="225" spans="1:21" ht="15.75" customHeight="1" thickBot="1" x14ac:dyDescent="0.3">
      <c r="A225" s="257">
        <v>223</v>
      </c>
      <c r="B225" s="259" t="s">
        <v>425</v>
      </c>
      <c r="C225" s="255">
        <v>30</v>
      </c>
      <c r="D225" s="255">
        <v>74.400000000000006</v>
      </c>
      <c r="E225" s="255">
        <v>25</v>
      </c>
      <c r="F225" s="255">
        <v>55.8</v>
      </c>
      <c r="G225" s="255">
        <v>44.9</v>
      </c>
      <c r="H225" s="255">
        <v>7</v>
      </c>
      <c r="I225" s="255">
        <v>20.399999999999999</v>
      </c>
      <c r="J225" s="255">
        <v>34.4</v>
      </c>
      <c r="K225" s="255">
        <v>17.3</v>
      </c>
      <c r="L225" s="255">
        <v>23.3</v>
      </c>
      <c r="M225" s="255">
        <v>74.2</v>
      </c>
      <c r="N225" s="255">
        <v>10.1</v>
      </c>
      <c r="O225" s="255">
        <v>23.7</v>
      </c>
      <c r="P225" s="255">
        <v>33.799999999999997</v>
      </c>
      <c r="Q225" s="255">
        <v>12.6</v>
      </c>
      <c r="R225" s="255">
        <v>5.4</v>
      </c>
      <c r="S225" s="255">
        <v>4.0999999999999996</v>
      </c>
      <c r="T225" s="255">
        <v>9</v>
      </c>
      <c r="U225" s="255">
        <v>17.3</v>
      </c>
    </row>
    <row r="226" spans="1:21" ht="15.75" customHeight="1" thickBot="1" x14ac:dyDescent="0.3">
      <c r="A226" s="257">
        <v>225</v>
      </c>
      <c r="B226" s="259" t="s">
        <v>400</v>
      </c>
      <c r="C226" s="255">
        <v>31</v>
      </c>
      <c r="D226" s="255">
        <v>74.400000000000006</v>
      </c>
      <c r="E226" s="255">
        <v>24.7</v>
      </c>
      <c r="F226" s="255">
        <v>56.5</v>
      </c>
      <c r="G226" s="255">
        <v>43.8</v>
      </c>
      <c r="H226" s="255">
        <v>9</v>
      </c>
      <c r="I226" s="255">
        <v>25.9</v>
      </c>
      <c r="J226" s="255">
        <v>34.799999999999997</v>
      </c>
      <c r="K226" s="255">
        <v>15.9</v>
      </c>
      <c r="L226" s="255">
        <v>22.3</v>
      </c>
      <c r="M226" s="255">
        <v>71.3</v>
      </c>
      <c r="N226" s="255">
        <v>10.6</v>
      </c>
      <c r="O226" s="255">
        <v>25.4</v>
      </c>
      <c r="P226" s="255">
        <v>36</v>
      </c>
      <c r="Q226" s="255">
        <v>13.8</v>
      </c>
      <c r="R226" s="255">
        <v>5.0999999999999996</v>
      </c>
      <c r="S226" s="255">
        <v>3.1</v>
      </c>
      <c r="T226" s="255">
        <v>11.1</v>
      </c>
      <c r="U226" s="255">
        <v>17.100000000000001</v>
      </c>
    </row>
    <row r="227" spans="1:21" ht="15.75" customHeight="1" thickBot="1" x14ac:dyDescent="0.3">
      <c r="A227" s="257">
        <v>226</v>
      </c>
      <c r="B227" s="259" t="s">
        <v>370</v>
      </c>
      <c r="C227" s="255">
        <v>30</v>
      </c>
      <c r="D227" s="255">
        <v>74.3</v>
      </c>
      <c r="E227" s="255">
        <v>26.5</v>
      </c>
      <c r="F227" s="255">
        <v>56.4</v>
      </c>
      <c r="G227" s="255">
        <v>46.9</v>
      </c>
      <c r="H227" s="255">
        <v>7</v>
      </c>
      <c r="I227" s="255">
        <v>21.5</v>
      </c>
      <c r="J227" s="255">
        <v>32.700000000000003</v>
      </c>
      <c r="K227" s="255">
        <v>14.4</v>
      </c>
      <c r="L227" s="255">
        <v>19</v>
      </c>
      <c r="M227" s="255">
        <v>75.5</v>
      </c>
      <c r="N227" s="255">
        <v>8.5</v>
      </c>
      <c r="O227" s="255">
        <v>20.5</v>
      </c>
      <c r="P227" s="255">
        <v>29</v>
      </c>
      <c r="Q227" s="255">
        <v>12.6</v>
      </c>
      <c r="R227" s="255">
        <v>7.1</v>
      </c>
      <c r="S227" s="255">
        <v>1.6</v>
      </c>
      <c r="T227" s="255">
        <v>10.3</v>
      </c>
      <c r="U227" s="255">
        <v>15.5</v>
      </c>
    </row>
    <row r="228" spans="1:21" ht="15.75" customHeight="1" thickBot="1" x14ac:dyDescent="0.3">
      <c r="A228" s="257">
        <v>226</v>
      </c>
      <c r="B228" s="259" t="s">
        <v>68</v>
      </c>
      <c r="C228" s="255">
        <v>30</v>
      </c>
      <c r="D228" s="255">
        <v>74.3</v>
      </c>
      <c r="E228" s="255">
        <v>25.6</v>
      </c>
      <c r="F228" s="255">
        <v>55.9</v>
      </c>
      <c r="G228" s="255">
        <v>45.8</v>
      </c>
      <c r="H228" s="255">
        <v>8.1</v>
      </c>
      <c r="I228" s="255">
        <v>23.9</v>
      </c>
      <c r="J228" s="255">
        <v>34</v>
      </c>
      <c r="K228" s="255">
        <v>15</v>
      </c>
      <c r="L228" s="255">
        <v>20.7</v>
      </c>
      <c r="M228" s="255">
        <v>72.5</v>
      </c>
      <c r="N228" s="255">
        <v>9.1999999999999993</v>
      </c>
      <c r="O228" s="255">
        <v>25.5</v>
      </c>
      <c r="P228" s="255">
        <v>34.700000000000003</v>
      </c>
      <c r="Q228" s="255">
        <v>12.9</v>
      </c>
      <c r="R228" s="255">
        <v>6.2</v>
      </c>
      <c r="S228" s="255">
        <v>2.7</v>
      </c>
      <c r="T228" s="255">
        <v>9.8000000000000007</v>
      </c>
      <c r="U228" s="255">
        <v>16.2</v>
      </c>
    </row>
    <row r="229" spans="1:21" ht="15.75" customHeight="1" thickBot="1" x14ac:dyDescent="0.3">
      <c r="A229" s="257">
        <v>228</v>
      </c>
      <c r="B229" s="259" t="s">
        <v>415</v>
      </c>
      <c r="C229" s="255">
        <v>32</v>
      </c>
      <c r="D229" s="255">
        <v>74.3</v>
      </c>
      <c r="E229" s="255">
        <v>25.6</v>
      </c>
      <c r="F229" s="255">
        <v>56.9</v>
      </c>
      <c r="G229" s="255">
        <v>45</v>
      </c>
      <c r="H229" s="255">
        <v>5.3</v>
      </c>
      <c r="I229" s="255">
        <v>17.399999999999999</v>
      </c>
      <c r="J229" s="255">
        <v>30.3</v>
      </c>
      <c r="K229" s="255">
        <v>17.8</v>
      </c>
      <c r="L229" s="255">
        <v>24.3</v>
      </c>
      <c r="M229" s="255">
        <v>73.599999999999994</v>
      </c>
      <c r="N229" s="255">
        <v>11</v>
      </c>
      <c r="O229" s="255">
        <v>25.8</v>
      </c>
      <c r="P229" s="255">
        <v>36.799999999999997</v>
      </c>
      <c r="Q229" s="255">
        <v>11.7</v>
      </c>
      <c r="R229" s="255">
        <v>7.7</v>
      </c>
      <c r="S229" s="255">
        <v>3.8</v>
      </c>
      <c r="T229" s="255">
        <v>13.1</v>
      </c>
      <c r="U229" s="255">
        <v>19.3</v>
      </c>
    </row>
    <row r="230" spans="1:21" ht="15.75" customHeight="1" thickBot="1" x14ac:dyDescent="0.3">
      <c r="A230" s="257">
        <v>229</v>
      </c>
      <c r="B230" s="259" t="s">
        <v>405</v>
      </c>
      <c r="C230" s="255">
        <v>31</v>
      </c>
      <c r="D230" s="255">
        <v>74.3</v>
      </c>
      <c r="E230" s="255">
        <v>26.3</v>
      </c>
      <c r="F230" s="255">
        <v>56.4</v>
      </c>
      <c r="G230" s="255">
        <v>46.6</v>
      </c>
      <c r="H230" s="255">
        <v>7.1</v>
      </c>
      <c r="I230" s="255">
        <v>20.8</v>
      </c>
      <c r="J230" s="255">
        <v>34.299999999999997</v>
      </c>
      <c r="K230" s="255">
        <v>14.6</v>
      </c>
      <c r="L230" s="255">
        <v>22.1</v>
      </c>
      <c r="M230" s="255">
        <v>66.2</v>
      </c>
      <c r="N230" s="255">
        <v>8.4</v>
      </c>
      <c r="O230" s="255">
        <v>27.1</v>
      </c>
      <c r="P230" s="255">
        <v>35.5</v>
      </c>
      <c r="Q230" s="255">
        <v>11.7</v>
      </c>
      <c r="R230" s="255">
        <v>8.1</v>
      </c>
      <c r="S230" s="255">
        <v>2.2999999999999998</v>
      </c>
      <c r="T230" s="255">
        <v>8.6999999999999993</v>
      </c>
      <c r="U230" s="255">
        <v>12.6</v>
      </c>
    </row>
    <row r="231" spans="1:21" ht="15.75" customHeight="1" thickBot="1" x14ac:dyDescent="0.3">
      <c r="A231" s="257">
        <v>229</v>
      </c>
      <c r="B231" s="259" t="s">
        <v>283</v>
      </c>
      <c r="C231" s="255">
        <v>31</v>
      </c>
      <c r="D231" s="255">
        <v>74.3</v>
      </c>
      <c r="E231" s="255">
        <v>26</v>
      </c>
      <c r="F231" s="255">
        <v>58.1</v>
      </c>
      <c r="G231" s="255">
        <v>44.7</v>
      </c>
      <c r="H231" s="255">
        <v>8.6</v>
      </c>
      <c r="I231" s="255">
        <v>22.8</v>
      </c>
      <c r="J231" s="255">
        <v>37.700000000000003</v>
      </c>
      <c r="K231" s="255">
        <v>13.7</v>
      </c>
      <c r="L231" s="255">
        <v>19.2</v>
      </c>
      <c r="M231" s="255">
        <v>71.599999999999994</v>
      </c>
      <c r="N231" s="255">
        <v>11.8</v>
      </c>
      <c r="O231" s="255">
        <v>22.5</v>
      </c>
      <c r="P231" s="255">
        <v>34.299999999999997</v>
      </c>
      <c r="Q231" s="255">
        <v>11.7</v>
      </c>
      <c r="R231" s="255">
        <v>5.4</v>
      </c>
      <c r="S231" s="255">
        <v>2.5</v>
      </c>
      <c r="T231" s="255">
        <v>11.2</v>
      </c>
      <c r="U231" s="255">
        <v>17.8</v>
      </c>
    </row>
    <row r="232" spans="1:21" ht="15.75" customHeight="1" thickBot="1" x14ac:dyDescent="0.3">
      <c r="A232" s="257">
        <v>231</v>
      </c>
      <c r="B232" s="259" t="s">
        <v>309</v>
      </c>
      <c r="C232" s="255">
        <v>32</v>
      </c>
      <c r="D232" s="255">
        <v>74.3</v>
      </c>
      <c r="E232" s="255">
        <v>26.7</v>
      </c>
      <c r="F232" s="255">
        <v>58.2</v>
      </c>
      <c r="G232" s="255">
        <v>45.8</v>
      </c>
      <c r="H232" s="255">
        <v>8.1</v>
      </c>
      <c r="I232" s="255">
        <v>23.3</v>
      </c>
      <c r="J232" s="255">
        <v>34.9</v>
      </c>
      <c r="K232" s="255">
        <v>12.8</v>
      </c>
      <c r="L232" s="255">
        <v>18.2</v>
      </c>
      <c r="M232" s="255">
        <v>70.400000000000006</v>
      </c>
      <c r="N232" s="255">
        <v>9.1</v>
      </c>
      <c r="O232" s="255">
        <v>24.9</v>
      </c>
      <c r="P232" s="255">
        <v>34</v>
      </c>
      <c r="Q232" s="255">
        <v>13.2</v>
      </c>
      <c r="R232" s="255">
        <v>6.1</v>
      </c>
      <c r="S232" s="255">
        <v>4.0999999999999996</v>
      </c>
      <c r="T232" s="255">
        <v>12</v>
      </c>
      <c r="U232" s="255">
        <v>17.8</v>
      </c>
    </row>
    <row r="233" spans="1:21" ht="15.75" customHeight="1" thickBot="1" x14ac:dyDescent="0.3">
      <c r="A233" s="257">
        <v>231</v>
      </c>
      <c r="B233" s="259" t="s">
        <v>408</v>
      </c>
      <c r="C233" s="255">
        <v>32</v>
      </c>
      <c r="D233" s="255">
        <v>74.3</v>
      </c>
      <c r="E233" s="255">
        <v>26.7</v>
      </c>
      <c r="F233" s="255">
        <v>60.7</v>
      </c>
      <c r="G233" s="255">
        <v>44</v>
      </c>
      <c r="H233" s="255">
        <v>7.2</v>
      </c>
      <c r="I233" s="255">
        <v>22</v>
      </c>
      <c r="J233" s="255">
        <v>32.799999999999997</v>
      </c>
      <c r="K233" s="255">
        <v>13.6</v>
      </c>
      <c r="L233" s="255">
        <v>19.8</v>
      </c>
      <c r="M233" s="255">
        <v>68.5</v>
      </c>
      <c r="N233" s="255">
        <v>11.1</v>
      </c>
      <c r="O233" s="255">
        <v>25.7</v>
      </c>
      <c r="P233" s="255">
        <v>36.799999999999997</v>
      </c>
      <c r="Q233" s="255">
        <v>12.8</v>
      </c>
      <c r="R233" s="255">
        <v>6.7</v>
      </c>
      <c r="S233" s="255">
        <v>4.7</v>
      </c>
      <c r="T233" s="255">
        <v>12.5</v>
      </c>
      <c r="U233" s="255">
        <v>18.3</v>
      </c>
    </row>
    <row r="234" spans="1:21" ht="15.75" customHeight="1" thickBot="1" x14ac:dyDescent="0.3">
      <c r="A234" s="257">
        <v>231</v>
      </c>
      <c r="B234" s="259" t="s">
        <v>65</v>
      </c>
      <c r="C234" s="255">
        <v>32</v>
      </c>
      <c r="D234" s="255">
        <v>74.3</v>
      </c>
      <c r="E234" s="255">
        <v>27.6</v>
      </c>
      <c r="F234" s="255">
        <v>57.4</v>
      </c>
      <c r="G234" s="255">
        <v>48</v>
      </c>
      <c r="H234" s="255">
        <v>6.1</v>
      </c>
      <c r="I234" s="255">
        <v>16.8</v>
      </c>
      <c r="J234" s="255">
        <v>36.4</v>
      </c>
      <c r="K234" s="255">
        <v>13</v>
      </c>
      <c r="L234" s="255">
        <v>19.399999999999999</v>
      </c>
      <c r="M234" s="255">
        <v>67</v>
      </c>
      <c r="N234" s="255">
        <v>11.6</v>
      </c>
      <c r="O234" s="255">
        <v>23.4</v>
      </c>
      <c r="P234" s="255">
        <v>35</v>
      </c>
      <c r="Q234" s="255">
        <v>13.8</v>
      </c>
      <c r="R234" s="255">
        <v>7.9</v>
      </c>
      <c r="S234" s="255">
        <v>5.3</v>
      </c>
      <c r="T234" s="255">
        <v>13.4</v>
      </c>
      <c r="U234" s="255">
        <v>17.600000000000001</v>
      </c>
    </row>
    <row r="235" spans="1:21" ht="15.75" customHeight="1" thickBot="1" x14ac:dyDescent="0.3">
      <c r="A235" s="257">
        <v>234</v>
      </c>
      <c r="B235" s="259" t="s">
        <v>458</v>
      </c>
      <c r="C235" s="255">
        <v>31</v>
      </c>
      <c r="D235" s="255">
        <v>74.099999999999994</v>
      </c>
      <c r="E235" s="255">
        <v>26.1</v>
      </c>
      <c r="F235" s="255">
        <v>56.5</v>
      </c>
      <c r="G235" s="255">
        <v>46.2</v>
      </c>
      <c r="H235" s="255">
        <v>8.6999999999999993</v>
      </c>
      <c r="I235" s="255">
        <v>25.4</v>
      </c>
      <c r="J235" s="255">
        <v>34.4</v>
      </c>
      <c r="K235" s="255">
        <v>13.1</v>
      </c>
      <c r="L235" s="255">
        <v>18</v>
      </c>
      <c r="M235" s="255">
        <v>72.8</v>
      </c>
      <c r="N235" s="255">
        <v>8.9</v>
      </c>
      <c r="O235" s="255">
        <v>26.2</v>
      </c>
      <c r="P235" s="255">
        <v>35.1</v>
      </c>
      <c r="Q235" s="255">
        <v>13.1</v>
      </c>
      <c r="R235" s="255">
        <v>4.5</v>
      </c>
      <c r="S235" s="255">
        <v>3</v>
      </c>
      <c r="T235" s="255">
        <v>9.5</v>
      </c>
      <c r="U235" s="255">
        <v>17</v>
      </c>
    </row>
    <row r="236" spans="1:21" ht="15.75" customHeight="1" thickBot="1" x14ac:dyDescent="0.3">
      <c r="A236" s="257">
        <v>235</v>
      </c>
      <c r="B236" s="259" t="s">
        <v>420</v>
      </c>
      <c r="C236" s="255">
        <v>32</v>
      </c>
      <c r="D236" s="255">
        <v>74.099999999999994</v>
      </c>
      <c r="E236" s="255">
        <v>26</v>
      </c>
      <c r="F236" s="255">
        <v>56.8</v>
      </c>
      <c r="G236" s="255">
        <v>45.7</v>
      </c>
      <c r="H236" s="255">
        <v>9.3000000000000007</v>
      </c>
      <c r="I236" s="255">
        <v>25.5</v>
      </c>
      <c r="J236" s="255">
        <v>36.5</v>
      </c>
      <c r="K236" s="255">
        <v>12.8</v>
      </c>
      <c r="L236" s="255">
        <v>18.899999999999999</v>
      </c>
      <c r="M236" s="255">
        <v>67.900000000000006</v>
      </c>
      <c r="N236" s="255">
        <v>9.6999999999999993</v>
      </c>
      <c r="O236" s="255">
        <v>23.3</v>
      </c>
      <c r="P236" s="255">
        <v>33</v>
      </c>
      <c r="Q236" s="255">
        <v>15.4</v>
      </c>
      <c r="R236" s="255">
        <v>6.2</v>
      </c>
      <c r="S236" s="255">
        <v>2.1</v>
      </c>
      <c r="T236" s="255">
        <v>12.6</v>
      </c>
      <c r="U236" s="255">
        <v>15.4</v>
      </c>
    </row>
    <row r="237" spans="1:21" ht="15.75" customHeight="1" thickBot="1" x14ac:dyDescent="0.3">
      <c r="A237" s="257">
        <v>236</v>
      </c>
      <c r="B237" s="259" t="s">
        <v>311</v>
      </c>
      <c r="C237" s="255">
        <v>32</v>
      </c>
      <c r="D237" s="255">
        <v>74</v>
      </c>
      <c r="E237" s="255">
        <v>25.3</v>
      </c>
      <c r="F237" s="255">
        <v>59.4</v>
      </c>
      <c r="G237" s="255">
        <v>42.6</v>
      </c>
      <c r="H237" s="255">
        <v>7.2</v>
      </c>
      <c r="I237" s="255">
        <v>22.2</v>
      </c>
      <c r="J237" s="255">
        <v>32.4</v>
      </c>
      <c r="K237" s="255">
        <v>16.2</v>
      </c>
      <c r="L237" s="255">
        <v>20.399999999999999</v>
      </c>
      <c r="M237" s="255">
        <v>79.5</v>
      </c>
      <c r="N237" s="255">
        <v>10.7</v>
      </c>
      <c r="O237" s="255">
        <v>22.5</v>
      </c>
      <c r="P237" s="255">
        <v>33.200000000000003</v>
      </c>
      <c r="Q237" s="255">
        <v>12.8</v>
      </c>
      <c r="R237" s="255">
        <v>7.8</v>
      </c>
      <c r="S237" s="255">
        <v>2.2999999999999998</v>
      </c>
      <c r="T237" s="255">
        <v>10.7</v>
      </c>
      <c r="U237" s="255">
        <v>14.8</v>
      </c>
    </row>
    <row r="238" spans="1:21" ht="15.75" customHeight="1" thickBot="1" x14ac:dyDescent="0.3">
      <c r="A238" s="257">
        <v>237</v>
      </c>
      <c r="B238" s="259" t="s">
        <v>285</v>
      </c>
      <c r="C238" s="255">
        <v>32</v>
      </c>
      <c r="D238" s="255">
        <v>73.8</v>
      </c>
      <c r="E238" s="255">
        <v>26</v>
      </c>
      <c r="F238" s="255">
        <v>59.3</v>
      </c>
      <c r="G238" s="255">
        <v>43.8</v>
      </c>
      <c r="H238" s="255">
        <v>9.6</v>
      </c>
      <c r="I238" s="255">
        <v>27.2</v>
      </c>
      <c r="J238" s="255">
        <v>35.1</v>
      </c>
      <c r="K238" s="255">
        <v>12.3</v>
      </c>
      <c r="L238" s="255">
        <v>17.399999999999999</v>
      </c>
      <c r="M238" s="255">
        <v>70.7</v>
      </c>
      <c r="N238" s="255">
        <v>9.9</v>
      </c>
      <c r="O238" s="255">
        <v>25.7</v>
      </c>
      <c r="P238" s="255">
        <v>35.6</v>
      </c>
      <c r="Q238" s="255">
        <v>14</v>
      </c>
      <c r="R238" s="255">
        <v>6.6</v>
      </c>
      <c r="S238" s="255">
        <v>3</v>
      </c>
      <c r="T238" s="255">
        <v>12</v>
      </c>
      <c r="U238" s="255">
        <v>16.2</v>
      </c>
    </row>
    <row r="239" spans="1:21" ht="15.75" customHeight="1" thickBot="1" x14ac:dyDescent="0.3">
      <c r="A239" s="257">
        <v>238</v>
      </c>
      <c r="B239" s="259" t="s">
        <v>218</v>
      </c>
      <c r="C239" s="255">
        <v>30</v>
      </c>
      <c r="D239" s="255">
        <v>73.8</v>
      </c>
      <c r="E239" s="255">
        <v>26.8</v>
      </c>
      <c r="F239" s="255">
        <v>56.8</v>
      </c>
      <c r="G239" s="255">
        <v>47.1</v>
      </c>
      <c r="H239" s="255">
        <v>7.3</v>
      </c>
      <c r="I239" s="255">
        <v>19.8</v>
      </c>
      <c r="J239" s="255">
        <v>36.799999999999997</v>
      </c>
      <c r="K239" s="255">
        <v>13</v>
      </c>
      <c r="L239" s="255">
        <v>16.899999999999999</v>
      </c>
      <c r="M239" s="255">
        <v>76.900000000000006</v>
      </c>
      <c r="N239" s="255">
        <v>9.1</v>
      </c>
      <c r="O239" s="255">
        <v>25.3</v>
      </c>
      <c r="P239" s="255">
        <v>34.4</v>
      </c>
      <c r="Q239" s="255">
        <v>13.8</v>
      </c>
      <c r="R239" s="255">
        <v>5.6</v>
      </c>
      <c r="S239" s="255">
        <v>4</v>
      </c>
      <c r="T239" s="255">
        <v>10.6</v>
      </c>
      <c r="U239" s="255">
        <v>13.7</v>
      </c>
    </row>
    <row r="240" spans="1:21" ht="15.75" customHeight="1" thickBot="1" x14ac:dyDescent="0.3">
      <c r="A240" s="257">
        <v>239</v>
      </c>
      <c r="B240" s="259" t="s">
        <v>429</v>
      </c>
      <c r="C240" s="255">
        <v>31</v>
      </c>
      <c r="D240" s="255">
        <v>73.8</v>
      </c>
      <c r="E240" s="255">
        <v>27</v>
      </c>
      <c r="F240" s="255">
        <v>57.6</v>
      </c>
      <c r="G240" s="255">
        <v>46.8</v>
      </c>
      <c r="H240" s="255">
        <v>4.8</v>
      </c>
      <c r="I240" s="255">
        <v>14.6</v>
      </c>
      <c r="J240" s="255">
        <v>33</v>
      </c>
      <c r="K240" s="255">
        <v>15.1</v>
      </c>
      <c r="L240" s="255">
        <v>19.899999999999999</v>
      </c>
      <c r="M240" s="255">
        <v>75.599999999999994</v>
      </c>
      <c r="N240" s="255">
        <v>11.4</v>
      </c>
      <c r="O240" s="255">
        <v>24.5</v>
      </c>
      <c r="P240" s="255">
        <v>35.799999999999997</v>
      </c>
      <c r="Q240" s="255">
        <v>13.2</v>
      </c>
      <c r="R240" s="255">
        <v>8.5</v>
      </c>
      <c r="S240" s="255">
        <v>3.7</v>
      </c>
      <c r="T240" s="255">
        <v>12.7</v>
      </c>
      <c r="U240" s="255">
        <v>17.8</v>
      </c>
    </row>
    <row r="241" spans="1:21" ht="15.75" customHeight="1" thickBot="1" x14ac:dyDescent="0.3">
      <c r="A241" s="257">
        <v>240</v>
      </c>
      <c r="B241" s="259" t="s">
        <v>225</v>
      </c>
      <c r="C241" s="255">
        <v>30</v>
      </c>
      <c r="D241" s="255">
        <v>73.7</v>
      </c>
      <c r="E241" s="255">
        <v>26.3</v>
      </c>
      <c r="F241" s="255">
        <v>60.7</v>
      </c>
      <c r="G241" s="255">
        <v>43.3</v>
      </c>
      <c r="H241" s="255">
        <v>8.8000000000000007</v>
      </c>
      <c r="I241" s="255">
        <v>26.4</v>
      </c>
      <c r="J241" s="255">
        <v>33.200000000000003</v>
      </c>
      <c r="K241" s="255">
        <v>12.4</v>
      </c>
      <c r="L241" s="255">
        <v>18.2</v>
      </c>
      <c r="M241" s="255">
        <v>68.099999999999994</v>
      </c>
      <c r="N241" s="255">
        <v>11.2</v>
      </c>
      <c r="O241" s="255">
        <v>25.8</v>
      </c>
      <c r="P241" s="255">
        <v>36.9</v>
      </c>
      <c r="Q241" s="255">
        <v>16.7</v>
      </c>
      <c r="R241" s="255">
        <v>6.6</v>
      </c>
      <c r="S241" s="255">
        <v>4</v>
      </c>
      <c r="T241" s="255">
        <v>11.5</v>
      </c>
      <c r="U241" s="255">
        <v>15.9</v>
      </c>
    </row>
    <row r="242" spans="1:21" ht="15.75" customHeight="1" thickBot="1" x14ac:dyDescent="0.3">
      <c r="A242" s="257">
        <v>241</v>
      </c>
      <c r="B242" s="259" t="s">
        <v>270</v>
      </c>
      <c r="C242" s="255">
        <v>30</v>
      </c>
      <c r="D242" s="255">
        <v>73.7</v>
      </c>
      <c r="E242" s="255">
        <v>26.4</v>
      </c>
      <c r="F242" s="255">
        <v>59.9</v>
      </c>
      <c r="G242" s="255">
        <v>44</v>
      </c>
      <c r="H242" s="255">
        <v>7</v>
      </c>
      <c r="I242" s="255">
        <v>19.8</v>
      </c>
      <c r="J242" s="255">
        <v>35.1</v>
      </c>
      <c r="K242" s="255">
        <v>14</v>
      </c>
      <c r="L242" s="255">
        <v>19.8</v>
      </c>
      <c r="M242" s="255">
        <v>70.599999999999994</v>
      </c>
      <c r="N242" s="255">
        <v>10.7</v>
      </c>
      <c r="O242" s="255">
        <v>26.5</v>
      </c>
      <c r="P242" s="255">
        <v>37.200000000000003</v>
      </c>
      <c r="Q242" s="255">
        <v>15.9</v>
      </c>
      <c r="R242" s="255">
        <v>6.1</v>
      </c>
      <c r="S242" s="255">
        <v>3.9</v>
      </c>
      <c r="T242" s="255">
        <v>13.4</v>
      </c>
      <c r="U242" s="255">
        <v>17.899999999999999</v>
      </c>
    </row>
    <row r="243" spans="1:21" ht="15.75" customHeight="1" thickBot="1" x14ac:dyDescent="0.3">
      <c r="A243" s="257">
        <v>241</v>
      </c>
      <c r="B243" s="259" t="s">
        <v>384</v>
      </c>
      <c r="C243" s="255">
        <v>30</v>
      </c>
      <c r="D243" s="255">
        <v>73.7</v>
      </c>
      <c r="E243" s="255">
        <v>25.2</v>
      </c>
      <c r="F243" s="255">
        <v>59.7</v>
      </c>
      <c r="G243" s="255">
        <v>42.1</v>
      </c>
      <c r="H243" s="255">
        <v>9.1</v>
      </c>
      <c r="I243" s="255">
        <v>25.9</v>
      </c>
      <c r="J243" s="255">
        <v>35.299999999999997</v>
      </c>
      <c r="K243" s="255">
        <v>14.2</v>
      </c>
      <c r="L243" s="255">
        <v>20.7</v>
      </c>
      <c r="M243" s="255">
        <v>68.8</v>
      </c>
      <c r="N243" s="255">
        <v>13.7</v>
      </c>
      <c r="O243" s="255">
        <v>24</v>
      </c>
      <c r="P243" s="255">
        <v>37.700000000000003</v>
      </c>
      <c r="Q243" s="255">
        <v>12.2</v>
      </c>
      <c r="R243" s="255">
        <v>6.8</v>
      </c>
      <c r="S243" s="255">
        <v>3.9</v>
      </c>
      <c r="T243" s="255">
        <v>12.4</v>
      </c>
      <c r="U243" s="255">
        <v>18.7</v>
      </c>
    </row>
    <row r="244" spans="1:21" ht="15.75" customHeight="1" thickBot="1" x14ac:dyDescent="0.3">
      <c r="A244" s="257">
        <v>241</v>
      </c>
      <c r="B244" s="259" t="s">
        <v>222</v>
      </c>
      <c r="C244" s="255">
        <v>30</v>
      </c>
      <c r="D244" s="255">
        <v>73.7</v>
      </c>
      <c r="E244" s="255">
        <v>25.3</v>
      </c>
      <c r="F244" s="255">
        <v>54.8</v>
      </c>
      <c r="G244" s="255">
        <v>46.2</v>
      </c>
      <c r="H244" s="255">
        <v>8.5</v>
      </c>
      <c r="I244" s="255">
        <v>24.3</v>
      </c>
      <c r="J244" s="255">
        <v>35</v>
      </c>
      <c r="K244" s="255">
        <v>14.6</v>
      </c>
      <c r="L244" s="255">
        <v>20.3</v>
      </c>
      <c r="M244" s="255">
        <v>71.8</v>
      </c>
      <c r="N244" s="255">
        <v>10.8</v>
      </c>
      <c r="O244" s="255">
        <v>23.3</v>
      </c>
      <c r="P244" s="255">
        <v>34.1</v>
      </c>
      <c r="Q244" s="255">
        <v>12.9</v>
      </c>
      <c r="R244" s="255">
        <v>4.5999999999999996</v>
      </c>
      <c r="S244" s="255">
        <v>3.4</v>
      </c>
      <c r="T244" s="255">
        <v>11.9</v>
      </c>
      <c r="U244" s="255">
        <v>17.399999999999999</v>
      </c>
    </row>
    <row r="245" spans="1:21" ht="15.75" customHeight="1" thickBot="1" x14ac:dyDescent="0.3">
      <c r="A245" s="257">
        <v>244</v>
      </c>
      <c r="B245" s="259" t="s">
        <v>262</v>
      </c>
      <c r="C245" s="255">
        <v>30</v>
      </c>
      <c r="D245" s="255">
        <v>73.599999999999994</v>
      </c>
      <c r="E245" s="255">
        <v>25.6</v>
      </c>
      <c r="F245" s="255">
        <v>57.2</v>
      </c>
      <c r="G245" s="255">
        <v>44.7</v>
      </c>
      <c r="H245" s="255">
        <v>7.5</v>
      </c>
      <c r="I245" s="255">
        <v>23.2</v>
      </c>
      <c r="J245" s="255">
        <v>32.4</v>
      </c>
      <c r="K245" s="255">
        <v>14.9</v>
      </c>
      <c r="L245" s="255">
        <v>20.100000000000001</v>
      </c>
      <c r="M245" s="255">
        <v>74.2</v>
      </c>
      <c r="N245" s="255">
        <v>9.8000000000000007</v>
      </c>
      <c r="O245" s="255">
        <v>24.9</v>
      </c>
      <c r="P245" s="255">
        <v>34.799999999999997</v>
      </c>
      <c r="Q245" s="255">
        <v>13</v>
      </c>
      <c r="R245" s="255">
        <v>6.8</v>
      </c>
      <c r="S245" s="255">
        <v>2.1</v>
      </c>
      <c r="T245" s="255">
        <v>12.6</v>
      </c>
      <c r="U245" s="255">
        <v>16.8</v>
      </c>
    </row>
    <row r="246" spans="1:21" ht="15.75" customHeight="1" thickBot="1" x14ac:dyDescent="0.3">
      <c r="A246" s="257">
        <v>245</v>
      </c>
      <c r="B246" s="259" t="s">
        <v>284</v>
      </c>
      <c r="C246" s="255">
        <v>32</v>
      </c>
      <c r="D246" s="255">
        <v>73.599999999999994</v>
      </c>
      <c r="E246" s="255">
        <v>27.1</v>
      </c>
      <c r="F246" s="255">
        <v>58.3</v>
      </c>
      <c r="G246" s="255">
        <v>46.5</v>
      </c>
      <c r="H246" s="255">
        <v>8.3000000000000007</v>
      </c>
      <c r="I246" s="255">
        <v>26.2</v>
      </c>
      <c r="J246" s="255">
        <v>31.9</v>
      </c>
      <c r="K246" s="255">
        <v>11.1</v>
      </c>
      <c r="L246" s="255">
        <v>16.399999999999999</v>
      </c>
      <c r="M246" s="255">
        <v>67.599999999999994</v>
      </c>
      <c r="N246" s="255">
        <v>9.3000000000000007</v>
      </c>
      <c r="O246" s="255">
        <v>25.8</v>
      </c>
      <c r="P246" s="255">
        <v>35.1</v>
      </c>
      <c r="Q246" s="255">
        <v>17.5</v>
      </c>
      <c r="R246" s="255">
        <v>6.2</v>
      </c>
      <c r="S246" s="255">
        <v>3.2</v>
      </c>
      <c r="T246" s="255">
        <v>13.7</v>
      </c>
      <c r="U246" s="255">
        <v>16.100000000000001</v>
      </c>
    </row>
    <row r="247" spans="1:21" ht="15.75" customHeight="1" thickBot="1" x14ac:dyDescent="0.3">
      <c r="A247" s="257">
        <v>246</v>
      </c>
      <c r="B247" s="259" t="s">
        <v>219</v>
      </c>
      <c r="C247" s="255">
        <v>30</v>
      </c>
      <c r="D247" s="255">
        <v>73.5</v>
      </c>
      <c r="E247" s="255">
        <v>26.9</v>
      </c>
      <c r="F247" s="255">
        <v>57.8</v>
      </c>
      <c r="G247" s="255">
        <v>46.6</v>
      </c>
      <c r="H247" s="255">
        <v>6.6</v>
      </c>
      <c r="I247" s="255">
        <v>19.8</v>
      </c>
      <c r="J247" s="255">
        <v>33.299999999999997</v>
      </c>
      <c r="K247" s="255">
        <v>13.1</v>
      </c>
      <c r="L247" s="255">
        <v>18.600000000000001</v>
      </c>
      <c r="M247" s="255">
        <v>70.400000000000006</v>
      </c>
      <c r="N247" s="255">
        <v>10.1</v>
      </c>
      <c r="O247" s="255">
        <v>22.7</v>
      </c>
      <c r="P247" s="255">
        <v>32.799999999999997</v>
      </c>
      <c r="Q247" s="255">
        <v>15.2</v>
      </c>
      <c r="R247" s="255">
        <v>6.7</v>
      </c>
      <c r="S247" s="255">
        <v>4.3</v>
      </c>
      <c r="T247" s="255">
        <v>12.7</v>
      </c>
      <c r="U247" s="255">
        <v>17.7</v>
      </c>
    </row>
    <row r="248" spans="1:21" ht="15.75" customHeight="1" thickBot="1" x14ac:dyDescent="0.3">
      <c r="A248" s="257">
        <v>247</v>
      </c>
      <c r="B248" s="259" t="s">
        <v>265</v>
      </c>
      <c r="C248" s="255">
        <v>30</v>
      </c>
      <c r="D248" s="255">
        <v>73.5</v>
      </c>
      <c r="E248" s="255">
        <v>25.1</v>
      </c>
      <c r="F248" s="255">
        <v>53</v>
      </c>
      <c r="G248" s="255">
        <v>47.3</v>
      </c>
      <c r="H248" s="255">
        <v>6.4</v>
      </c>
      <c r="I248" s="255">
        <v>18.5</v>
      </c>
      <c r="J248" s="255">
        <v>34.4</v>
      </c>
      <c r="K248" s="255">
        <v>17</v>
      </c>
      <c r="L248" s="255">
        <v>23.3</v>
      </c>
      <c r="M248" s="255">
        <v>72.8</v>
      </c>
      <c r="N248" s="255">
        <v>9.5</v>
      </c>
      <c r="O248" s="255">
        <v>25.1</v>
      </c>
      <c r="P248" s="255">
        <v>34.6</v>
      </c>
      <c r="Q248" s="255">
        <v>12.8</v>
      </c>
      <c r="R248" s="255">
        <v>5</v>
      </c>
      <c r="S248" s="255">
        <v>3.1</v>
      </c>
      <c r="T248" s="255">
        <v>10.7</v>
      </c>
      <c r="U248" s="255">
        <v>15.4</v>
      </c>
    </row>
    <row r="249" spans="1:21" ht="15.75" customHeight="1" thickBot="1" x14ac:dyDescent="0.3">
      <c r="A249" s="257">
        <v>248</v>
      </c>
      <c r="B249" s="259" t="s">
        <v>357</v>
      </c>
      <c r="C249" s="255">
        <v>30</v>
      </c>
      <c r="D249" s="255">
        <v>73.400000000000006</v>
      </c>
      <c r="E249" s="255">
        <v>26.2</v>
      </c>
      <c r="F249" s="255">
        <v>57.2</v>
      </c>
      <c r="G249" s="255">
        <v>45.8</v>
      </c>
      <c r="H249" s="255">
        <v>6.3</v>
      </c>
      <c r="I249" s="255">
        <v>19.399999999999999</v>
      </c>
      <c r="J249" s="255">
        <v>32.6</v>
      </c>
      <c r="K249" s="255">
        <v>14.7</v>
      </c>
      <c r="L249" s="255">
        <v>19.600000000000001</v>
      </c>
      <c r="M249" s="255">
        <v>74.900000000000006</v>
      </c>
      <c r="N249" s="255">
        <v>9</v>
      </c>
      <c r="O249" s="255">
        <v>22</v>
      </c>
      <c r="P249" s="255">
        <v>31</v>
      </c>
      <c r="Q249" s="255">
        <v>17</v>
      </c>
      <c r="R249" s="255">
        <v>5.8</v>
      </c>
      <c r="S249" s="255">
        <v>3.9</v>
      </c>
      <c r="T249" s="255">
        <v>8.6</v>
      </c>
      <c r="U249" s="255">
        <v>17.3</v>
      </c>
    </row>
    <row r="250" spans="1:21" ht="15.75" customHeight="1" thickBot="1" x14ac:dyDescent="0.3">
      <c r="A250" s="257">
        <v>249</v>
      </c>
      <c r="B250" s="259" t="s">
        <v>186</v>
      </c>
      <c r="C250" s="255">
        <v>31</v>
      </c>
      <c r="D250" s="255">
        <v>73.400000000000006</v>
      </c>
      <c r="E250" s="255">
        <v>25.5</v>
      </c>
      <c r="F250" s="255">
        <v>60.9</v>
      </c>
      <c r="G250" s="255">
        <v>41.9</v>
      </c>
      <c r="H250" s="255">
        <v>7.5</v>
      </c>
      <c r="I250" s="255">
        <v>23.2</v>
      </c>
      <c r="J250" s="255">
        <v>32.299999999999997</v>
      </c>
      <c r="K250" s="255">
        <v>14.9</v>
      </c>
      <c r="L250" s="255">
        <v>21.4</v>
      </c>
      <c r="M250" s="255">
        <v>69.599999999999994</v>
      </c>
      <c r="N250" s="255">
        <v>12.5</v>
      </c>
      <c r="O250" s="255">
        <v>23.7</v>
      </c>
      <c r="P250" s="255">
        <v>36.1</v>
      </c>
      <c r="Q250" s="255">
        <v>12.3</v>
      </c>
      <c r="R250" s="255">
        <v>8.3000000000000007</v>
      </c>
      <c r="S250" s="255">
        <v>3.7</v>
      </c>
      <c r="T250" s="255">
        <v>13.2</v>
      </c>
      <c r="U250" s="255">
        <v>19.100000000000001</v>
      </c>
    </row>
    <row r="251" spans="1:21" ht="15.75" customHeight="1" thickBot="1" x14ac:dyDescent="0.3">
      <c r="A251" s="257">
        <v>250</v>
      </c>
      <c r="B251" s="259" t="s">
        <v>227</v>
      </c>
      <c r="C251" s="255">
        <v>31</v>
      </c>
      <c r="D251" s="255">
        <v>73.400000000000006</v>
      </c>
      <c r="E251" s="255">
        <v>25.3</v>
      </c>
      <c r="F251" s="255">
        <v>61.2</v>
      </c>
      <c r="G251" s="255">
        <v>41.3</v>
      </c>
      <c r="H251" s="255">
        <v>8.9</v>
      </c>
      <c r="I251" s="255">
        <v>26.2</v>
      </c>
      <c r="J251" s="255">
        <v>34.1</v>
      </c>
      <c r="K251" s="255">
        <v>13.8</v>
      </c>
      <c r="L251" s="255">
        <v>19</v>
      </c>
      <c r="M251" s="255">
        <v>72.7</v>
      </c>
      <c r="N251" s="255">
        <v>10.5</v>
      </c>
      <c r="O251" s="255">
        <v>29.8</v>
      </c>
      <c r="P251" s="255">
        <v>40.299999999999997</v>
      </c>
      <c r="Q251" s="255">
        <v>10.5</v>
      </c>
      <c r="R251" s="255">
        <v>4.4000000000000004</v>
      </c>
      <c r="S251" s="255">
        <v>3.4</v>
      </c>
      <c r="T251" s="255">
        <v>10.6</v>
      </c>
      <c r="U251" s="255">
        <v>18.5</v>
      </c>
    </row>
    <row r="252" spans="1:21" ht="15.75" customHeight="1" thickBot="1" x14ac:dyDescent="0.3">
      <c r="A252" s="257">
        <v>251</v>
      </c>
      <c r="B252" s="259" t="s">
        <v>366</v>
      </c>
      <c r="C252" s="255">
        <v>33</v>
      </c>
      <c r="D252" s="255">
        <v>73.3</v>
      </c>
      <c r="E252" s="255">
        <v>24.6</v>
      </c>
      <c r="F252" s="255">
        <v>57.5</v>
      </c>
      <c r="G252" s="255">
        <v>42.8</v>
      </c>
      <c r="H252" s="255">
        <v>8.5</v>
      </c>
      <c r="I252" s="255">
        <v>26.5</v>
      </c>
      <c r="J252" s="255">
        <v>32.299999999999997</v>
      </c>
      <c r="K252" s="255">
        <v>15.6</v>
      </c>
      <c r="L252" s="255">
        <v>21</v>
      </c>
      <c r="M252" s="255">
        <v>74.400000000000006</v>
      </c>
      <c r="N252" s="255">
        <v>10.4</v>
      </c>
      <c r="O252" s="255">
        <v>24.5</v>
      </c>
      <c r="P252" s="255">
        <v>34.9</v>
      </c>
      <c r="Q252" s="255">
        <v>11.9</v>
      </c>
      <c r="R252" s="255">
        <v>6</v>
      </c>
      <c r="S252" s="255">
        <v>3.4</v>
      </c>
      <c r="T252" s="255">
        <v>13.3</v>
      </c>
      <c r="U252" s="255">
        <v>19.8</v>
      </c>
    </row>
    <row r="253" spans="1:21" ht="15.75" customHeight="1" thickBot="1" x14ac:dyDescent="0.3">
      <c r="A253" s="257">
        <v>252</v>
      </c>
      <c r="B253" s="259" t="s">
        <v>426</v>
      </c>
      <c r="C253" s="255">
        <v>31</v>
      </c>
      <c r="D253" s="255">
        <v>73.3</v>
      </c>
      <c r="E253" s="255">
        <v>25.4</v>
      </c>
      <c r="F253" s="255">
        <v>57.4</v>
      </c>
      <c r="G253" s="255">
        <v>44.3</v>
      </c>
      <c r="H253" s="255">
        <v>6.8</v>
      </c>
      <c r="I253" s="255">
        <v>21.6</v>
      </c>
      <c r="J253" s="255">
        <v>31.5</v>
      </c>
      <c r="K253" s="255">
        <v>15.6</v>
      </c>
      <c r="L253" s="255">
        <v>20.6</v>
      </c>
      <c r="M253" s="255">
        <v>75.900000000000006</v>
      </c>
      <c r="N253" s="255">
        <v>10.9</v>
      </c>
      <c r="O253" s="255">
        <v>25.3</v>
      </c>
      <c r="P253" s="255">
        <v>36.200000000000003</v>
      </c>
      <c r="Q253" s="255">
        <v>12.2</v>
      </c>
      <c r="R253" s="255">
        <v>5.9</v>
      </c>
      <c r="S253" s="255">
        <v>3</v>
      </c>
      <c r="T253" s="255">
        <v>13.3</v>
      </c>
      <c r="U253" s="255">
        <v>16.2</v>
      </c>
    </row>
    <row r="254" spans="1:21" ht="15.75" customHeight="1" thickBot="1" x14ac:dyDescent="0.3">
      <c r="A254" s="257">
        <v>253</v>
      </c>
      <c r="B254" s="259" t="s">
        <v>288</v>
      </c>
      <c r="C254" s="255">
        <v>30</v>
      </c>
      <c r="D254" s="255">
        <v>73.3</v>
      </c>
      <c r="E254" s="255">
        <v>24.5</v>
      </c>
      <c r="F254" s="255">
        <v>55.9</v>
      </c>
      <c r="G254" s="255">
        <v>43.9</v>
      </c>
      <c r="H254" s="255">
        <v>7.9</v>
      </c>
      <c r="I254" s="255">
        <v>22</v>
      </c>
      <c r="J254" s="255">
        <v>35.799999999999997</v>
      </c>
      <c r="K254" s="255">
        <v>16.3</v>
      </c>
      <c r="L254" s="255">
        <v>23.8</v>
      </c>
      <c r="M254" s="255">
        <v>68.599999999999994</v>
      </c>
      <c r="N254" s="255">
        <v>11.1</v>
      </c>
      <c r="O254" s="255">
        <v>25.8</v>
      </c>
      <c r="P254" s="255">
        <v>36.9</v>
      </c>
      <c r="Q254" s="255">
        <v>12.2</v>
      </c>
      <c r="R254" s="255">
        <v>6.1</v>
      </c>
      <c r="S254" s="255">
        <v>3.1</v>
      </c>
      <c r="T254" s="255">
        <v>11.3</v>
      </c>
      <c r="U254" s="255">
        <v>17.3</v>
      </c>
    </row>
    <row r="255" spans="1:21" ht="15.75" customHeight="1" thickBot="1" x14ac:dyDescent="0.3">
      <c r="A255" s="257">
        <v>254</v>
      </c>
      <c r="B255" s="259" t="s">
        <v>394</v>
      </c>
      <c r="C255" s="255">
        <v>30</v>
      </c>
      <c r="D255" s="255">
        <v>73.2</v>
      </c>
      <c r="E255" s="255">
        <v>25.8</v>
      </c>
      <c r="F255" s="255">
        <v>60.2</v>
      </c>
      <c r="G255" s="255">
        <v>42.8</v>
      </c>
      <c r="H255" s="255">
        <v>8.1999999999999993</v>
      </c>
      <c r="I255" s="255">
        <v>27.2</v>
      </c>
      <c r="J255" s="255">
        <v>30.3</v>
      </c>
      <c r="K255" s="255">
        <v>13.5</v>
      </c>
      <c r="L255" s="255">
        <v>18</v>
      </c>
      <c r="M255" s="255">
        <v>74.8</v>
      </c>
      <c r="N255" s="255">
        <v>11.7</v>
      </c>
      <c r="O255" s="255">
        <v>27.3</v>
      </c>
      <c r="P255" s="255">
        <v>38.9</v>
      </c>
      <c r="Q255" s="255">
        <v>15.6</v>
      </c>
      <c r="R255" s="255">
        <v>5.7</v>
      </c>
      <c r="S255" s="255">
        <v>5</v>
      </c>
      <c r="T255" s="255">
        <v>11.9</v>
      </c>
      <c r="U255" s="255">
        <v>14.2</v>
      </c>
    </row>
    <row r="256" spans="1:21" ht="15.75" customHeight="1" thickBot="1" x14ac:dyDescent="0.3">
      <c r="A256" s="257">
        <v>255</v>
      </c>
      <c r="B256" s="259" t="s">
        <v>369</v>
      </c>
      <c r="C256" s="255">
        <v>31</v>
      </c>
      <c r="D256" s="255">
        <v>73.2</v>
      </c>
      <c r="E256" s="255">
        <v>26.6</v>
      </c>
      <c r="F256" s="255">
        <v>56.4</v>
      </c>
      <c r="G256" s="255">
        <v>47.1</v>
      </c>
      <c r="H256" s="255">
        <v>7.2</v>
      </c>
      <c r="I256" s="255">
        <v>19.7</v>
      </c>
      <c r="J256" s="255">
        <v>36.299999999999997</v>
      </c>
      <c r="K256" s="255">
        <v>12.9</v>
      </c>
      <c r="L256" s="255">
        <v>17.100000000000001</v>
      </c>
      <c r="M256" s="255">
        <v>75.3</v>
      </c>
      <c r="N256" s="255">
        <v>11.5</v>
      </c>
      <c r="O256" s="255">
        <v>26.7</v>
      </c>
      <c r="P256" s="255">
        <v>38.200000000000003</v>
      </c>
      <c r="Q256" s="255">
        <v>15.1</v>
      </c>
      <c r="R256" s="255">
        <v>5.5</v>
      </c>
      <c r="S256" s="255">
        <v>2.2999999999999998</v>
      </c>
      <c r="T256" s="255">
        <v>13.2</v>
      </c>
      <c r="U256" s="255">
        <v>18.399999999999999</v>
      </c>
    </row>
    <row r="257" spans="1:21" ht="15.75" customHeight="1" thickBot="1" x14ac:dyDescent="0.3">
      <c r="A257" s="257">
        <v>256</v>
      </c>
      <c r="B257" s="259" t="s">
        <v>299</v>
      </c>
      <c r="C257" s="255">
        <v>32</v>
      </c>
      <c r="D257" s="255">
        <v>73.099999999999994</v>
      </c>
      <c r="E257" s="255">
        <v>26.1</v>
      </c>
      <c r="F257" s="255">
        <v>56.4</v>
      </c>
      <c r="G257" s="255">
        <v>46.3</v>
      </c>
      <c r="H257" s="255">
        <v>7.8</v>
      </c>
      <c r="I257" s="255">
        <v>22.1</v>
      </c>
      <c r="J257" s="255">
        <v>35.5</v>
      </c>
      <c r="K257" s="255">
        <v>13.1</v>
      </c>
      <c r="L257" s="255">
        <v>17.8</v>
      </c>
      <c r="M257" s="255">
        <v>73.5</v>
      </c>
      <c r="N257" s="255">
        <v>7.6</v>
      </c>
      <c r="O257" s="255">
        <v>24.1</v>
      </c>
      <c r="P257" s="255">
        <v>31.7</v>
      </c>
      <c r="Q257" s="255">
        <v>14.3</v>
      </c>
      <c r="R257" s="255">
        <v>6.8</v>
      </c>
      <c r="S257" s="255">
        <v>3.3</v>
      </c>
      <c r="T257" s="255">
        <v>12.3</v>
      </c>
      <c r="U257" s="255">
        <v>16.100000000000001</v>
      </c>
    </row>
    <row r="258" spans="1:21" ht="15.75" customHeight="1" thickBot="1" x14ac:dyDescent="0.3">
      <c r="A258" s="257">
        <v>257</v>
      </c>
      <c r="B258" s="259" t="s">
        <v>444</v>
      </c>
      <c r="C258" s="255">
        <v>30</v>
      </c>
      <c r="D258" s="255">
        <v>73.099999999999994</v>
      </c>
      <c r="E258" s="255">
        <v>25.7</v>
      </c>
      <c r="F258" s="255">
        <v>56.4</v>
      </c>
      <c r="G258" s="255">
        <v>45.6</v>
      </c>
      <c r="H258" s="255">
        <v>6.9</v>
      </c>
      <c r="I258" s="255">
        <v>19.600000000000001</v>
      </c>
      <c r="J258" s="255">
        <v>35</v>
      </c>
      <c r="K258" s="255">
        <v>14.8</v>
      </c>
      <c r="L258" s="255">
        <v>21.5</v>
      </c>
      <c r="M258" s="255">
        <v>68.599999999999994</v>
      </c>
      <c r="N258" s="255">
        <v>10.6</v>
      </c>
      <c r="O258" s="255">
        <v>24.2</v>
      </c>
      <c r="P258" s="255">
        <v>34.799999999999997</v>
      </c>
      <c r="Q258" s="255">
        <v>11.1</v>
      </c>
      <c r="R258" s="255">
        <v>5.6</v>
      </c>
      <c r="S258" s="255">
        <v>3.6</v>
      </c>
      <c r="T258" s="255">
        <v>12</v>
      </c>
      <c r="U258" s="255">
        <v>17.899999999999999</v>
      </c>
    </row>
    <row r="259" spans="1:21" ht="15.75" customHeight="1" thickBot="1" x14ac:dyDescent="0.3">
      <c r="A259" s="257">
        <v>258</v>
      </c>
      <c r="B259" s="259" t="s">
        <v>287</v>
      </c>
      <c r="C259" s="255">
        <v>32</v>
      </c>
      <c r="D259" s="255">
        <v>73.099999999999994</v>
      </c>
      <c r="E259" s="255">
        <v>26.1</v>
      </c>
      <c r="F259" s="255">
        <v>57.4</v>
      </c>
      <c r="G259" s="255">
        <v>45.5</v>
      </c>
      <c r="H259" s="255">
        <v>7.1</v>
      </c>
      <c r="I259" s="255">
        <v>21.7</v>
      </c>
      <c r="J259" s="255">
        <v>32.700000000000003</v>
      </c>
      <c r="K259" s="255">
        <v>13.8</v>
      </c>
      <c r="L259" s="255">
        <v>19.3</v>
      </c>
      <c r="M259" s="255">
        <v>71.8</v>
      </c>
      <c r="N259" s="255">
        <v>11.1</v>
      </c>
      <c r="O259" s="255">
        <v>22.8</v>
      </c>
      <c r="P259" s="255">
        <v>33.9</v>
      </c>
      <c r="Q259" s="255">
        <v>12.1</v>
      </c>
      <c r="R259" s="255">
        <v>6.6</v>
      </c>
      <c r="S259" s="255">
        <v>2.9</v>
      </c>
      <c r="T259" s="255">
        <v>11.2</v>
      </c>
      <c r="U259" s="255">
        <v>19.399999999999999</v>
      </c>
    </row>
    <row r="260" spans="1:21" ht="15.75" customHeight="1" thickBot="1" x14ac:dyDescent="0.3">
      <c r="A260" s="257">
        <v>259</v>
      </c>
      <c r="B260" s="259" t="s">
        <v>412</v>
      </c>
      <c r="C260" s="255">
        <v>32</v>
      </c>
      <c r="D260" s="255">
        <v>73</v>
      </c>
      <c r="E260" s="255">
        <v>27.5</v>
      </c>
      <c r="F260" s="255">
        <v>60.8</v>
      </c>
      <c r="G260" s="255">
        <v>45.2</v>
      </c>
      <c r="H260" s="255">
        <v>5</v>
      </c>
      <c r="I260" s="255">
        <v>18</v>
      </c>
      <c r="J260" s="255">
        <v>27.8</v>
      </c>
      <c r="K260" s="255">
        <v>13</v>
      </c>
      <c r="L260" s="255">
        <v>19.2</v>
      </c>
      <c r="M260" s="255">
        <v>67.900000000000006</v>
      </c>
      <c r="N260" s="255">
        <v>11.4</v>
      </c>
      <c r="O260" s="255">
        <v>26.8</v>
      </c>
      <c r="P260" s="255">
        <v>38.200000000000003</v>
      </c>
      <c r="Q260" s="255">
        <v>13.5</v>
      </c>
      <c r="R260" s="255">
        <v>8</v>
      </c>
      <c r="S260" s="255">
        <v>3.6</v>
      </c>
      <c r="T260" s="255">
        <v>12</v>
      </c>
      <c r="U260" s="255">
        <v>17.100000000000001</v>
      </c>
    </row>
    <row r="261" spans="1:21" ht="15.75" customHeight="1" thickBot="1" x14ac:dyDescent="0.3">
      <c r="A261" s="257">
        <v>259</v>
      </c>
      <c r="B261" s="259" t="s">
        <v>298</v>
      </c>
      <c r="C261" s="255">
        <v>32</v>
      </c>
      <c r="D261" s="255">
        <v>73</v>
      </c>
      <c r="E261" s="255">
        <v>25.2</v>
      </c>
      <c r="F261" s="255">
        <v>54.7</v>
      </c>
      <c r="G261" s="255">
        <v>46</v>
      </c>
      <c r="H261" s="255">
        <v>7.5</v>
      </c>
      <c r="I261" s="255">
        <v>22.2</v>
      </c>
      <c r="J261" s="255">
        <v>34</v>
      </c>
      <c r="K261" s="255">
        <v>15.2</v>
      </c>
      <c r="L261" s="255">
        <v>21.1</v>
      </c>
      <c r="M261" s="255">
        <v>71.900000000000006</v>
      </c>
      <c r="N261" s="255">
        <v>8.3000000000000007</v>
      </c>
      <c r="O261" s="255">
        <v>26.6</v>
      </c>
      <c r="P261" s="255">
        <v>34.9</v>
      </c>
      <c r="Q261" s="255">
        <v>14.2</v>
      </c>
      <c r="R261" s="255">
        <v>5.8</v>
      </c>
      <c r="S261" s="255">
        <v>3.3</v>
      </c>
      <c r="T261" s="255">
        <v>13.2</v>
      </c>
      <c r="U261" s="255">
        <v>17.399999999999999</v>
      </c>
    </row>
    <row r="262" spans="1:21" ht="15.75" customHeight="1" thickBot="1" x14ac:dyDescent="0.3">
      <c r="A262" s="257">
        <v>259</v>
      </c>
      <c r="B262" s="259" t="s">
        <v>328</v>
      </c>
      <c r="C262" s="255">
        <v>31</v>
      </c>
      <c r="D262" s="255">
        <v>73</v>
      </c>
      <c r="E262" s="255">
        <v>25.9</v>
      </c>
      <c r="F262" s="255">
        <v>58.9</v>
      </c>
      <c r="G262" s="255">
        <v>44</v>
      </c>
      <c r="H262" s="255">
        <v>7.1</v>
      </c>
      <c r="I262" s="255">
        <v>20.2</v>
      </c>
      <c r="J262" s="255">
        <v>35.200000000000003</v>
      </c>
      <c r="K262" s="255">
        <v>14.1</v>
      </c>
      <c r="L262" s="255">
        <v>19</v>
      </c>
      <c r="M262" s="255">
        <v>74.2</v>
      </c>
      <c r="N262" s="255">
        <v>11.4</v>
      </c>
      <c r="O262" s="255">
        <v>24.1</v>
      </c>
      <c r="P262" s="255">
        <v>35.5</v>
      </c>
      <c r="Q262" s="255">
        <v>14.1</v>
      </c>
      <c r="R262" s="255">
        <v>7.6</v>
      </c>
      <c r="S262" s="255">
        <v>4.3</v>
      </c>
      <c r="T262" s="255">
        <v>11.5</v>
      </c>
      <c r="U262" s="255">
        <v>15.9</v>
      </c>
    </row>
    <row r="263" spans="1:21" ht="15.75" customHeight="1" thickBot="1" x14ac:dyDescent="0.3">
      <c r="A263" s="257">
        <v>259</v>
      </c>
      <c r="B263" s="259" t="s">
        <v>210</v>
      </c>
      <c r="C263" s="255">
        <v>31</v>
      </c>
      <c r="D263" s="255">
        <v>73</v>
      </c>
      <c r="E263" s="255">
        <v>24.7</v>
      </c>
      <c r="F263" s="255">
        <v>58.8</v>
      </c>
      <c r="G263" s="255">
        <v>42.1</v>
      </c>
      <c r="H263" s="255">
        <v>4.9000000000000004</v>
      </c>
      <c r="I263" s="255">
        <v>16.8</v>
      </c>
      <c r="J263" s="255">
        <v>28.9</v>
      </c>
      <c r="K263" s="255">
        <v>18.600000000000001</v>
      </c>
      <c r="L263" s="255">
        <v>25.3</v>
      </c>
      <c r="M263" s="255">
        <v>73.7</v>
      </c>
      <c r="N263" s="255">
        <v>11.4</v>
      </c>
      <c r="O263" s="255">
        <v>23.3</v>
      </c>
      <c r="P263" s="255">
        <v>34.700000000000003</v>
      </c>
      <c r="Q263" s="255">
        <v>11.1</v>
      </c>
      <c r="R263" s="255">
        <v>7.7</v>
      </c>
      <c r="S263" s="255">
        <v>4.8</v>
      </c>
      <c r="T263" s="255">
        <v>13.4</v>
      </c>
      <c r="U263" s="255">
        <v>20.100000000000001</v>
      </c>
    </row>
    <row r="264" spans="1:21" ht="15.75" customHeight="1" thickBot="1" x14ac:dyDescent="0.3">
      <c r="A264" s="257">
        <v>263</v>
      </c>
      <c r="B264" s="259" t="s">
        <v>137</v>
      </c>
      <c r="C264" s="255">
        <v>32</v>
      </c>
      <c r="D264" s="255">
        <v>72.900000000000006</v>
      </c>
      <c r="E264" s="255">
        <v>25.3</v>
      </c>
      <c r="F264" s="255">
        <v>58.5</v>
      </c>
      <c r="G264" s="255">
        <v>43.3</v>
      </c>
      <c r="H264" s="255">
        <v>7.3</v>
      </c>
      <c r="I264" s="255">
        <v>22.7</v>
      </c>
      <c r="J264" s="255">
        <v>32.299999999999997</v>
      </c>
      <c r="K264" s="255">
        <v>15</v>
      </c>
      <c r="L264" s="255">
        <v>20.2</v>
      </c>
      <c r="M264" s="255">
        <v>74.3</v>
      </c>
      <c r="N264" s="255">
        <v>10.3</v>
      </c>
      <c r="O264" s="255">
        <v>24.4</v>
      </c>
      <c r="P264" s="255">
        <v>34.700000000000003</v>
      </c>
      <c r="Q264" s="255">
        <v>12.7</v>
      </c>
      <c r="R264" s="255">
        <v>5.3</v>
      </c>
      <c r="S264" s="255">
        <v>4.0999999999999996</v>
      </c>
      <c r="T264" s="255">
        <v>13.1</v>
      </c>
      <c r="U264" s="255">
        <v>19.100000000000001</v>
      </c>
    </row>
    <row r="265" spans="1:21" ht="15.75" customHeight="1" thickBot="1" x14ac:dyDescent="0.3">
      <c r="A265" s="257">
        <v>264</v>
      </c>
      <c r="B265" s="259" t="s">
        <v>427</v>
      </c>
      <c r="C265" s="255">
        <v>31</v>
      </c>
      <c r="D265" s="255">
        <v>72.900000000000006</v>
      </c>
      <c r="E265" s="255">
        <v>25.7</v>
      </c>
      <c r="F265" s="255">
        <v>56.7</v>
      </c>
      <c r="G265" s="255">
        <v>45.4</v>
      </c>
      <c r="H265" s="255">
        <v>6.3</v>
      </c>
      <c r="I265" s="255">
        <v>18</v>
      </c>
      <c r="J265" s="255">
        <v>34.799999999999997</v>
      </c>
      <c r="K265" s="255">
        <v>15.2</v>
      </c>
      <c r="L265" s="255">
        <v>22.4</v>
      </c>
      <c r="M265" s="255">
        <v>67.8</v>
      </c>
      <c r="N265" s="255">
        <v>11.4</v>
      </c>
      <c r="O265" s="255">
        <v>24.5</v>
      </c>
      <c r="P265" s="255">
        <v>35.9</v>
      </c>
      <c r="Q265" s="255">
        <v>13.3</v>
      </c>
      <c r="R265" s="255">
        <v>7.8</v>
      </c>
      <c r="S265" s="255">
        <v>3</v>
      </c>
      <c r="T265" s="255">
        <v>13</v>
      </c>
      <c r="U265" s="255">
        <v>20.5</v>
      </c>
    </row>
    <row r="266" spans="1:21" ht="15.75" customHeight="1" thickBot="1" x14ac:dyDescent="0.3">
      <c r="A266" s="257">
        <v>265</v>
      </c>
      <c r="B266" s="259" t="s">
        <v>342</v>
      </c>
      <c r="C266" s="255">
        <v>31</v>
      </c>
      <c r="D266" s="255">
        <v>72.900000000000006</v>
      </c>
      <c r="E266" s="255">
        <v>25.3</v>
      </c>
      <c r="F266" s="255">
        <v>58.2</v>
      </c>
      <c r="G266" s="255">
        <v>43.5</v>
      </c>
      <c r="H266" s="255">
        <v>8.8000000000000007</v>
      </c>
      <c r="I266" s="255">
        <v>26</v>
      </c>
      <c r="J266" s="255">
        <v>33.700000000000003</v>
      </c>
      <c r="K266" s="255">
        <v>13.5</v>
      </c>
      <c r="L266" s="255">
        <v>20.3</v>
      </c>
      <c r="M266" s="255">
        <v>66.2</v>
      </c>
      <c r="N266" s="255">
        <v>10.5</v>
      </c>
      <c r="O266" s="255">
        <v>20.7</v>
      </c>
      <c r="P266" s="255">
        <v>31.2</v>
      </c>
      <c r="Q266" s="255">
        <v>13.2</v>
      </c>
      <c r="R266" s="255">
        <v>8.9</v>
      </c>
      <c r="S266" s="255">
        <v>2.6</v>
      </c>
      <c r="T266" s="255">
        <v>11.8</v>
      </c>
      <c r="U266" s="255">
        <v>18</v>
      </c>
    </row>
    <row r="267" spans="1:21" ht="15.75" customHeight="1" thickBot="1" x14ac:dyDescent="0.3">
      <c r="A267" s="257">
        <v>266</v>
      </c>
      <c r="B267" s="259" t="s">
        <v>402</v>
      </c>
      <c r="C267" s="255">
        <v>31</v>
      </c>
      <c r="D267" s="255">
        <v>72.8</v>
      </c>
      <c r="E267" s="255">
        <v>25.7</v>
      </c>
      <c r="F267" s="255">
        <v>58</v>
      </c>
      <c r="G267" s="255">
        <v>44.3</v>
      </c>
      <c r="H267" s="255">
        <v>7.4</v>
      </c>
      <c r="I267" s="255">
        <v>22.1</v>
      </c>
      <c r="J267" s="255">
        <v>33.299999999999997</v>
      </c>
      <c r="K267" s="255">
        <v>14.1</v>
      </c>
      <c r="L267" s="255">
        <v>20.100000000000001</v>
      </c>
      <c r="M267" s="255">
        <v>70.099999999999994</v>
      </c>
      <c r="N267" s="255">
        <v>9.1999999999999993</v>
      </c>
      <c r="O267" s="255">
        <v>23.8</v>
      </c>
      <c r="P267" s="255">
        <v>33</v>
      </c>
      <c r="Q267" s="255">
        <v>13.4</v>
      </c>
      <c r="R267" s="255">
        <v>8</v>
      </c>
      <c r="S267" s="255">
        <v>4.8</v>
      </c>
      <c r="T267" s="255">
        <v>11.6</v>
      </c>
      <c r="U267" s="255">
        <v>16.7</v>
      </c>
    </row>
    <row r="268" spans="1:21" ht="15.75" customHeight="1" thickBot="1" x14ac:dyDescent="0.3">
      <c r="A268" s="257">
        <v>267</v>
      </c>
      <c r="B268" s="259" t="s">
        <v>213</v>
      </c>
      <c r="C268" s="255">
        <v>30</v>
      </c>
      <c r="D268" s="255">
        <v>72.599999999999994</v>
      </c>
      <c r="E268" s="255">
        <v>25.3</v>
      </c>
      <c r="F268" s="255">
        <v>59.2</v>
      </c>
      <c r="G268" s="255">
        <v>42.8</v>
      </c>
      <c r="H268" s="255">
        <v>6.3</v>
      </c>
      <c r="I268" s="255">
        <v>19</v>
      </c>
      <c r="J268" s="255">
        <v>33</v>
      </c>
      <c r="K268" s="255">
        <v>15.8</v>
      </c>
      <c r="L268" s="255">
        <v>22.1</v>
      </c>
      <c r="M268" s="255">
        <v>71.5</v>
      </c>
      <c r="N268" s="255">
        <v>14.2</v>
      </c>
      <c r="O268" s="255">
        <v>26.1</v>
      </c>
      <c r="P268" s="255">
        <v>40.299999999999997</v>
      </c>
      <c r="Q268" s="255">
        <v>10.3</v>
      </c>
      <c r="R268" s="255">
        <v>5.5</v>
      </c>
      <c r="S268" s="255">
        <v>3</v>
      </c>
      <c r="T268" s="255">
        <v>12.4</v>
      </c>
      <c r="U268" s="255">
        <v>18.7</v>
      </c>
    </row>
    <row r="269" spans="1:21" ht="15.75" customHeight="1" thickBot="1" x14ac:dyDescent="0.3">
      <c r="A269" s="257">
        <v>268</v>
      </c>
      <c r="B269" s="259" t="s">
        <v>236</v>
      </c>
      <c r="C269" s="255">
        <v>30</v>
      </c>
      <c r="D269" s="255">
        <v>72.599999999999994</v>
      </c>
      <c r="E269" s="255">
        <v>25.8</v>
      </c>
      <c r="F269" s="255">
        <v>56</v>
      </c>
      <c r="G269" s="255">
        <v>46</v>
      </c>
      <c r="H269" s="255">
        <v>9.1</v>
      </c>
      <c r="I269" s="255">
        <v>24.6</v>
      </c>
      <c r="J269" s="255">
        <v>37</v>
      </c>
      <c r="K269" s="255">
        <v>11.9</v>
      </c>
      <c r="L269" s="255">
        <v>18.100000000000001</v>
      </c>
      <c r="M269" s="255">
        <v>65.8</v>
      </c>
      <c r="N269" s="255">
        <v>9.8000000000000007</v>
      </c>
      <c r="O269" s="255">
        <v>23.5</v>
      </c>
      <c r="P269" s="255">
        <v>33.299999999999997</v>
      </c>
      <c r="Q269" s="255">
        <v>13.8</v>
      </c>
      <c r="R269" s="255">
        <v>6.7</v>
      </c>
      <c r="S269" s="255">
        <v>4.2</v>
      </c>
      <c r="T269" s="255">
        <v>10.5</v>
      </c>
      <c r="U269" s="255">
        <v>16.899999999999999</v>
      </c>
    </row>
    <row r="270" spans="1:21" ht="15.75" customHeight="1" thickBot="1" x14ac:dyDescent="0.3">
      <c r="A270" s="257">
        <v>269</v>
      </c>
      <c r="B270" s="259" t="s">
        <v>442</v>
      </c>
      <c r="C270" s="255">
        <v>32</v>
      </c>
      <c r="D270" s="255">
        <v>72.400000000000006</v>
      </c>
      <c r="E270" s="255">
        <v>24</v>
      </c>
      <c r="F270" s="255">
        <v>58.1</v>
      </c>
      <c r="G270" s="255">
        <v>41.3</v>
      </c>
      <c r="H270" s="255">
        <v>7.7</v>
      </c>
      <c r="I270" s="255">
        <v>24.1</v>
      </c>
      <c r="J270" s="255">
        <v>31.9</v>
      </c>
      <c r="K270" s="255">
        <v>16.8</v>
      </c>
      <c r="L270" s="255">
        <v>22.9</v>
      </c>
      <c r="M270" s="255">
        <v>73.099999999999994</v>
      </c>
      <c r="N270" s="255">
        <v>9.3000000000000007</v>
      </c>
      <c r="O270" s="255">
        <v>23.1</v>
      </c>
      <c r="P270" s="255">
        <v>32.4</v>
      </c>
      <c r="Q270" s="255">
        <v>12.2</v>
      </c>
      <c r="R270" s="255">
        <v>6.1</v>
      </c>
      <c r="S270" s="255">
        <v>3.4</v>
      </c>
      <c r="T270" s="255">
        <v>12.1</v>
      </c>
      <c r="U270" s="255">
        <v>14.5</v>
      </c>
    </row>
    <row r="271" spans="1:21" ht="15.75" customHeight="1" thickBot="1" x14ac:dyDescent="0.3">
      <c r="A271" s="257">
        <v>270</v>
      </c>
      <c r="B271" s="259" t="s">
        <v>372</v>
      </c>
      <c r="C271" s="255">
        <v>32</v>
      </c>
      <c r="D271" s="255">
        <v>72.3</v>
      </c>
      <c r="E271" s="255">
        <v>25.2</v>
      </c>
      <c r="F271" s="255">
        <v>59</v>
      </c>
      <c r="G271" s="255">
        <v>42.7</v>
      </c>
      <c r="H271" s="255">
        <v>7.2</v>
      </c>
      <c r="I271" s="255">
        <v>22.8</v>
      </c>
      <c r="J271" s="255">
        <v>31.7</v>
      </c>
      <c r="K271" s="255">
        <v>14.7</v>
      </c>
      <c r="L271" s="255">
        <v>19.5</v>
      </c>
      <c r="M271" s="255">
        <v>75</v>
      </c>
      <c r="N271" s="255">
        <v>11.1</v>
      </c>
      <c r="O271" s="255">
        <v>22.8</v>
      </c>
      <c r="P271" s="255">
        <v>33.9</v>
      </c>
      <c r="Q271" s="255">
        <v>14.1</v>
      </c>
      <c r="R271" s="255">
        <v>6</v>
      </c>
      <c r="S271" s="255">
        <v>2.8</v>
      </c>
      <c r="T271" s="255">
        <v>12.8</v>
      </c>
      <c r="U271" s="255">
        <v>15.5</v>
      </c>
    </row>
    <row r="272" spans="1:21" ht="15.75" customHeight="1" thickBot="1" x14ac:dyDescent="0.3">
      <c r="A272" s="257">
        <v>271</v>
      </c>
      <c r="B272" s="259" t="s">
        <v>346</v>
      </c>
      <c r="C272" s="255">
        <v>29</v>
      </c>
      <c r="D272" s="255">
        <v>72.2</v>
      </c>
      <c r="E272" s="255">
        <v>25</v>
      </c>
      <c r="F272" s="255">
        <v>56.8</v>
      </c>
      <c r="G272" s="255">
        <v>43.9</v>
      </c>
      <c r="H272" s="255">
        <v>6.3</v>
      </c>
      <c r="I272" s="255">
        <v>19.100000000000001</v>
      </c>
      <c r="J272" s="255">
        <v>33.200000000000003</v>
      </c>
      <c r="K272" s="255">
        <v>15.9</v>
      </c>
      <c r="L272" s="255">
        <v>22</v>
      </c>
      <c r="M272" s="255">
        <v>72.3</v>
      </c>
      <c r="N272" s="255">
        <v>10.7</v>
      </c>
      <c r="O272" s="255">
        <v>20.9</v>
      </c>
      <c r="P272" s="255">
        <v>31.6</v>
      </c>
      <c r="Q272" s="255">
        <v>13.9</v>
      </c>
      <c r="R272" s="255">
        <v>8.9</v>
      </c>
      <c r="S272" s="255">
        <v>3.6</v>
      </c>
      <c r="T272" s="255">
        <v>12.3</v>
      </c>
      <c r="U272" s="255">
        <v>17.8</v>
      </c>
    </row>
    <row r="273" spans="1:21" ht="15.75" customHeight="1" thickBot="1" x14ac:dyDescent="0.3">
      <c r="A273" s="257">
        <v>272</v>
      </c>
      <c r="B273" s="259" t="s">
        <v>185</v>
      </c>
      <c r="C273" s="255">
        <v>31</v>
      </c>
      <c r="D273" s="255">
        <v>72.2</v>
      </c>
      <c r="E273" s="255">
        <v>23.9</v>
      </c>
      <c r="F273" s="255">
        <v>54.5</v>
      </c>
      <c r="G273" s="255">
        <v>43.9</v>
      </c>
      <c r="H273" s="255">
        <v>6.3</v>
      </c>
      <c r="I273" s="255">
        <v>18.399999999999999</v>
      </c>
      <c r="J273" s="255">
        <v>34.299999999999997</v>
      </c>
      <c r="K273" s="255">
        <v>18.100000000000001</v>
      </c>
      <c r="L273" s="255">
        <v>24.2</v>
      </c>
      <c r="M273" s="255">
        <v>74.599999999999994</v>
      </c>
      <c r="N273" s="255">
        <v>9.4</v>
      </c>
      <c r="O273" s="255">
        <v>24.7</v>
      </c>
      <c r="P273" s="255">
        <v>34.1</v>
      </c>
      <c r="Q273" s="255">
        <v>11.5</v>
      </c>
      <c r="R273" s="255">
        <v>5.9</v>
      </c>
      <c r="S273" s="255">
        <v>2.9</v>
      </c>
      <c r="T273" s="255">
        <v>11.4</v>
      </c>
      <c r="U273" s="255">
        <v>18.100000000000001</v>
      </c>
    </row>
    <row r="274" spans="1:21" ht="15.75" customHeight="1" thickBot="1" x14ac:dyDescent="0.3">
      <c r="A274" s="257">
        <v>273</v>
      </c>
      <c r="B274" s="259" t="s">
        <v>193</v>
      </c>
      <c r="C274" s="255">
        <v>32</v>
      </c>
      <c r="D274" s="255">
        <v>72.2</v>
      </c>
      <c r="E274" s="255">
        <v>25.2</v>
      </c>
      <c r="F274" s="255">
        <v>61.2</v>
      </c>
      <c r="G274" s="255">
        <v>41.2</v>
      </c>
      <c r="H274" s="255">
        <v>10.6</v>
      </c>
      <c r="I274" s="255">
        <v>32.700000000000003</v>
      </c>
      <c r="J274" s="255">
        <v>32.4</v>
      </c>
      <c r="K274" s="255">
        <v>11.2</v>
      </c>
      <c r="L274" s="255">
        <v>15.7</v>
      </c>
      <c r="M274" s="255">
        <v>71.5</v>
      </c>
      <c r="N274" s="255">
        <v>11.8</v>
      </c>
      <c r="O274" s="255">
        <v>23.7</v>
      </c>
      <c r="P274" s="255">
        <v>35.5</v>
      </c>
      <c r="Q274" s="255">
        <v>15</v>
      </c>
      <c r="R274" s="255">
        <v>5.8</v>
      </c>
      <c r="S274" s="255">
        <v>1.6</v>
      </c>
      <c r="T274" s="255">
        <v>11.9</v>
      </c>
      <c r="U274" s="255">
        <v>18.8</v>
      </c>
    </row>
    <row r="275" spans="1:21" ht="15.75" customHeight="1" thickBot="1" x14ac:dyDescent="0.3">
      <c r="A275" s="257">
        <v>274</v>
      </c>
      <c r="B275" s="259" t="s">
        <v>456</v>
      </c>
      <c r="C275" s="255">
        <v>31</v>
      </c>
      <c r="D275" s="255">
        <v>72</v>
      </c>
      <c r="E275" s="255">
        <v>24.2</v>
      </c>
      <c r="F275" s="255">
        <v>60.4</v>
      </c>
      <c r="G275" s="255">
        <v>40.1</v>
      </c>
      <c r="H275" s="255">
        <v>10.7</v>
      </c>
      <c r="I275" s="255">
        <v>32.700000000000003</v>
      </c>
      <c r="J275" s="255">
        <v>32.799999999999997</v>
      </c>
      <c r="K275" s="255">
        <v>12.8</v>
      </c>
      <c r="L275" s="255">
        <v>17.7</v>
      </c>
      <c r="M275" s="255">
        <v>72.5</v>
      </c>
      <c r="N275" s="255">
        <v>10.199999999999999</v>
      </c>
      <c r="O275" s="255">
        <v>23.2</v>
      </c>
      <c r="P275" s="255">
        <v>33.4</v>
      </c>
      <c r="Q275" s="255">
        <v>12.6</v>
      </c>
      <c r="R275" s="255">
        <v>7.1</v>
      </c>
      <c r="S275" s="255">
        <v>2.4</v>
      </c>
      <c r="T275" s="255">
        <v>10</v>
      </c>
      <c r="U275" s="255">
        <v>16.8</v>
      </c>
    </row>
    <row r="276" spans="1:21" ht="15.75" customHeight="1" thickBot="1" x14ac:dyDescent="0.3">
      <c r="A276" s="257">
        <v>275</v>
      </c>
      <c r="B276" s="259" t="s">
        <v>189</v>
      </c>
      <c r="C276" s="255">
        <v>31</v>
      </c>
      <c r="D276" s="255">
        <v>72</v>
      </c>
      <c r="E276" s="255">
        <v>25.1</v>
      </c>
      <c r="F276" s="255">
        <v>56.9</v>
      </c>
      <c r="G276" s="255">
        <v>44.1</v>
      </c>
      <c r="H276" s="255">
        <v>8</v>
      </c>
      <c r="I276" s="255">
        <v>26.3</v>
      </c>
      <c r="J276" s="255">
        <v>30.5</v>
      </c>
      <c r="K276" s="255">
        <v>13.8</v>
      </c>
      <c r="L276" s="255">
        <v>21.7</v>
      </c>
      <c r="M276" s="255">
        <v>63.6</v>
      </c>
      <c r="N276" s="255">
        <v>12.3</v>
      </c>
      <c r="O276" s="255">
        <v>27.1</v>
      </c>
      <c r="P276" s="255">
        <v>39.299999999999997</v>
      </c>
      <c r="Q276" s="255">
        <v>12.3</v>
      </c>
      <c r="R276" s="255">
        <v>4.9000000000000004</v>
      </c>
      <c r="S276" s="255">
        <v>3.6</v>
      </c>
      <c r="T276" s="255">
        <v>9.9</v>
      </c>
      <c r="U276" s="255">
        <v>15.4</v>
      </c>
    </row>
    <row r="277" spans="1:21" ht="15.75" customHeight="1" thickBot="1" x14ac:dyDescent="0.3">
      <c r="A277" s="257">
        <v>276</v>
      </c>
      <c r="B277" s="259" t="s">
        <v>436</v>
      </c>
      <c r="C277" s="255">
        <v>31</v>
      </c>
      <c r="D277" s="255">
        <v>71.8</v>
      </c>
      <c r="E277" s="255">
        <v>27.5</v>
      </c>
      <c r="F277" s="255">
        <v>58.5</v>
      </c>
      <c r="G277" s="255">
        <v>46.9</v>
      </c>
      <c r="H277" s="255">
        <v>7.3</v>
      </c>
      <c r="I277" s="255">
        <v>21.8</v>
      </c>
      <c r="J277" s="255">
        <v>33.299999999999997</v>
      </c>
      <c r="K277" s="255">
        <v>9.6999999999999993</v>
      </c>
      <c r="L277" s="255">
        <v>14.6</v>
      </c>
      <c r="M277" s="255">
        <v>66.400000000000006</v>
      </c>
      <c r="N277" s="255">
        <v>11.1</v>
      </c>
      <c r="O277" s="255">
        <v>23.2</v>
      </c>
      <c r="P277" s="255">
        <v>34.299999999999997</v>
      </c>
      <c r="Q277" s="255">
        <v>14</v>
      </c>
      <c r="R277" s="255">
        <v>6.9</v>
      </c>
      <c r="S277" s="255">
        <v>3.8</v>
      </c>
      <c r="T277" s="255">
        <v>12.2</v>
      </c>
      <c r="U277" s="255">
        <v>16.8</v>
      </c>
    </row>
    <row r="278" spans="1:21" ht="15.75" customHeight="1" thickBot="1" x14ac:dyDescent="0.3">
      <c r="A278" s="257">
        <v>277</v>
      </c>
      <c r="B278" s="259" t="s">
        <v>376</v>
      </c>
      <c r="C278" s="255">
        <v>31</v>
      </c>
      <c r="D278" s="255">
        <v>71.8</v>
      </c>
      <c r="E278" s="255">
        <v>25.8</v>
      </c>
      <c r="F278" s="255">
        <v>54.5</v>
      </c>
      <c r="G278" s="255">
        <v>47.3</v>
      </c>
      <c r="H278" s="255">
        <v>5</v>
      </c>
      <c r="I278" s="255">
        <v>15.7</v>
      </c>
      <c r="J278" s="255">
        <v>31.8</v>
      </c>
      <c r="K278" s="255">
        <v>15.2</v>
      </c>
      <c r="L278" s="255">
        <v>22.3</v>
      </c>
      <c r="M278" s="255">
        <v>68.3</v>
      </c>
      <c r="N278" s="255">
        <v>11.1</v>
      </c>
      <c r="O278" s="255">
        <v>24.2</v>
      </c>
      <c r="P278" s="255">
        <v>35.299999999999997</v>
      </c>
      <c r="Q278" s="255">
        <v>12.9</v>
      </c>
      <c r="R278" s="255">
        <v>5.7</v>
      </c>
      <c r="S278" s="255">
        <v>4.5999999999999996</v>
      </c>
      <c r="T278" s="255">
        <v>12.9</v>
      </c>
      <c r="U278" s="255">
        <v>17.399999999999999</v>
      </c>
    </row>
    <row r="279" spans="1:21" ht="15.75" customHeight="1" thickBot="1" x14ac:dyDescent="0.3">
      <c r="A279" s="257">
        <v>278</v>
      </c>
      <c r="B279" s="259" t="s">
        <v>460</v>
      </c>
      <c r="C279" s="255">
        <v>30</v>
      </c>
      <c r="D279" s="255">
        <v>71.8</v>
      </c>
      <c r="E279" s="255">
        <v>25.6</v>
      </c>
      <c r="F279" s="255">
        <v>58.2</v>
      </c>
      <c r="G279" s="255">
        <v>44.1</v>
      </c>
      <c r="H279" s="255">
        <v>7.5</v>
      </c>
      <c r="I279" s="255">
        <v>21.2</v>
      </c>
      <c r="J279" s="255">
        <v>35.5</v>
      </c>
      <c r="K279" s="255">
        <v>13</v>
      </c>
      <c r="L279" s="255">
        <v>17.899999999999999</v>
      </c>
      <c r="M279" s="255">
        <v>72.5</v>
      </c>
      <c r="N279" s="255">
        <v>11.9</v>
      </c>
      <c r="O279" s="255">
        <v>25.4</v>
      </c>
      <c r="P279" s="255">
        <v>37.299999999999997</v>
      </c>
      <c r="Q279" s="255">
        <v>12.7</v>
      </c>
      <c r="R279" s="255">
        <v>5.5</v>
      </c>
      <c r="S279" s="255">
        <v>2.5</v>
      </c>
      <c r="T279" s="255">
        <v>12.8</v>
      </c>
      <c r="U279" s="255">
        <v>18.5</v>
      </c>
    </row>
    <row r="280" spans="1:21" ht="15.75" customHeight="1" thickBot="1" x14ac:dyDescent="0.3">
      <c r="A280" s="257">
        <v>279</v>
      </c>
      <c r="B280" s="259" t="s">
        <v>433</v>
      </c>
      <c r="C280" s="255">
        <v>30</v>
      </c>
      <c r="D280" s="255">
        <v>71.8</v>
      </c>
      <c r="E280" s="255">
        <v>23</v>
      </c>
      <c r="F280" s="255">
        <v>53.9</v>
      </c>
      <c r="G280" s="255">
        <v>42.6</v>
      </c>
      <c r="H280" s="255">
        <v>7.7</v>
      </c>
      <c r="I280" s="255">
        <v>24</v>
      </c>
      <c r="J280" s="255">
        <v>32</v>
      </c>
      <c r="K280" s="255">
        <v>18.100000000000001</v>
      </c>
      <c r="L280" s="255">
        <v>23.9</v>
      </c>
      <c r="M280" s="255">
        <v>75.8</v>
      </c>
      <c r="N280" s="255">
        <v>7.6</v>
      </c>
      <c r="O280" s="255">
        <v>23.3</v>
      </c>
      <c r="P280" s="255">
        <v>30.9</v>
      </c>
      <c r="Q280" s="255">
        <v>13</v>
      </c>
      <c r="R280" s="255">
        <v>7.7</v>
      </c>
      <c r="S280" s="255">
        <v>4.8</v>
      </c>
      <c r="T280" s="255">
        <v>11</v>
      </c>
      <c r="U280" s="255">
        <v>17.399999999999999</v>
      </c>
    </row>
    <row r="281" spans="1:21" ht="15.75" customHeight="1" thickBot="1" x14ac:dyDescent="0.3">
      <c r="A281" s="257">
        <v>280</v>
      </c>
      <c r="B281" s="259" t="s">
        <v>457</v>
      </c>
      <c r="C281" s="255">
        <v>32</v>
      </c>
      <c r="D281" s="255">
        <v>71.599999999999994</v>
      </c>
      <c r="E281" s="255">
        <v>24.4</v>
      </c>
      <c r="F281" s="255">
        <v>58</v>
      </c>
      <c r="G281" s="255">
        <v>42</v>
      </c>
      <c r="H281" s="255">
        <v>7.3</v>
      </c>
      <c r="I281" s="255">
        <v>21.3</v>
      </c>
      <c r="J281" s="255">
        <v>34</v>
      </c>
      <c r="K281" s="255">
        <v>15.6</v>
      </c>
      <c r="L281" s="255">
        <v>22.1</v>
      </c>
      <c r="M281" s="255">
        <v>70.599999999999994</v>
      </c>
      <c r="N281" s="255">
        <v>12</v>
      </c>
      <c r="O281" s="255">
        <v>24</v>
      </c>
      <c r="P281" s="255">
        <v>36</v>
      </c>
      <c r="Q281" s="255">
        <v>11.9</v>
      </c>
      <c r="R281" s="255">
        <v>5.9</v>
      </c>
      <c r="S281" s="255">
        <v>3.5</v>
      </c>
      <c r="T281" s="255">
        <v>10.3</v>
      </c>
      <c r="U281" s="255">
        <v>17.5</v>
      </c>
    </row>
    <row r="282" spans="1:21" ht="15.75" customHeight="1" thickBot="1" x14ac:dyDescent="0.3">
      <c r="A282" s="257">
        <v>281</v>
      </c>
      <c r="B282" s="259" t="s">
        <v>351</v>
      </c>
      <c r="C282" s="255">
        <v>31</v>
      </c>
      <c r="D282" s="255">
        <v>71.5</v>
      </c>
      <c r="E282" s="255">
        <v>25.8</v>
      </c>
      <c r="F282" s="255">
        <v>55.3</v>
      </c>
      <c r="G282" s="255">
        <v>46.6</v>
      </c>
      <c r="H282" s="255">
        <v>7.6</v>
      </c>
      <c r="I282" s="255">
        <v>20.399999999999999</v>
      </c>
      <c r="J282" s="255">
        <v>37.200000000000003</v>
      </c>
      <c r="K282" s="255">
        <v>12.4</v>
      </c>
      <c r="L282" s="255">
        <v>18.2</v>
      </c>
      <c r="M282" s="255">
        <v>68</v>
      </c>
      <c r="N282" s="255">
        <v>8</v>
      </c>
      <c r="O282" s="255">
        <v>21.8</v>
      </c>
      <c r="P282" s="255">
        <v>29.9</v>
      </c>
      <c r="Q282" s="255">
        <v>13.2</v>
      </c>
      <c r="R282" s="255">
        <v>6.9</v>
      </c>
      <c r="S282" s="255">
        <v>2.6</v>
      </c>
      <c r="T282" s="255">
        <v>10.5</v>
      </c>
      <c r="U282" s="255">
        <v>17.399999999999999</v>
      </c>
    </row>
    <row r="283" spans="1:21" ht="15.75" customHeight="1" thickBot="1" x14ac:dyDescent="0.3">
      <c r="A283" s="257">
        <v>282</v>
      </c>
      <c r="B283" s="259" t="s">
        <v>393</v>
      </c>
      <c r="C283" s="255">
        <v>31</v>
      </c>
      <c r="D283" s="255">
        <v>71.5</v>
      </c>
      <c r="E283" s="255">
        <v>25.6</v>
      </c>
      <c r="F283" s="255">
        <v>59.5</v>
      </c>
      <c r="G283" s="255">
        <v>43</v>
      </c>
      <c r="H283" s="255">
        <v>7.7</v>
      </c>
      <c r="I283" s="255">
        <v>22.6</v>
      </c>
      <c r="J283" s="255">
        <v>34</v>
      </c>
      <c r="K283" s="255">
        <v>12.6</v>
      </c>
      <c r="L283" s="255">
        <v>18.2</v>
      </c>
      <c r="M283" s="255">
        <v>69.400000000000006</v>
      </c>
      <c r="N283" s="255">
        <v>10.5</v>
      </c>
      <c r="O283" s="255">
        <v>22.2</v>
      </c>
      <c r="P283" s="255">
        <v>32.6</v>
      </c>
      <c r="Q283" s="255">
        <v>13.4</v>
      </c>
      <c r="R283" s="255">
        <v>7.4</v>
      </c>
      <c r="S283" s="255">
        <v>2.1</v>
      </c>
      <c r="T283" s="255">
        <v>12.9</v>
      </c>
      <c r="U283" s="255">
        <v>18.3</v>
      </c>
    </row>
    <row r="284" spans="1:21" ht="15.75" customHeight="1" thickBot="1" x14ac:dyDescent="0.3">
      <c r="A284" s="257">
        <v>283</v>
      </c>
      <c r="B284" s="259" t="s">
        <v>395</v>
      </c>
      <c r="C284" s="255">
        <v>28</v>
      </c>
      <c r="D284" s="255">
        <v>71.400000000000006</v>
      </c>
      <c r="E284" s="255">
        <v>24.4</v>
      </c>
      <c r="F284" s="255">
        <v>58.9</v>
      </c>
      <c r="G284" s="255">
        <v>41.3</v>
      </c>
      <c r="H284" s="255">
        <v>7.4</v>
      </c>
      <c r="I284" s="255">
        <v>23.2</v>
      </c>
      <c r="J284" s="255">
        <v>31.9</v>
      </c>
      <c r="K284" s="255">
        <v>15.3</v>
      </c>
      <c r="L284" s="255">
        <v>20.6</v>
      </c>
      <c r="M284" s="255">
        <v>74</v>
      </c>
      <c r="N284" s="255">
        <v>13.8</v>
      </c>
      <c r="O284" s="255">
        <v>21.9</v>
      </c>
      <c r="P284" s="255">
        <v>35.700000000000003</v>
      </c>
      <c r="Q284" s="255">
        <v>13</v>
      </c>
      <c r="R284" s="255">
        <v>9.1</v>
      </c>
      <c r="S284" s="255">
        <v>3.8</v>
      </c>
      <c r="T284" s="255">
        <v>11.5</v>
      </c>
      <c r="U284" s="255">
        <v>20</v>
      </c>
    </row>
    <row r="285" spans="1:21" ht="15.75" customHeight="1" thickBot="1" x14ac:dyDescent="0.3">
      <c r="A285" s="257">
        <v>284</v>
      </c>
      <c r="B285" s="259" t="s">
        <v>368</v>
      </c>
      <c r="C285" s="255">
        <v>31</v>
      </c>
      <c r="D285" s="255">
        <v>71.400000000000006</v>
      </c>
      <c r="E285" s="255">
        <v>22.6</v>
      </c>
      <c r="F285" s="255">
        <v>52.8</v>
      </c>
      <c r="G285" s="255">
        <v>42.9</v>
      </c>
      <c r="H285" s="255">
        <v>8.1999999999999993</v>
      </c>
      <c r="I285" s="255">
        <v>23.4</v>
      </c>
      <c r="J285" s="255">
        <v>35</v>
      </c>
      <c r="K285" s="255">
        <v>17.899999999999999</v>
      </c>
      <c r="L285" s="255">
        <v>23.3</v>
      </c>
      <c r="M285" s="255">
        <v>76.900000000000006</v>
      </c>
      <c r="N285" s="255">
        <v>8.5</v>
      </c>
      <c r="O285" s="255">
        <v>23.9</v>
      </c>
      <c r="P285" s="255">
        <v>32.4</v>
      </c>
      <c r="Q285" s="255">
        <v>13.8</v>
      </c>
      <c r="R285" s="255">
        <v>5.7</v>
      </c>
      <c r="S285" s="255">
        <v>3.6</v>
      </c>
      <c r="T285" s="255">
        <v>11.8</v>
      </c>
      <c r="U285" s="255">
        <v>17.899999999999999</v>
      </c>
    </row>
    <row r="286" spans="1:21" ht="15.75" customHeight="1" thickBot="1" x14ac:dyDescent="0.3">
      <c r="A286" s="257">
        <v>285</v>
      </c>
      <c r="B286" s="259" t="s">
        <v>401</v>
      </c>
      <c r="C286" s="255">
        <v>30</v>
      </c>
      <c r="D286" s="255">
        <v>71.2</v>
      </c>
      <c r="E286" s="255">
        <v>24.8</v>
      </c>
      <c r="F286" s="255">
        <v>57.4</v>
      </c>
      <c r="G286" s="255">
        <v>43.1</v>
      </c>
      <c r="H286" s="255">
        <v>7.9</v>
      </c>
      <c r="I286" s="255">
        <v>22</v>
      </c>
      <c r="J286" s="255">
        <v>36</v>
      </c>
      <c r="K286" s="255">
        <v>13.8</v>
      </c>
      <c r="L286" s="255">
        <v>18.7</v>
      </c>
      <c r="M286" s="255">
        <v>73.599999999999994</v>
      </c>
      <c r="N286" s="255">
        <v>10.3</v>
      </c>
      <c r="O286" s="255">
        <v>19.8</v>
      </c>
      <c r="P286" s="255">
        <v>30.1</v>
      </c>
      <c r="Q286" s="255">
        <v>10.7</v>
      </c>
      <c r="R286" s="255">
        <v>5.7</v>
      </c>
      <c r="S286" s="255">
        <v>2</v>
      </c>
      <c r="T286" s="255">
        <v>10.3</v>
      </c>
      <c r="U286" s="255">
        <v>17.8</v>
      </c>
    </row>
    <row r="287" spans="1:21" ht="15.75" customHeight="1" thickBot="1" x14ac:dyDescent="0.3">
      <c r="A287" s="257">
        <v>286</v>
      </c>
      <c r="B287" s="259" t="s">
        <v>422</v>
      </c>
      <c r="C287" s="255">
        <v>31</v>
      </c>
      <c r="D287" s="255">
        <v>71.2</v>
      </c>
      <c r="E287" s="255">
        <v>24.9</v>
      </c>
      <c r="F287" s="255">
        <v>59</v>
      </c>
      <c r="G287" s="255">
        <v>42.2</v>
      </c>
      <c r="H287" s="255">
        <v>9.5</v>
      </c>
      <c r="I287" s="255">
        <v>27.3</v>
      </c>
      <c r="J287" s="255">
        <v>34.799999999999997</v>
      </c>
      <c r="K287" s="255">
        <v>11.8</v>
      </c>
      <c r="L287" s="255">
        <v>16.5</v>
      </c>
      <c r="M287" s="255">
        <v>71.599999999999994</v>
      </c>
      <c r="N287" s="255">
        <v>10.3</v>
      </c>
      <c r="O287" s="255">
        <v>24.7</v>
      </c>
      <c r="P287" s="255">
        <v>35.1</v>
      </c>
      <c r="Q287" s="255">
        <v>13.3</v>
      </c>
      <c r="R287" s="255">
        <v>6.7</v>
      </c>
      <c r="S287" s="255">
        <v>3.8</v>
      </c>
      <c r="T287" s="255">
        <v>11.3</v>
      </c>
      <c r="U287" s="255">
        <v>15.6</v>
      </c>
    </row>
    <row r="288" spans="1:21" ht="15.75" customHeight="1" thickBot="1" x14ac:dyDescent="0.3">
      <c r="A288" s="257">
        <v>287</v>
      </c>
      <c r="B288" s="259" t="s">
        <v>246</v>
      </c>
      <c r="C288" s="255">
        <v>30</v>
      </c>
      <c r="D288" s="255">
        <v>71.099999999999994</v>
      </c>
      <c r="E288" s="255">
        <v>24.7</v>
      </c>
      <c r="F288" s="255">
        <v>58.9</v>
      </c>
      <c r="G288" s="255">
        <v>41.9</v>
      </c>
      <c r="H288" s="255">
        <v>5.3</v>
      </c>
      <c r="I288" s="255">
        <v>18.5</v>
      </c>
      <c r="J288" s="255">
        <v>28.7</v>
      </c>
      <c r="K288" s="255">
        <v>16.399999999999999</v>
      </c>
      <c r="L288" s="255">
        <v>23.4</v>
      </c>
      <c r="M288" s="255">
        <v>70.2</v>
      </c>
      <c r="N288" s="255">
        <v>12.3</v>
      </c>
      <c r="O288" s="255">
        <v>24</v>
      </c>
      <c r="P288" s="255">
        <v>36.299999999999997</v>
      </c>
      <c r="Q288" s="255">
        <v>11.7</v>
      </c>
      <c r="R288" s="255">
        <v>6.4</v>
      </c>
      <c r="S288" s="255">
        <v>4</v>
      </c>
      <c r="T288" s="255">
        <v>12.2</v>
      </c>
      <c r="U288" s="255">
        <v>16.2</v>
      </c>
    </row>
    <row r="289" spans="1:21" ht="15.75" customHeight="1" thickBot="1" x14ac:dyDescent="0.3">
      <c r="A289" s="257">
        <v>288</v>
      </c>
      <c r="B289" s="259" t="s">
        <v>390</v>
      </c>
      <c r="C289" s="255">
        <v>32</v>
      </c>
      <c r="D289" s="255">
        <v>71</v>
      </c>
      <c r="E289" s="255">
        <v>25.8</v>
      </c>
      <c r="F289" s="255">
        <v>58</v>
      </c>
      <c r="G289" s="255">
        <v>44.5</v>
      </c>
      <c r="H289" s="255">
        <v>7.3</v>
      </c>
      <c r="I289" s="255">
        <v>21.1</v>
      </c>
      <c r="J289" s="255">
        <v>34.700000000000003</v>
      </c>
      <c r="K289" s="255">
        <v>12</v>
      </c>
      <c r="L289" s="255">
        <v>17.8</v>
      </c>
      <c r="M289" s="255">
        <v>67.5</v>
      </c>
      <c r="N289" s="255">
        <v>10.9</v>
      </c>
      <c r="O289" s="255">
        <v>25.7</v>
      </c>
      <c r="P289" s="255">
        <v>36.700000000000003</v>
      </c>
      <c r="Q289" s="255">
        <v>13.2</v>
      </c>
      <c r="R289" s="255">
        <v>7.6</v>
      </c>
      <c r="S289" s="255">
        <v>3.9</v>
      </c>
      <c r="T289" s="255">
        <v>11.7</v>
      </c>
      <c r="U289" s="255">
        <v>16.100000000000001</v>
      </c>
    </row>
    <row r="290" spans="1:21" ht="15.75" customHeight="1" thickBot="1" x14ac:dyDescent="0.3">
      <c r="A290" s="257">
        <v>289</v>
      </c>
      <c r="B290" s="259" t="s">
        <v>383</v>
      </c>
      <c r="C290" s="255">
        <v>30</v>
      </c>
      <c r="D290" s="255">
        <v>70.900000000000006</v>
      </c>
      <c r="E290" s="255">
        <v>23.9</v>
      </c>
      <c r="F290" s="255">
        <v>54.7</v>
      </c>
      <c r="G290" s="255">
        <v>43.8</v>
      </c>
      <c r="H290" s="255">
        <v>7.1</v>
      </c>
      <c r="I290" s="255">
        <v>23.4</v>
      </c>
      <c r="J290" s="255">
        <v>30.5</v>
      </c>
      <c r="K290" s="255">
        <v>15.9</v>
      </c>
      <c r="L290" s="255">
        <v>21.8</v>
      </c>
      <c r="M290" s="255">
        <v>72.7</v>
      </c>
      <c r="N290" s="255">
        <v>10.7</v>
      </c>
      <c r="O290" s="255">
        <v>22.3</v>
      </c>
      <c r="P290" s="255">
        <v>33</v>
      </c>
      <c r="Q290" s="255">
        <v>11.4</v>
      </c>
      <c r="R290" s="255">
        <v>8.6</v>
      </c>
      <c r="S290" s="255">
        <v>3.8</v>
      </c>
      <c r="T290" s="255">
        <v>12.6</v>
      </c>
      <c r="U290" s="255">
        <v>18.100000000000001</v>
      </c>
    </row>
    <row r="291" spans="1:21" ht="15.75" customHeight="1" thickBot="1" x14ac:dyDescent="0.3">
      <c r="A291" s="257">
        <v>290</v>
      </c>
      <c r="B291" s="259" t="s">
        <v>404</v>
      </c>
      <c r="C291" s="255">
        <v>31</v>
      </c>
      <c r="D291" s="255">
        <v>70.8</v>
      </c>
      <c r="E291" s="255">
        <v>25.6</v>
      </c>
      <c r="F291" s="255">
        <v>55.5</v>
      </c>
      <c r="G291" s="255">
        <v>46.2</v>
      </c>
      <c r="H291" s="255">
        <v>5.3</v>
      </c>
      <c r="I291" s="255">
        <v>17.5</v>
      </c>
      <c r="J291" s="255">
        <v>30</v>
      </c>
      <c r="K291" s="255">
        <v>14.3</v>
      </c>
      <c r="L291" s="255">
        <v>18.7</v>
      </c>
      <c r="M291" s="255">
        <v>76.2</v>
      </c>
      <c r="N291" s="255">
        <v>10</v>
      </c>
      <c r="O291" s="255">
        <v>23.7</v>
      </c>
      <c r="P291" s="255">
        <v>33.6</v>
      </c>
      <c r="Q291" s="255">
        <v>13.2</v>
      </c>
      <c r="R291" s="255">
        <v>6</v>
      </c>
      <c r="S291" s="255">
        <v>2.9</v>
      </c>
      <c r="T291" s="255">
        <v>10.3</v>
      </c>
      <c r="U291" s="255">
        <v>14.1</v>
      </c>
    </row>
    <row r="292" spans="1:21" ht="15.75" customHeight="1" thickBot="1" x14ac:dyDescent="0.3">
      <c r="A292" s="257">
        <v>291</v>
      </c>
      <c r="B292" s="259" t="s">
        <v>388</v>
      </c>
      <c r="C292" s="255">
        <v>30</v>
      </c>
      <c r="D292" s="255">
        <v>70.8</v>
      </c>
      <c r="E292" s="255">
        <v>24.2</v>
      </c>
      <c r="F292" s="255">
        <v>58</v>
      </c>
      <c r="G292" s="255">
        <v>41.7</v>
      </c>
      <c r="H292" s="255">
        <v>6.5</v>
      </c>
      <c r="I292" s="255">
        <v>20</v>
      </c>
      <c r="J292" s="255">
        <v>32.4</v>
      </c>
      <c r="K292" s="255">
        <v>15.9</v>
      </c>
      <c r="L292" s="255">
        <v>21.6</v>
      </c>
      <c r="M292" s="255">
        <v>73.7</v>
      </c>
      <c r="N292" s="255">
        <v>11</v>
      </c>
      <c r="O292" s="255">
        <v>21.9</v>
      </c>
      <c r="P292" s="255">
        <v>32.9</v>
      </c>
      <c r="Q292" s="255">
        <v>11.8</v>
      </c>
      <c r="R292" s="255">
        <v>6.2</v>
      </c>
      <c r="S292" s="255">
        <v>3.3</v>
      </c>
      <c r="T292" s="255">
        <v>10.199999999999999</v>
      </c>
      <c r="U292" s="255">
        <v>16.7</v>
      </c>
    </row>
    <row r="293" spans="1:21" ht="15.75" customHeight="1" thickBot="1" x14ac:dyDescent="0.3">
      <c r="A293" s="257">
        <v>292</v>
      </c>
      <c r="B293" s="259" t="s">
        <v>250</v>
      </c>
      <c r="C293" s="255">
        <v>30</v>
      </c>
      <c r="D293" s="255">
        <v>70.7</v>
      </c>
      <c r="E293" s="255">
        <v>26.1</v>
      </c>
      <c r="F293" s="255">
        <v>58.5</v>
      </c>
      <c r="G293" s="255">
        <v>44.6</v>
      </c>
      <c r="H293" s="255">
        <v>6.1</v>
      </c>
      <c r="I293" s="255">
        <v>18.7</v>
      </c>
      <c r="J293" s="255">
        <v>32.6</v>
      </c>
      <c r="K293" s="255">
        <v>12.5</v>
      </c>
      <c r="L293" s="255">
        <v>17.2</v>
      </c>
      <c r="M293" s="255">
        <v>72.8</v>
      </c>
      <c r="N293" s="255">
        <v>10</v>
      </c>
      <c r="O293" s="255">
        <v>25.4</v>
      </c>
      <c r="P293" s="255">
        <v>35.5</v>
      </c>
      <c r="Q293" s="255">
        <v>12.8</v>
      </c>
      <c r="R293" s="255">
        <v>6</v>
      </c>
      <c r="S293" s="255">
        <v>4.0999999999999996</v>
      </c>
      <c r="T293" s="255">
        <v>12</v>
      </c>
      <c r="U293" s="255">
        <v>18.100000000000001</v>
      </c>
    </row>
    <row r="294" spans="1:21" ht="15.75" customHeight="1" thickBot="1" x14ac:dyDescent="0.3">
      <c r="A294" s="257">
        <v>292</v>
      </c>
      <c r="B294" s="259" t="s">
        <v>367</v>
      </c>
      <c r="C294" s="255">
        <v>30</v>
      </c>
      <c r="D294" s="255">
        <v>70.7</v>
      </c>
      <c r="E294" s="255">
        <v>24.2</v>
      </c>
      <c r="F294" s="255">
        <v>57.1</v>
      </c>
      <c r="G294" s="255">
        <v>42.4</v>
      </c>
      <c r="H294" s="255">
        <v>7.8</v>
      </c>
      <c r="I294" s="255">
        <v>24.5</v>
      </c>
      <c r="J294" s="255">
        <v>32</v>
      </c>
      <c r="K294" s="255">
        <v>14.4</v>
      </c>
      <c r="L294" s="255">
        <v>19.899999999999999</v>
      </c>
      <c r="M294" s="255">
        <v>72.7</v>
      </c>
      <c r="N294" s="255">
        <v>11.4</v>
      </c>
      <c r="O294" s="255">
        <v>23.4</v>
      </c>
      <c r="P294" s="255">
        <v>34.799999999999997</v>
      </c>
      <c r="Q294" s="255">
        <v>14.1</v>
      </c>
      <c r="R294" s="255">
        <v>6</v>
      </c>
      <c r="S294" s="255">
        <v>4.0999999999999996</v>
      </c>
      <c r="T294" s="255">
        <v>12</v>
      </c>
      <c r="U294" s="255">
        <v>15.6</v>
      </c>
    </row>
    <row r="295" spans="1:21" ht="15.75" customHeight="1" thickBot="1" x14ac:dyDescent="0.3">
      <c r="A295" s="257">
        <v>294</v>
      </c>
      <c r="B295" s="259" t="s">
        <v>204</v>
      </c>
      <c r="C295" s="255">
        <v>26</v>
      </c>
      <c r="D295" s="255">
        <v>70.7</v>
      </c>
      <c r="E295" s="255">
        <v>26.2</v>
      </c>
      <c r="F295" s="255">
        <v>59.2</v>
      </c>
      <c r="G295" s="255">
        <v>44.3</v>
      </c>
      <c r="H295" s="255">
        <v>7</v>
      </c>
      <c r="I295" s="255">
        <v>21.9</v>
      </c>
      <c r="J295" s="255">
        <v>31.9</v>
      </c>
      <c r="K295" s="255">
        <v>11.3</v>
      </c>
      <c r="L295" s="255">
        <v>16.3</v>
      </c>
      <c r="M295" s="255">
        <v>68.900000000000006</v>
      </c>
      <c r="N295" s="255">
        <v>10.8</v>
      </c>
      <c r="O295" s="255">
        <v>24.2</v>
      </c>
      <c r="P295" s="255">
        <v>35</v>
      </c>
      <c r="Q295" s="255">
        <v>15.5</v>
      </c>
      <c r="R295" s="255">
        <v>7.9</v>
      </c>
      <c r="S295" s="255">
        <v>3.8</v>
      </c>
      <c r="T295" s="255">
        <v>12.5</v>
      </c>
      <c r="U295" s="255">
        <v>18.100000000000001</v>
      </c>
    </row>
    <row r="296" spans="1:21" ht="15.75" customHeight="1" thickBot="1" x14ac:dyDescent="0.3">
      <c r="A296" s="257">
        <v>295</v>
      </c>
      <c r="B296" s="259" t="s">
        <v>238</v>
      </c>
      <c r="C296" s="255">
        <v>30</v>
      </c>
      <c r="D296" s="255">
        <v>70.7</v>
      </c>
      <c r="E296" s="255">
        <v>24.7</v>
      </c>
      <c r="F296" s="255">
        <v>56.2</v>
      </c>
      <c r="G296" s="255">
        <v>44</v>
      </c>
      <c r="H296" s="255">
        <v>7.2</v>
      </c>
      <c r="I296" s="255">
        <v>22</v>
      </c>
      <c r="J296" s="255">
        <v>32.6</v>
      </c>
      <c r="K296" s="255">
        <v>14.1</v>
      </c>
      <c r="L296" s="255">
        <v>20.3</v>
      </c>
      <c r="M296" s="255">
        <v>69.400000000000006</v>
      </c>
      <c r="N296" s="255">
        <v>10.1</v>
      </c>
      <c r="O296" s="255">
        <v>23.2</v>
      </c>
      <c r="P296" s="255">
        <v>33.299999999999997</v>
      </c>
      <c r="Q296" s="255">
        <v>15</v>
      </c>
      <c r="R296" s="255">
        <v>6.9</v>
      </c>
      <c r="S296" s="255">
        <v>3.3</v>
      </c>
      <c r="T296" s="255">
        <v>12.2</v>
      </c>
      <c r="U296" s="255">
        <v>18</v>
      </c>
    </row>
    <row r="297" spans="1:21" ht="15.75" customHeight="1" thickBot="1" x14ac:dyDescent="0.3">
      <c r="A297" s="257">
        <v>296</v>
      </c>
      <c r="B297" s="259" t="s">
        <v>286</v>
      </c>
      <c r="C297" s="255">
        <v>31</v>
      </c>
      <c r="D297" s="255">
        <v>70.599999999999994</v>
      </c>
      <c r="E297" s="255">
        <v>23</v>
      </c>
      <c r="F297" s="255">
        <v>58.7</v>
      </c>
      <c r="G297" s="255">
        <v>39.1</v>
      </c>
      <c r="H297" s="255">
        <v>8</v>
      </c>
      <c r="I297" s="255">
        <v>25.4</v>
      </c>
      <c r="J297" s="255">
        <v>31.5</v>
      </c>
      <c r="K297" s="255">
        <v>16.7</v>
      </c>
      <c r="L297" s="255">
        <v>21.8</v>
      </c>
      <c r="M297" s="255">
        <v>76.7</v>
      </c>
      <c r="N297" s="255">
        <v>11.1</v>
      </c>
      <c r="O297" s="255">
        <v>22.6</v>
      </c>
      <c r="P297" s="255">
        <v>33.6</v>
      </c>
      <c r="Q297" s="255">
        <v>10.5</v>
      </c>
      <c r="R297" s="255">
        <v>6.1</v>
      </c>
      <c r="S297" s="255">
        <v>2.9</v>
      </c>
      <c r="T297" s="255">
        <v>13.7</v>
      </c>
      <c r="U297" s="255">
        <v>19.600000000000001</v>
      </c>
    </row>
    <row r="298" spans="1:21" ht="15.75" customHeight="1" thickBot="1" x14ac:dyDescent="0.3">
      <c r="A298" s="257">
        <v>297</v>
      </c>
      <c r="B298" s="259" t="s">
        <v>403</v>
      </c>
      <c r="C298" s="255">
        <v>30</v>
      </c>
      <c r="D298" s="255">
        <v>70.5</v>
      </c>
      <c r="E298" s="255">
        <v>25.4</v>
      </c>
      <c r="F298" s="255">
        <v>58.1</v>
      </c>
      <c r="G298" s="255">
        <v>43.8</v>
      </c>
      <c r="H298" s="255">
        <v>4.9000000000000004</v>
      </c>
      <c r="I298" s="255">
        <v>15.8</v>
      </c>
      <c r="J298" s="255">
        <v>31</v>
      </c>
      <c r="K298" s="255">
        <v>14.8</v>
      </c>
      <c r="L298" s="255">
        <v>20.399999999999999</v>
      </c>
      <c r="M298" s="255">
        <v>72.3</v>
      </c>
      <c r="N298" s="255">
        <v>12.5</v>
      </c>
      <c r="O298" s="255">
        <v>23.3</v>
      </c>
      <c r="P298" s="255">
        <v>35.700000000000003</v>
      </c>
      <c r="Q298" s="255">
        <v>13.2</v>
      </c>
      <c r="R298" s="255">
        <v>9.5</v>
      </c>
      <c r="S298" s="255">
        <v>5.7</v>
      </c>
      <c r="T298" s="255">
        <v>11.3</v>
      </c>
      <c r="U298" s="255">
        <v>18.7</v>
      </c>
    </row>
    <row r="299" spans="1:21" ht="15.75" customHeight="1" thickBot="1" x14ac:dyDescent="0.3">
      <c r="A299" s="257">
        <v>298</v>
      </c>
      <c r="B299" s="259" t="s">
        <v>302</v>
      </c>
      <c r="C299" s="255">
        <v>32</v>
      </c>
      <c r="D299" s="255">
        <v>70.5</v>
      </c>
      <c r="E299" s="255">
        <v>26.4</v>
      </c>
      <c r="F299" s="255">
        <v>59.2</v>
      </c>
      <c r="G299" s="255">
        <v>44.6</v>
      </c>
      <c r="H299" s="255">
        <v>6.5</v>
      </c>
      <c r="I299" s="255">
        <v>18.3</v>
      </c>
      <c r="J299" s="255">
        <v>35.6</v>
      </c>
      <c r="K299" s="255">
        <v>11.3</v>
      </c>
      <c r="L299" s="255">
        <v>16.7</v>
      </c>
      <c r="M299" s="255">
        <v>67.5</v>
      </c>
      <c r="N299" s="255">
        <v>11.3</v>
      </c>
      <c r="O299" s="255">
        <v>22.5</v>
      </c>
      <c r="P299" s="255">
        <v>33.799999999999997</v>
      </c>
      <c r="Q299" s="255">
        <v>14</v>
      </c>
      <c r="R299" s="255">
        <v>7.9</v>
      </c>
      <c r="S299" s="255">
        <v>4.5</v>
      </c>
      <c r="T299" s="255">
        <v>12.8</v>
      </c>
      <c r="U299" s="255">
        <v>15.8</v>
      </c>
    </row>
    <row r="300" spans="1:21" ht="15.75" customHeight="1" thickBot="1" x14ac:dyDescent="0.3">
      <c r="A300" s="257">
        <v>299</v>
      </c>
      <c r="B300" s="259" t="s">
        <v>256</v>
      </c>
      <c r="C300" s="255">
        <v>29</v>
      </c>
      <c r="D300" s="255">
        <v>70.400000000000006</v>
      </c>
      <c r="E300" s="255">
        <v>24.5</v>
      </c>
      <c r="F300" s="255">
        <v>56.2</v>
      </c>
      <c r="G300" s="255">
        <v>43.6</v>
      </c>
      <c r="H300" s="255">
        <v>6.9</v>
      </c>
      <c r="I300" s="255">
        <v>21.2</v>
      </c>
      <c r="J300" s="255">
        <v>32.6</v>
      </c>
      <c r="K300" s="255">
        <v>14.5</v>
      </c>
      <c r="L300" s="255">
        <v>21.1</v>
      </c>
      <c r="M300" s="255">
        <v>68.599999999999994</v>
      </c>
      <c r="N300" s="255">
        <v>10.6</v>
      </c>
      <c r="O300" s="255">
        <v>23.3</v>
      </c>
      <c r="P300" s="255">
        <v>34</v>
      </c>
      <c r="Q300" s="255">
        <v>12.6</v>
      </c>
      <c r="R300" s="255">
        <v>7.8</v>
      </c>
      <c r="S300" s="255">
        <v>3</v>
      </c>
      <c r="T300" s="255">
        <v>15</v>
      </c>
      <c r="U300" s="255">
        <v>18.3</v>
      </c>
    </row>
    <row r="301" spans="1:21" ht="15.75" customHeight="1" thickBot="1" x14ac:dyDescent="0.3">
      <c r="A301" s="257">
        <v>300</v>
      </c>
      <c r="B301" s="259" t="s">
        <v>349</v>
      </c>
      <c r="C301" s="255">
        <v>31</v>
      </c>
      <c r="D301" s="255">
        <v>70.400000000000006</v>
      </c>
      <c r="E301" s="255">
        <v>24.6</v>
      </c>
      <c r="F301" s="255">
        <v>57.2</v>
      </c>
      <c r="G301" s="255">
        <v>43</v>
      </c>
      <c r="H301" s="255">
        <v>5.6</v>
      </c>
      <c r="I301" s="255">
        <v>18.600000000000001</v>
      </c>
      <c r="J301" s="255">
        <v>30.3</v>
      </c>
      <c r="K301" s="255">
        <v>15.5</v>
      </c>
      <c r="L301" s="255">
        <v>22.4</v>
      </c>
      <c r="M301" s="255">
        <v>69.599999999999994</v>
      </c>
      <c r="N301" s="255">
        <v>12.1</v>
      </c>
      <c r="O301" s="255">
        <v>22.6</v>
      </c>
      <c r="P301" s="255">
        <v>34.700000000000003</v>
      </c>
      <c r="Q301" s="255">
        <v>12.2</v>
      </c>
      <c r="R301" s="255">
        <v>9.4</v>
      </c>
      <c r="S301" s="255">
        <v>4.3</v>
      </c>
      <c r="T301" s="255">
        <v>11.5</v>
      </c>
      <c r="U301" s="255">
        <v>19.2</v>
      </c>
    </row>
    <row r="302" spans="1:21" ht="15.75" customHeight="1" thickBot="1" x14ac:dyDescent="0.3">
      <c r="A302" s="257">
        <v>301</v>
      </c>
      <c r="B302" s="259" t="s">
        <v>448</v>
      </c>
      <c r="C302" s="255">
        <v>29</v>
      </c>
      <c r="D302" s="255">
        <v>70.400000000000006</v>
      </c>
      <c r="E302" s="255">
        <v>24.5</v>
      </c>
      <c r="F302" s="255">
        <v>55.5</v>
      </c>
      <c r="G302" s="255">
        <v>44.2</v>
      </c>
      <c r="H302" s="255">
        <v>5.0999999999999996</v>
      </c>
      <c r="I302" s="255">
        <v>17.5</v>
      </c>
      <c r="J302" s="255">
        <v>29</v>
      </c>
      <c r="K302" s="255">
        <v>16.3</v>
      </c>
      <c r="L302" s="255">
        <v>22.9</v>
      </c>
      <c r="M302" s="255">
        <v>71.3</v>
      </c>
      <c r="N302" s="255">
        <v>12.1</v>
      </c>
      <c r="O302" s="255">
        <v>24.8</v>
      </c>
      <c r="P302" s="255">
        <v>36.9</v>
      </c>
      <c r="Q302" s="255">
        <v>12.2</v>
      </c>
      <c r="R302" s="255">
        <v>7.5</v>
      </c>
      <c r="S302" s="255">
        <v>3.8</v>
      </c>
      <c r="T302" s="255">
        <v>14</v>
      </c>
      <c r="U302" s="255">
        <v>19.100000000000001</v>
      </c>
    </row>
    <row r="303" spans="1:21" ht="15.75" customHeight="1" thickBot="1" x14ac:dyDescent="0.3">
      <c r="A303" s="257">
        <v>302</v>
      </c>
      <c r="B303" s="259" t="s">
        <v>269</v>
      </c>
      <c r="C303" s="255">
        <v>32</v>
      </c>
      <c r="D303" s="255">
        <v>70.400000000000006</v>
      </c>
      <c r="E303" s="255">
        <v>22.7</v>
      </c>
      <c r="F303" s="255">
        <v>59.1</v>
      </c>
      <c r="G303" s="255">
        <v>38.4</v>
      </c>
      <c r="H303" s="255">
        <v>8.1</v>
      </c>
      <c r="I303" s="255">
        <v>25.5</v>
      </c>
      <c r="J303" s="255">
        <v>31.8</v>
      </c>
      <c r="K303" s="255">
        <v>17</v>
      </c>
      <c r="L303" s="255">
        <v>21.7</v>
      </c>
      <c r="M303" s="255">
        <v>78.400000000000006</v>
      </c>
      <c r="N303" s="255">
        <v>10.7</v>
      </c>
      <c r="O303" s="255">
        <v>24.4</v>
      </c>
      <c r="P303" s="255">
        <v>35.1</v>
      </c>
      <c r="Q303" s="255">
        <v>11.6</v>
      </c>
      <c r="R303" s="255">
        <v>6.9</v>
      </c>
      <c r="S303" s="255">
        <v>3.2</v>
      </c>
      <c r="T303" s="255">
        <v>10.9</v>
      </c>
      <c r="U303" s="255">
        <v>18.399999999999999</v>
      </c>
    </row>
    <row r="304" spans="1:21" ht="15.75" customHeight="1" thickBot="1" x14ac:dyDescent="0.3">
      <c r="A304" s="257">
        <v>303</v>
      </c>
      <c r="B304" s="259" t="s">
        <v>261</v>
      </c>
      <c r="C304" s="255">
        <v>30</v>
      </c>
      <c r="D304" s="255">
        <v>70.400000000000006</v>
      </c>
      <c r="E304" s="255">
        <v>26.6</v>
      </c>
      <c r="F304" s="255">
        <v>60.4</v>
      </c>
      <c r="G304" s="255">
        <v>44</v>
      </c>
      <c r="H304" s="255">
        <v>6.8</v>
      </c>
      <c r="I304" s="255">
        <v>23</v>
      </c>
      <c r="J304" s="255">
        <v>29.4</v>
      </c>
      <c r="K304" s="255">
        <v>10.5</v>
      </c>
      <c r="L304" s="255">
        <v>15.1</v>
      </c>
      <c r="M304" s="255">
        <v>69.400000000000006</v>
      </c>
      <c r="N304" s="255">
        <v>12.8</v>
      </c>
      <c r="O304" s="255">
        <v>26</v>
      </c>
      <c r="P304" s="255">
        <v>38.799999999999997</v>
      </c>
      <c r="Q304" s="255">
        <v>14.5</v>
      </c>
      <c r="R304" s="255">
        <v>7.2</v>
      </c>
      <c r="S304" s="255">
        <v>2.2999999999999998</v>
      </c>
      <c r="T304" s="255">
        <v>11.3</v>
      </c>
      <c r="U304" s="255">
        <v>15.7</v>
      </c>
    </row>
    <row r="305" spans="1:21" ht="15.75" customHeight="1" thickBot="1" x14ac:dyDescent="0.3">
      <c r="A305" s="257">
        <v>304</v>
      </c>
      <c r="B305" s="259" t="s">
        <v>271</v>
      </c>
      <c r="C305" s="255">
        <v>31</v>
      </c>
      <c r="D305" s="255">
        <v>70.3</v>
      </c>
      <c r="E305" s="255">
        <v>23.7</v>
      </c>
      <c r="F305" s="255">
        <v>54.9</v>
      </c>
      <c r="G305" s="255">
        <v>43.1</v>
      </c>
      <c r="H305" s="255">
        <v>6.5</v>
      </c>
      <c r="I305" s="255">
        <v>20.9</v>
      </c>
      <c r="J305" s="255">
        <v>30.8</v>
      </c>
      <c r="K305" s="255">
        <v>16.5</v>
      </c>
      <c r="L305" s="255">
        <v>22.5</v>
      </c>
      <c r="M305" s="255">
        <v>73.400000000000006</v>
      </c>
      <c r="N305" s="255">
        <v>10.3</v>
      </c>
      <c r="O305" s="255">
        <v>23.1</v>
      </c>
      <c r="P305" s="255">
        <v>33.4</v>
      </c>
      <c r="Q305" s="255">
        <v>12</v>
      </c>
      <c r="R305" s="255">
        <v>8.1</v>
      </c>
      <c r="S305" s="255">
        <v>2.8</v>
      </c>
      <c r="T305" s="255">
        <v>14.7</v>
      </c>
      <c r="U305" s="255">
        <v>18.8</v>
      </c>
    </row>
    <row r="306" spans="1:21" ht="15.75" customHeight="1" thickBot="1" x14ac:dyDescent="0.3">
      <c r="A306" s="257">
        <v>305</v>
      </c>
      <c r="B306" s="259" t="s">
        <v>449</v>
      </c>
      <c r="C306" s="255">
        <v>32</v>
      </c>
      <c r="D306" s="255">
        <v>70.3</v>
      </c>
      <c r="E306" s="255">
        <v>24</v>
      </c>
      <c r="F306" s="255">
        <v>56.8</v>
      </c>
      <c r="G306" s="255">
        <v>42.2</v>
      </c>
      <c r="H306" s="255">
        <v>8</v>
      </c>
      <c r="I306" s="255">
        <v>26.3</v>
      </c>
      <c r="J306" s="255">
        <v>30.5</v>
      </c>
      <c r="K306" s="255">
        <v>14.3</v>
      </c>
      <c r="L306" s="255">
        <v>21.1</v>
      </c>
      <c r="M306" s="255">
        <v>67.7</v>
      </c>
      <c r="N306" s="255">
        <v>13.9</v>
      </c>
      <c r="O306" s="255">
        <v>26.3</v>
      </c>
      <c r="P306" s="255">
        <v>40.299999999999997</v>
      </c>
      <c r="Q306" s="255">
        <v>13.6</v>
      </c>
      <c r="R306" s="255">
        <v>8.8000000000000007</v>
      </c>
      <c r="S306" s="255">
        <v>4.4000000000000004</v>
      </c>
      <c r="T306" s="255">
        <v>14.4</v>
      </c>
      <c r="U306" s="255">
        <v>17</v>
      </c>
    </row>
    <row r="307" spans="1:21" ht="15.75" customHeight="1" thickBot="1" x14ac:dyDescent="0.3">
      <c r="A307" s="257">
        <v>306</v>
      </c>
      <c r="B307" s="259" t="s">
        <v>324</v>
      </c>
      <c r="C307" s="255">
        <v>30</v>
      </c>
      <c r="D307" s="255">
        <v>70.2</v>
      </c>
      <c r="E307" s="255">
        <v>24.1</v>
      </c>
      <c r="F307" s="255">
        <v>52.8</v>
      </c>
      <c r="G307" s="255">
        <v>45.6</v>
      </c>
      <c r="H307" s="255">
        <v>8.6999999999999993</v>
      </c>
      <c r="I307" s="255">
        <v>25.1</v>
      </c>
      <c r="J307" s="255">
        <v>34.5</v>
      </c>
      <c r="K307" s="255">
        <v>13.4</v>
      </c>
      <c r="L307" s="255">
        <v>19.2</v>
      </c>
      <c r="M307" s="255">
        <v>69.7</v>
      </c>
      <c r="N307" s="255">
        <v>8.6999999999999993</v>
      </c>
      <c r="O307" s="255">
        <v>22.7</v>
      </c>
      <c r="P307" s="255">
        <v>31.4</v>
      </c>
      <c r="Q307" s="255">
        <v>17.2</v>
      </c>
      <c r="R307" s="255">
        <v>6.5</v>
      </c>
      <c r="S307" s="255">
        <v>2.7</v>
      </c>
      <c r="T307" s="255">
        <v>10.5</v>
      </c>
      <c r="U307" s="255">
        <v>14.7</v>
      </c>
    </row>
    <row r="308" spans="1:21" ht="15.75" customHeight="1" thickBot="1" x14ac:dyDescent="0.3">
      <c r="A308" s="257">
        <v>307</v>
      </c>
      <c r="B308" s="259" t="s">
        <v>182</v>
      </c>
      <c r="C308" s="255">
        <v>30</v>
      </c>
      <c r="D308" s="255">
        <v>70.2</v>
      </c>
      <c r="E308" s="255">
        <v>24.5</v>
      </c>
      <c r="F308" s="255">
        <v>56.1</v>
      </c>
      <c r="G308" s="255">
        <v>43.6</v>
      </c>
      <c r="H308" s="255">
        <v>5.9</v>
      </c>
      <c r="I308" s="255">
        <v>18.399999999999999</v>
      </c>
      <c r="J308" s="255">
        <v>32</v>
      </c>
      <c r="K308" s="255">
        <v>15.4</v>
      </c>
      <c r="L308" s="255">
        <v>21.9</v>
      </c>
      <c r="M308" s="255">
        <v>70.3</v>
      </c>
      <c r="N308" s="255">
        <v>11.6</v>
      </c>
      <c r="O308" s="255">
        <v>20.399999999999999</v>
      </c>
      <c r="P308" s="255">
        <v>32</v>
      </c>
      <c r="Q308" s="255">
        <v>13.3</v>
      </c>
      <c r="R308" s="255">
        <v>9.8000000000000007</v>
      </c>
      <c r="S308" s="255">
        <v>2.8</v>
      </c>
      <c r="T308" s="255">
        <v>14.5</v>
      </c>
      <c r="U308" s="255">
        <v>20.6</v>
      </c>
    </row>
    <row r="309" spans="1:21" ht="15.75" customHeight="1" thickBot="1" x14ac:dyDescent="0.3">
      <c r="A309" s="257">
        <v>308</v>
      </c>
      <c r="B309" s="259" t="s">
        <v>247</v>
      </c>
      <c r="C309" s="255">
        <v>32</v>
      </c>
      <c r="D309" s="255">
        <v>70.2</v>
      </c>
      <c r="E309" s="255">
        <v>24.8</v>
      </c>
      <c r="F309" s="255">
        <v>57.2</v>
      </c>
      <c r="G309" s="255">
        <v>43.3</v>
      </c>
      <c r="H309" s="255">
        <v>8.6</v>
      </c>
      <c r="I309" s="255">
        <v>26.5</v>
      </c>
      <c r="J309" s="255">
        <v>32.299999999999997</v>
      </c>
      <c r="K309" s="255">
        <v>12.1</v>
      </c>
      <c r="L309" s="255">
        <v>17.8</v>
      </c>
      <c r="M309" s="255">
        <v>67.7</v>
      </c>
      <c r="N309" s="255">
        <v>9.4</v>
      </c>
      <c r="O309" s="255">
        <v>23.7</v>
      </c>
      <c r="P309" s="255">
        <v>33.1</v>
      </c>
      <c r="Q309" s="255">
        <v>16.100000000000001</v>
      </c>
      <c r="R309" s="255">
        <v>7.3</v>
      </c>
      <c r="S309" s="255">
        <v>3.2</v>
      </c>
      <c r="T309" s="255">
        <v>12.9</v>
      </c>
      <c r="U309" s="255">
        <v>17</v>
      </c>
    </row>
    <row r="310" spans="1:21" ht="15.75" customHeight="1" thickBot="1" x14ac:dyDescent="0.3">
      <c r="A310" s="257">
        <v>309</v>
      </c>
      <c r="B310" s="259" t="s">
        <v>373</v>
      </c>
      <c r="C310" s="255">
        <v>30</v>
      </c>
      <c r="D310" s="255">
        <v>70.099999999999994</v>
      </c>
      <c r="E310" s="255">
        <v>25.1</v>
      </c>
      <c r="F310" s="255">
        <v>57.5</v>
      </c>
      <c r="G310" s="255">
        <v>43.6</v>
      </c>
      <c r="H310" s="255">
        <v>8.3000000000000007</v>
      </c>
      <c r="I310" s="255">
        <v>24.6</v>
      </c>
      <c r="J310" s="255">
        <v>33.700000000000003</v>
      </c>
      <c r="K310" s="255">
        <v>11.7</v>
      </c>
      <c r="L310" s="255">
        <v>17.399999999999999</v>
      </c>
      <c r="M310" s="255">
        <v>67.099999999999994</v>
      </c>
      <c r="N310" s="255">
        <v>11.8</v>
      </c>
      <c r="O310" s="255">
        <v>22.7</v>
      </c>
      <c r="P310" s="255">
        <v>34.5</v>
      </c>
      <c r="Q310" s="255">
        <v>13.5</v>
      </c>
      <c r="R310" s="255">
        <v>6.6</v>
      </c>
      <c r="S310" s="255">
        <v>3.1</v>
      </c>
      <c r="T310" s="255">
        <v>11.3</v>
      </c>
      <c r="U310" s="255">
        <v>16.399999999999999</v>
      </c>
    </row>
    <row r="311" spans="1:21" ht="15.75" customHeight="1" thickBot="1" x14ac:dyDescent="0.3">
      <c r="A311" s="257">
        <v>310</v>
      </c>
      <c r="B311" s="259" t="s">
        <v>275</v>
      </c>
      <c r="C311" s="255">
        <v>27</v>
      </c>
      <c r="D311" s="255">
        <v>70</v>
      </c>
      <c r="E311" s="255">
        <v>25.3</v>
      </c>
      <c r="F311" s="255">
        <v>54.7</v>
      </c>
      <c r="G311" s="255">
        <v>46.3</v>
      </c>
      <c r="H311" s="255">
        <v>7.5</v>
      </c>
      <c r="I311" s="255">
        <v>21.6</v>
      </c>
      <c r="J311" s="255">
        <v>34.799999999999997</v>
      </c>
      <c r="K311" s="255">
        <v>11.9</v>
      </c>
      <c r="L311" s="255">
        <v>14.9</v>
      </c>
      <c r="M311" s="255">
        <v>79.599999999999994</v>
      </c>
      <c r="N311" s="255">
        <v>8.3000000000000007</v>
      </c>
      <c r="O311" s="255">
        <v>23.4</v>
      </c>
      <c r="P311" s="255">
        <v>31.7</v>
      </c>
      <c r="Q311" s="255">
        <v>13.9</v>
      </c>
      <c r="R311" s="255">
        <v>7.4</v>
      </c>
      <c r="S311" s="255">
        <v>3.4</v>
      </c>
      <c r="T311" s="255">
        <v>10.9</v>
      </c>
      <c r="U311" s="255">
        <v>13.8</v>
      </c>
    </row>
    <row r="312" spans="1:21" ht="15.75" customHeight="1" thickBot="1" x14ac:dyDescent="0.3">
      <c r="A312" s="257">
        <v>311</v>
      </c>
      <c r="B312" s="259" t="s">
        <v>353</v>
      </c>
      <c r="C312" s="255">
        <v>29</v>
      </c>
      <c r="D312" s="255">
        <v>70</v>
      </c>
      <c r="E312" s="255">
        <v>23.7</v>
      </c>
      <c r="F312" s="255">
        <v>56.7</v>
      </c>
      <c r="G312" s="255">
        <v>41.7</v>
      </c>
      <c r="H312" s="255">
        <v>8.1</v>
      </c>
      <c r="I312" s="255">
        <v>25.5</v>
      </c>
      <c r="J312" s="255">
        <v>31.6</v>
      </c>
      <c r="K312" s="255">
        <v>14.7</v>
      </c>
      <c r="L312" s="255">
        <v>22</v>
      </c>
      <c r="M312" s="255">
        <v>66.7</v>
      </c>
      <c r="N312" s="255">
        <v>12</v>
      </c>
      <c r="O312" s="255">
        <v>23.1</v>
      </c>
      <c r="P312" s="255">
        <v>35.1</v>
      </c>
      <c r="Q312" s="255">
        <v>12.8</v>
      </c>
      <c r="R312" s="255">
        <v>5.9</v>
      </c>
      <c r="S312" s="255">
        <v>1.9</v>
      </c>
      <c r="T312" s="255">
        <v>15</v>
      </c>
      <c r="U312" s="255">
        <v>18.7</v>
      </c>
    </row>
    <row r="313" spans="1:21" ht="15.75" customHeight="1" thickBot="1" x14ac:dyDescent="0.3">
      <c r="A313" s="257">
        <v>312</v>
      </c>
      <c r="B313" s="259" t="s">
        <v>274</v>
      </c>
      <c r="C313" s="255">
        <v>31</v>
      </c>
      <c r="D313" s="255">
        <v>70</v>
      </c>
      <c r="E313" s="255">
        <v>24</v>
      </c>
      <c r="F313" s="255">
        <v>57.6</v>
      </c>
      <c r="G313" s="255">
        <v>41.6</v>
      </c>
      <c r="H313" s="255">
        <v>6.5</v>
      </c>
      <c r="I313" s="255">
        <v>21.7</v>
      </c>
      <c r="J313" s="255">
        <v>29.7</v>
      </c>
      <c r="K313" s="255">
        <v>15.6</v>
      </c>
      <c r="L313" s="255">
        <v>21.6</v>
      </c>
      <c r="M313" s="255">
        <v>72</v>
      </c>
      <c r="N313" s="255">
        <v>12.3</v>
      </c>
      <c r="O313" s="255">
        <v>23.6</v>
      </c>
      <c r="P313" s="255">
        <v>35.9</v>
      </c>
      <c r="Q313" s="255">
        <v>12.2</v>
      </c>
      <c r="R313" s="255">
        <v>6.6</v>
      </c>
      <c r="S313" s="255">
        <v>3.2</v>
      </c>
      <c r="T313" s="255">
        <v>11.2</v>
      </c>
      <c r="U313" s="255">
        <v>19.399999999999999</v>
      </c>
    </row>
    <row r="314" spans="1:21" ht="15.75" customHeight="1" thickBot="1" x14ac:dyDescent="0.3">
      <c r="A314" s="257">
        <v>313</v>
      </c>
      <c r="B314" s="259" t="s">
        <v>297</v>
      </c>
      <c r="C314" s="255">
        <v>31</v>
      </c>
      <c r="D314" s="255">
        <v>69.900000000000006</v>
      </c>
      <c r="E314" s="255">
        <v>25.7</v>
      </c>
      <c r="F314" s="255">
        <v>59.9</v>
      </c>
      <c r="G314" s="255">
        <v>42.9</v>
      </c>
      <c r="H314" s="255">
        <v>6.8</v>
      </c>
      <c r="I314" s="255">
        <v>20.7</v>
      </c>
      <c r="J314" s="255">
        <v>32.9</v>
      </c>
      <c r="K314" s="255">
        <v>11.7</v>
      </c>
      <c r="L314" s="255">
        <v>16.600000000000001</v>
      </c>
      <c r="M314" s="255">
        <v>70.2</v>
      </c>
      <c r="N314" s="255">
        <v>13.2</v>
      </c>
      <c r="O314" s="255">
        <v>24.1</v>
      </c>
      <c r="P314" s="255">
        <v>37.299999999999997</v>
      </c>
      <c r="Q314" s="255">
        <v>14.5</v>
      </c>
      <c r="R314" s="255">
        <v>6.5</v>
      </c>
      <c r="S314" s="255">
        <v>4.4000000000000004</v>
      </c>
      <c r="T314" s="255">
        <v>12</v>
      </c>
      <c r="U314" s="255">
        <v>17.3</v>
      </c>
    </row>
    <row r="315" spans="1:21" ht="15.75" customHeight="1" thickBot="1" x14ac:dyDescent="0.3">
      <c r="A315" s="257">
        <v>314</v>
      </c>
      <c r="B315" s="259" t="s">
        <v>312</v>
      </c>
      <c r="C315" s="255">
        <v>29</v>
      </c>
      <c r="D315" s="255">
        <v>69.900000000000006</v>
      </c>
      <c r="E315" s="255">
        <v>25.8</v>
      </c>
      <c r="F315" s="255">
        <v>58.2</v>
      </c>
      <c r="G315" s="255">
        <v>44.3</v>
      </c>
      <c r="H315" s="255">
        <v>6.7</v>
      </c>
      <c r="I315" s="255">
        <v>20.7</v>
      </c>
      <c r="J315" s="255">
        <v>32.200000000000003</v>
      </c>
      <c r="K315" s="255">
        <v>11.6</v>
      </c>
      <c r="L315" s="255">
        <v>14.7</v>
      </c>
      <c r="M315" s="255">
        <v>79.099999999999994</v>
      </c>
      <c r="N315" s="255">
        <v>9.8000000000000007</v>
      </c>
      <c r="O315" s="255">
        <v>25.8</v>
      </c>
      <c r="P315" s="255">
        <v>35.5</v>
      </c>
      <c r="Q315" s="255">
        <v>15.2</v>
      </c>
      <c r="R315" s="255">
        <v>7</v>
      </c>
      <c r="S315" s="255">
        <v>2.9</v>
      </c>
      <c r="T315" s="255">
        <v>10.9</v>
      </c>
      <c r="U315" s="255">
        <v>16.7</v>
      </c>
    </row>
    <row r="316" spans="1:21" ht="15.75" customHeight="1" thickBot="1" x14ac:dyDescent="0.3">
      <c r="A316" s="257">
        <v>315</v>
      </c>
      <c r="B316" s="259" t="s">
        <v>316</v>
      </c>
      <c r="C316" s="255">
        <v>30</v>
      </c>
      <c r="D316" s="255">
        <v>69.8</v>
      </c>
      <c r="E316" s="255">
        <v>23.1</v>
      </c>
      <c r="F316" s="255">
        <v>57.1</v>
      </c>
      <c r="G316" s="255">
        <v>40.4</v>
      </c>
      <c r="H316" s="255">
        <v>8.5</v>
      </c>
      <c r="I316" s="255">
        <v>26.6</v>
      </c>
      <c r="J316" s="255">
        <v>31.8</v>
      </c>
      <c r="K316" s="255">
        <v>15.1</v>
      </c>
      <c r="L316" s="255">
        <v>21</v>
      </c>
      <c r="M316" s="255">
        <v>72.2</v>
      </c>
      <c r="N316" s="255">
        <v>12.2</v>
      </c>
      <c r="O316" s="255">
        <v>23.3</v>
      </c>
      <c r="P316" s="255">
        <v>35.5</v>
      </c>
      <c r="Q316" s="255">
        <v>10.5</v>
      </c>
      <c r="R316" s="255">
        <v>4.8</v>
      </c>
      <c r="S316" s="255">
        <v>2.9</v>
      </c>
      <c r="T316" s="255">
        <v>12.5</v>
      </c>
      <c r="U316" s="255">
        <v>18.100000000000001</v>
      </c>
    </row>
    <row r="317" spans="1:21" ht="15.75" customHeight="1" thickBot="1" x14ac:dyDescent="0.3">
      <c r="A317" s="257">
        <v>316</v>
      </c>
      <c r="B317" s="259" t="s">
        <v>321</v>
      </c>
      <c r="C317" s="255">
        <v>32</v>
      </c>
      <c r="D317" s="255">
        <v>69.8</v>
      </c>
      <c r="E317" s="255">
        <v>26.6</v>
      </c>
      <c r="F317" s="255">
        <v>58.4</v>
      </c>
      <c r="G317" s="255">
        <v>45.5</v>
      </c>
      <c r="H317" s="255">
        <v>6</v>
      </c>
      <c r="I317" s="255">
        <v>18.600000000000001</v>
      </c>
      <c r="J317" s="255">
        <v>32.4</v>
      </c>
      <c r="K317" s="255">
        <v>10.6</v>
      </c>
      <c r="L317" s="255">
        <v>14.7</v>
      </c>
      <c r="M317" s="255">
        <v>72.3</v>
      </c>
      <c r="N317" s="255">
        <v>9.1999999999999993</v>
      </c>
      <c r="O317" s="255">
        <v>23.3</v>
      </c>
      <c r="P317" s="255">
        <v>32.5</v>
      </c>
      <c r="Q317" s="255">
        <v>14.7</v>
      </c>
      <c r="R317" s="255">
        <v>7.4</v>
      </c>
      <c r="S317" s="255">
        <v>3.8</v>
      </c>
      <c r="T317" s="255">
        <v>9.5</v>
      </c>
      <c r="U317" s="255">
        <v>18.2</v>
      </c>
    </row>
    <row r="318" spans="1:21" ht="15.75" customHeight="1" thickBot="1" x14ac:dyDescent="0.3">
      <c r="A318" s="257">
        <v>317</v>
      </c>
      <c r="B318" s="259" t="s">
        <v>466</v>
      </c>
      <c r="C318" s="255">
        <v>30</v>
      </c>
      <c r="D318" s="255">
        <v>69.599999999999994</v>
      </c>
      <c r="E318" s="255">
        <v>24.4</v>
      </c>
      <c r="F318" s="255">
        <v>55.3</v>
      </c>
      <c r="G318" s="255">
        <v>44.2</v>
      </c>
      <c r="H318" s="255">
        <v>7.8</v>
      </c>
      <c r="I318" s="255">
        <v>23.6</v>
      </c>
      <c r="J318" s="255">
        <v>33.1</v>
      </c>
      <c r="K318" s="255">
        <v>13</v>
      </c>
      <c r="L318" s="255">
        <v>19.3</v>
      </c>
      <c r="M318" s="255">
        <v>67.2</v>
      </c>
      <c r="N318" s="255">
        <v>10.7</v>
      </c>
      <c r="O318" s="255">
        <v>24.1</v>
      </c>
      <c r="P318" s="255">
        <v>34.799999999999997</v>
      </c>
      <c r="Q318" s="255">
        <v>13</v>
      </c>
      <c r="R318" s="255">
        <v>6.4</v>
      </c>
      <c r="S318" s="255">
        <v>2.8</v>
      </c>
      <c r="T318" s="255">
        <v>11.1</v>
      </c>
      <c r="U318" s="255">
        <v>15.3</v>
      </c>
    </row>
    <row r="319" spans="1:21" ht="15.75" customHeight="1" thickBot="1" x14ac:dyDescent="0.3">
      <c r="A319" s="257">
        <v>318</v>
      </c>
      <c r="B319" s="259" t="s">
        <v>430</v>
      </c>
      <c r="C319" s="255">
        <v>31</v>
      </c>
      <c r="D319" s="255">
        <v>69.599999999999994</v>
      </c>
      <c r="E319" s="255">
        <v>24.4</v>
      </c>
      <c r="F319" s="255">
        <v>58.5</v>
      </c>
      <c r="G319" s="255">
        <v>41.7</v>
      </c>
      <c r="H319" s="255">
        <v>9.4</v>
      </c>
      <c r="I319" s="255">
        <v>29.1</v>
      </c>
      <c r="J319" s="255">
        <v>32.299999999999997</v>
      </c>
      <c r="K319" s="255">
        <v>11.5</v>
      </c>
      <c r="L319" s="255">
        <v>16.899999999999999</v>
      </c>
      <c r="M319" s="255">
        <v>67.900000000000006</v>
      </c>
      <c r="N319" s="255">
        <v>10.5</v>
      </c>
      <c r="O319" s="255">
        <v>22.6</v>
      </c>
      <c r="P319" s="255">
        <v>33.200000000000003</v>
      </c>
      <c r="Q319" s="255">
        <v>12.5</v>
      </c>
      <c r="R319" s="255">
        <v>5.5</v>
      </c>
      <c r="S319" s="255">
        <v>2.4</v>
      </c>
      <c r="T319" s="255">
        <v>10.6</v>
      </c>
      <c r="U319" s="255">
        <v>16.3</v>
      </c>
    </row>
    <row r="320" spans="1:21" ht="15.75" customHeight="1" thickBot="1" x14ac:dyDescent="0.3">
      <c r="A320" s="257">
        <v>319</v>
      </c>
      <c r="B320" s="259" t="s">
        <v>451</v>
      </c>
      <c r="C320" s="255">
        <v>30</v>
      </c>
      <c r="D320" s="255">
        <v>69.599999999999994</v>
      </c>
      <c r="E320" s="255">
        <v>24.2</v>
      </c>
      <c r="F320" s="255">
        <v>56.7</v>
      </c>
      <c r="G320" s="255">
        <v>42.7</v>
      </c>
      <c r="H320" s="255">
        <v>7.4</v>
      </c>
      <c r="I320" s="255">
        <v>21.9</v>
      </c>
      <c r="J320" s="255">
        <v>33.9</v>
      </c>
      <c r="K320" s="255">
        <v>13.8</v>
      </c>
      <c r="L320" s="255">
        <v>19.7</v>
      </c>
      <c r="M320" s="255">
        <v>69.900000000000006</v>
      </c>
      <c r="N320" s="255">
        <v>9.9</v>
      </c>
      <c r="O320" s="255">
        <v>22.7</v>
      </c>
      <c r="P320" s="255">
        <v>32.6</v>
      </c>
      <c r="Q320" s="255">
        <v>11.9</v>
      </c>
      <c r="R320" s="255">
        <v>7.6</v>
      </c>
      <c r="S320" s="255">
        <v>3.7</v>
      </c>
      <c r="T320" s="255">
        <v>11.6</v>
      </c>
      <c r="U320" s="255">
        <v>18.600000000000001</v>
      </c>
    </row>
    <row r="321" spans="1:21" ht="15.75" customHeight="1" thickBot="1" x14ac:dyDescent="0.3">
      <c r="A321" s="257">
        <v>320</v>
      </c>
      <c r="B321" s="259" t="s">
        <v>306</v>
      </c>
      <c r="C321" s="255">
        <v>30</v>
      </c>
      <c r="D321" s="255">
        <v>69.5</v>
      </c>
      <c r="E321" s="255">
        <v>25.5</v>
      </c>
      <c r="F321" s="255">
        <v>57.8</v>
      </c>
      <c r="G321" s="255">
        <v>44.1</v>
      </c>
      <c r="H321" s="255">
        <v>5.8</v>
      </c>
      <c r="I321" s="255">
        <v>19.3</v>
      </c>
      <c r="J321" s="255">
        <v>29.8</v>
      </c>
      <c r="K321" s="255">
        <v>12.8</v>
      </c>
      <c r="L321" s="255">
        <v>19.5</v>
      </c>
      <c r="M321" s="255">
        <v>65.599999999999994</v>
      </c>
      <c r="N321" s="255">
        <v>13.1</v>
      </c>
      <c r="O321" s="255">
        <v>25.5</v>
      </c>
      <c r="P321" s="255">
        <v>38.6</v>
      </c>
      <c r="Q321" s="255">
        <v>12.4</v>
      </c>
      <c r="R321" s="255">
        <v>7.2</v>
      </c>
      <c r="S321" s="255">
        <v>4.9000000000000004</v>
      </c>
      <c r="T321" s="255">
        <v>12.7</v>
      </c>
      <c r="U321" s="255">
        <v>16.2</v>
      </c>
    </row>
    <row r="322" spans="1:21" ht="15.75" customHeight="1" thickBot="1" x14ac:dyDescent="0.3">
      <c r="A322" s="257">
        <v>321</v>
      </c>
      <c r="B322" s="259" t="s">
        <v>296</v>
      </c>
      <c r="C322" s="255">
        <v>32</v>
      </c>
      <c r="D322" s="255">
        <v>69.400000000000006</v>
      </c>
      <c r="E322" s="255">
        <v>24.6</v>
      </c>
      <c r="F322" s="255">
        <v>57.5</v>
      </c>
      <c r="G322" s="255">
        <v>42.8</v>
      </c>
      <c r="H322" s="255">
        <v>7.4</v>
      </c>
      <c r="I322" s="255">
        <v>23</v>
      </c>
      <c r="J322" s="255">
        <v>32.1</v>
      </c>
      <c r="K322" s="255">
        <v>12.9</v>
      </c>
      <c r="L322" s="255">
        <v>18.7</v>
      </c>
      <c r="M322" s="255">
        <v>69</v>
      </c>
      <c r="N322" s="255">
        <v>9.3000000000000007</v>
      </c>
      <c r="O322" s="255">
        <v>23.8</v>
      </c>
      <c r="P322" s="255">
        <v>33.1</v>
      </c>
      <c r="Q322" s="255">
        <v>13.6</v>
      </c>
      <c r="R322" s="255">
        <v>5.6</v>
      </c>
      <c r="S322" s="255">
        <v>2.2999999999999998</v>
      </c>
      <c r="T322" s="255">
        <v>10.4</v>
      </c>
      <c r="U322" s="255">
        <v>16.3</v>
      </c>
    </row>
    <row r="323" spans="1:21" ht="15.75" customHeight="1" thickBot="1" x14ac:dyDescent="0.3">
      <c r="A323" s="257">
        <v>322</v>
      </c>
      <c r="B323" s="259" t="s">
        <v>452</v>
      </c>
      <c r="C323" s="255">
        <v>29</v>
      </c>
      <c r="D323" s="255">
        <v>69.400000000000006</v>
      </c>
      <c r="E323" s="255">
        <v>24.8</v>
      </c>
      <c r="F323" s="255">
        <v>61.9</v>
      </c>
      <c r="G323" s="255">
        <v>40</v>
      </c>
      <c r="H323" s="255">
        <v>7.5</v>
      </c>
      <c r="I323" s="255">
        <v>25.1</v>
      </c>
      <c r="J323" s="255">
        <v>29.9</v>
      </c>
      <c r="K323" s="255">
        <v>12.4</v>
      </c>
      <c r="L323" s="255">
        <v>17.8</v>
      </c>
      <c r="M323" s="255">
        <v>69.400000000000006</v>
      </c>
      <c r="N323" s="255">
        <v>12.2</v>
      </c>
      <c r="O323" s="255">
        <v>23.7</v>
      </c>
      <c r="P323" s="255">
        <v>35.9</v>
      </c>
      <c r="Q323" s="255">
        <v>10.9</v>
      </c>
      <c r="R323" s="255">
        <v>6.7</v>
      </c>
      <c r="S323" s="255">
        <v>4.4000000000000004</v>
      </c>
      <c r="T323" s="255">
        <v>12.2</v>
      </c>
      <c r="U323" s="255">
        <v>17.100000000000001</v>
      </c>
    </row>
    <row r="324" spans="1:21" ht="15.75" customHeight="1" thickBot="1" x14ac:dyDescent="0.3">
      <c r="A324" s="257">
        <v>323</v>
      </c>
      <c r="B324" s="259" t="s">
        <v>344</v>
      </c>
      <c r="C324" s="255">
        <v>30</v>
      </c>
      <c r="D324" s="255">
        <v>69.400000000000006</v>
      </c>
      <c r="E324" s="255">
        <v>24.5</v>
      </c>
      <c r="F324" s="255">
        <v>56.2</v>
      </c>
      <c r="G324" s="255">
        <v>43.6</v>
      </c>
      <c r="H324" s="255">
        <v>5.8</v>
      </c>
      <c r="I324" s="255">
        <v>19</v>
      </c>
      <c r="J324" s="255">
        <v>30.5</v>
      </c>
      <c r="K324" s="255">
        <v>14.6</v>
      </c>
      <c r="L324" s="255">
        <v>21.2</v>
      </c>
      <c r="M324" s="255">
        <v>68.8</v>
      </c>
      <c r="N324" s="255">
        <v>11</v>
      </c>
      <c r="O324" s="255">
        <v>22.4</v>
      </c>
      <c r="P324" s="255">
        <v>33.4</v>
      </c>
      <c r="Q324" s="255">
        <v>10.1</v>
      </c>
      <c r="R324" s="255">
        <v>6.5</v>
      </c>
      <c r="S324" s="255">
        <v>3.8</v>
      </c>
      <c r="T324" s="255">
        <v>11.4</v>
      </c>
      <c r="U324" s="255">
        <v>14.8</v>
      </c>
    </row>
    <row r="325" spans="1:21" ht="15.75" customHeight="1" thickBot="1" x14ac:dyDescent="0.3">
      <c r="A325" s="257">
        <v>324</v>
      </c>
      <c r="B325" s="259" t="s">
        <v>290</v>
      </c>
      <c r="C325" s="255">
        <v>31</v>
      </c>
      <c r="D325" s="255">
        <v>69.3</v>
      </c>
      <c r="E325" s="255">
        <v>25</v>
      </c>
      <c r="F325" s="255">
        <v>60.5</v>
      </c>
      <c r="G325" s="255">
        <v>41.2</v>
      </c>
      <c r="H325" s="255">
        <v>6.7</v>
      </c>
      <c r="I325" s="255">
        <v>22.3</v>
      </c>
      <c r="J325" s="255">
        <v>30.1</v>
      </c>
      <c r="K325" s="255">
        <v>12.7</v>
      </c>
      <c r="L325" s="255">
        <v>18.7</v>
      </c>
      <c r="M325" s="255">
        <v>67.599999999999994</v>
      </c>
      <c r="N325" s="255">
        <v>10.5</v>
      </c>
      <c r="O325" s="255">
        <v>22.8</v>
      </c>
      <c r="P325" s="255">
        <v>33.4</v>
      </c>
      <c r="Q325" s="255">
        <v>11.9</v>
      </c>
      <c r="R325" s="255">
        <v>6.3</v>
      </c>
      <c r="S325" s="255">
        <v>3.2</v>
      </c>
      <c r="T325" s="255">
        <v>13.1</v>
      </c>
      <c r="U325" s="255">
        <v>16.3</v>
      </c>
    </row>
    <row r="326" spans="1:21" ht="15.75" customHeight="1" thickBot="1" x14ac:dyDescent="0.3">
      <c r="A326" s="257">
        <v>325</v>
      </c>
      <c r="B326" s="259" t="s">
        <v>48</v>
      </c>
      <c r="C326" s="255">
        <v>31</v>
      </c>
      <c r="D326" s="255">
        <v>69.3</v>
      </c>
      <c r="E326" s="255">
        <v>22.3</v>
      </c>
      <c r="F326" s="255">
        <v>53</v>
      </c>
      <c r="G326" s="255">
        <v>42.1</v>
      </c>
      <c r="H326" s="255">
        <v>8</v>
      </c>
      <c r="I326" s="255">
        <v>24.5</v>
      </c>
      <c r="J326" s="255">
        <v>32.6</v>
      </c>
      <c r="K326" s="255">
        <v>16.7</v>
      </c>
      <c r="L326" s="255">
        <v>21.2</v>
      </c>
      <c r="M326" s="255">
        <v>79</v>
      </c>
      <c r="N326" s="255">
        <v>8</v>
      </c>
      <c r="O326" s="255">
        <v>20.6</v>
      </c>
      <c r="P326" s="255">
        <v>28.6</v>
      </c>
      <c r="Q326" s="255">
        <v>12.4</v>
      </c>
      <c r="R326" s="255">
        <v>8.1</v>
      </c>
      <c r="S326" s="255">
        <v>4.9000000000000004</v>
      </c>
      <c r="T326" s="255">
        <v>9.6999999999999993</v>
      </c>
      <c r="U326" s="255">
        <v>16.7</v>
      </c>
    </row>
    <row r="327" spans="1:21" ht="15.75" customHeight="1" thickBot="1" x14ac:dyDescent="0.3">
      <c r="A327" s="257">
        <v>326</v>
      </c>
      <c r="B327" s="259" t="s">
        <v>354</v>
      </c>
      <c r="C327" s="255">
        <v>32</v>
      </c>
      <c r="D327" s="255">
        <v>69.3</v>
      </c>
      <c r="E327" s="255">
        <v>25.8</v>
      </c>
      <c r="F327" s="255">
        <v>55.4</v>
      </c>
      <c r="G327" s="255">
        <v>46.6</v>
      </c>
      <c r="H327" s="255">
        <v>7.7</v>
      </c>
      <c r="I327" s="255">
        <v>22.4</v>
      </c>
      <c r="J327" s="255">
        <v>34.4</v>
      </c>
      <c r="K327" s="255">
        <v>9.9</v>
      </c>
      <c r="L327" s="255">
        <v>14.1</v>
      </c>
      <c r="M327" s="255">
        <v>69.900000000000006</v>
      </c>
      <c r="N327" s="255">
        <v>7</v>
      </c>
      <c r="O327" s="255">
        <v>25.3</v>
      </c>
      <c r="P327" s="255">
        <v>32.299999999999997</v>
      </c>
      <c r="Q327" s="255">
        <v>14.5</v>
      </c>
      <c r="R327" s="255">
        <v>6.6</v>
      </c>
      <c r="S327" s="255">
        <v>3.1</v>
      </c>
      <c r="T327" s="255">
        <v>9.1</v>
      </c>
      <c r="U327" s="255">
        <v>14.9</v>
      </c>
    </row>
    <row r="328" spans="1:21" ht="15.75" customHeight="1" thickBot="1" x14ac:dyDescent="0.3">
      <c r="A328" s="257">
        <v>327</v>
      </c>
      <c r="B328" s="259" t="s">
        <v>337</v>
      </c>
      <c r="C328" s="255">
        <v>29</v>
      </c>
      <c r="D328" s="255">
        <v>69.2</v>
      </c>
      <c r="E328" s="255">
        <v>24.7</v>
      </c>
      <c r="F328" s="255">
        <v>60.7</v>
      </c>
      <c r="G328" s="255">
        <v>40.700000000000003</v>
      </c>
      <c r="H328" s="255">
        <v>8.1</v>
      </c>
      <c r="I328" s="255">
        <v>26.3</v>
      </c>
      <c r="J328" s="255">
        <v>30.8</v>
      </c>
      <c r="K328" s="255">
        <v>11.6</v>
      </c>
      <c r="L328" s="255">
        <v>17.399999999999999</v>
      </c>
      <c r="M328" s="255">
        <v>66.5</v>
      </c>
      <c r="N328" s="255">
        <v>10.6</v>
      </c>
      <c r="O328" s="255">
        <v>25.1</v>
      </c>
      <c r="P328" s="255">
        <v>35.700000000000003</v>
      </c>
      <c r="Q328" s="255">
        <v>11.2</v>
      </c>
      <c r="R328" s="255">
        <v>6.3</v>
      </c>
      <c r="S328" s="255">
        <v>2.2999999999999998</v>
      </c>
      <c r="T328" s="255">
        <v>11.2</v>
      </c>
      <c r="U328" s="255">
        <v>17.7</v>
      </c>
    </row>
    <row r="329" spans="1:21" ht="15.75" customHeight="1" thickBot="1" x14ac:dyDescent="0.3">
      <c r="A329" s="257">
        <v>328</v>
      </c>
      <c r="B329" s="259" t="s">
        <v>377</v>
      </c>
      <c r="C329" s="255">
        <v>28</v>
      </c>
      <c r="D329" s="255">
        <v>69.099999999999994</v>
      </c>
      <c r="E329" s="255">
        <v>23.3</v>
      </c>
      <c r="F329" s="255">
        <v>54.7</v>
      </c>
      <c r="G329" s="255">
        <v>42.6</v>
      </c>
      <c r="H329" s="255">
        <v>8.4</v>
      </c>
      <c r="I329" s="255">
        <v>24.2</v>
      </c>
      <c r="J329" s="255">
        <v>34.5</v>
      </c>
      <c r="K329" s="255">
        <v>14.2</v>
      </c>
      <c r="L329" s="255">
        <v>18.899999999999999</v>
      </c>
      <c r="M329" s="255">
        <v>75.400000000000006</v>
      </c>
      <c r="N329" s="255">
        <v>9.6</v>
      </c>
      <c r="O329" s="255">
        <v>23.9</v>
      </c>
      <c r="P329" s="255">
        <v>33.5</v>
      </c>
      <c r="Q329" s="255">
        <v>12.9</v>
      </c>
      <c r="R329" s="255">
        <v>4.8</v>
      </c>
      <c r="S329" s="255">
        <v>2.1</v>
      </c>
      <c r="T329" s="255">
        <v>10.9</v>
      </c>
      <c r="U329" s="255">
        <v>16.399999999999999</v>
      </c>
    </row>
    <row r="330" spans="1:21" ht="15.75" customHeight="1" thickBot="1" x14ac:dyDescent="0.3">
      <c r="A330" s="257">
        <v>329</v>
      </c>
      <c r="B330" s="259" t="s">
        <v>356</v>
      </c>
      <c r="C330" s="255">
        <v>31</v>
      </c>
      <c r="D330" s="255">
        <v>69</v>
      </c>
      <c r="E330" s="255">
        <v>23.5</v>
      </c>
      <c r="F330" s="255">
        <v>53.2</v>
      </c>
      <c r="G330" s="255">
        <v>44.2</v>
      </c>
      <c r="H330" s="255">
        <v>5.9</v>
      </c>
      <c r="I330" s="255">
        <v>17.8</v>
      </c>
      <c r="J330" s="255">
        <v>33.299999999999997</v>
      </c>
      <c r="K330" s="255">
        <v>16</v>
      </c>
      <c r="L330" s="255">
        <v>21.5</v>
      </c>
      <c r="M330" s="255">
        <v>74.3</v>
      </c>
      <c r="N330" s="255">
        <v>8.6999999999999993</v>
      </c>
      <c r="O330" s="255">
        <v>22.6</v>
      </c>
      <c r="P330" s="255">
        <v>31.3</v>
      </c>
      <c r="Q330" s="255">
        <v>12</v>
      </c>
      <c r="R330" s="255">
        <v>6.4</v>
      </c>
      <c r="S330" s="255">
        <v>2.4</v>
      </c>
      <c r="T330" s="255">
        <v>11.6</v>
      </c>
      <c r="U330" s="255">
        <v>16.8</v>
      </c>
    </row>
    <row r="331" spans="1:21" ht="15.75" customHeight="1" thickBot="1" x14ac:dyDescent="0.3">
      <c r="A331" s="257">
        <v>330</v>
      </c>
      <c r="B331" s="259" t="s">
        <v>432</v>
      </c>
      <c r="C331" s="255">
        <v>31</v>
      </c>
      <c r="D331" s="255">
        <v>68.8</v>
      </c>
      <c r="E331" s="255">
        <v>25.1</v>
      </c>
      <c r="F331" s="255">
        <v>59.6</v>
      </c>
      <c r="G331" s="255">
        <v>42.1</v>
      </c>
      <c r="H331" s="255">
        <v>6.4</v>
      </c>
      <c r="I331" s="255">
        <v>21.5</v>
      </c>
      <c r="J331" s="255">
        <v>29.6</v>
      </c>
      <c r="K331" s="255">
        <v>12.3</v>
      </c>
      <c r="L331" s="255">
        <v>17.899999999999999</v>
      </c>
      <c r="M331" s="255">
        <v>68.599999999999994</v>
      </c>
      <c r="N331" s="255">
        <v>13.5</v>
      </c>
      <c r="O331" s="255">
        <v>25.7</v>
      </c>
      <c r="P331" s="255">
        <v>39.200000000000003</v>
      </c>
      <c r="Q331" s="255">
        <v>10.3</v>
      </c>
      <c r="R331" s="255">
        <v>6.1</v>
      </c>
      <c r="S331" s="255">
        <v>3.3</v>
      </c>
      <c r="T331" s="255">
        <v>10.5</v>
      </c>
      <c r="U331" s="255">
        <v>15.5</v>
      </c>
    </row>
    <row r="332" spans="1:21" ht="15.75" customHeight="1" thickBot="1" x14ac:dyDescent="0.3">
      <c r="A332" s="257">
        <v>331</v>
      </c>
      <c r="B332" s="259" t="s">
        <v>413</v>
      </c>
      <c r="C332" s="255">
        <v>30</v>
      </c>
      <c r="D332" s="255">
        <v>68.7</v>
      </c>
      <c r="E332" s="255">
        <v>23.3</v>
      </c>
      <c r="F332" s="255">
        <v>60.4</v>
      </c>
      <c r="G332" s="255">
        <v>38.6</v>
      </c>
      <c r="H332" s="255">
        <v>7.6</v>
      </c>
      <c r="I332" s="255">
        <v>24.4</v>
      </c>
      <c r="J332" s="255">
        <v>31</v>
      </c>
      <c r="K332" s="255">
        <v>14.5</v>
      </c>
      <c r="L332" s="255">
        <v>22.1</v>
      </c>
      <c r="M332" s="255">
        <v>65.599999999999994</v>
      </c>
      <c r="N332" s="255">
        <v>13.2</v>
      </c>
      <c r="O332" s="255">
        <v>24.3</v>
      </c>
      <c r="P332" s="255">
        <v>37.5</v>
      </c>
      <c r="Q332" s="255">
        <v>10.3</v>
      </c>
      <c r="R332" s="255">
        <v>6.3</v>
      </c>
      <c r="S332" s="255">
        <v>4.2</v>
      </c>
      <c r="T332" s="255">
        <v>12</v>
      </c>
      <c r="U332" s="255">
        <v>17.2</v>
      </c>
    </row>
    <row r="333" spans="1:21" ht="15.75" customHeight="1" thickBot="1" x14ac:dyDescent="0.3">
      <c r="A333" s="257">
        <v>332</v>
      </c>
      <c r="B333" s="259" t="s">
        <v>239</v>
      </c>
      <c r="C333" s="255">
        <v>30</v>
      </c>
      <c r="D333" s="255">
        <v>68.7</v>
      </c>
      <c r="E333" s="255">
        <v>23.6</v>
      </c>
      <c r="F333" s="255">
        <v>52.3</v>
      </c>
      <c r="G333" s="255">
        <v>45.2</v>
      </c>
      <c r="H333" s="255">
        <v>8.6999999999999993</v>
      </c>
      <c r="I333" s="255">
        <v>23.8</v>
      </c>
      <c r="J333" s="255">
        <v>36.6</v>
      </c>
      <c r="K333" s="255">
        <v>12.7</v>
      </c>
      <c r="L333" s="255">
        <v>16.100000000000001</v>
      </c>
      <c r="M333" s="255">
        <v>78.5</v>
      </c>
      <c r="N333" s="255">
        <v>6.3</v>
      </c>
      <c r="O333" s="255">
        <v>24.4</v>
      </c>
      <c r="P333" s="255">
        <v>30.7</v>
      </c>
      <c r="Q333" s="255">
        <v>12.3</v>
      </c>
      <c r="R333" s="255">
        <v>5.7</v>
      </c>
      <c r="S333" s="255">
        <v>3.1</v>
      </c>
      <c r="T333" s="255">
        <v>11.8</v>
      </c>
      <c r="U333" s="255">
        <v>14.8</v>
      </c>
    </row>
    <row r="334" spans="1:21" ht="15.75" customHeight="1" thickBot="1" x14ac:dyDescent="0.3">
      <c r="A334" s="257">
        <v>333</v>
      </c>
      <c r="B334" s="259" t="s">
        <v>264</v>
      </c>
      <c r="C334" s="255">
        <v>32</v>
      </c>
      <c r="D334" s="255">
        <v>68.400000000000006</v>
      </c>
      <c r="E334" s="255">
        <v>24.7</v>
      </c>
      <c r="F334" s="255">
        <v>57.4</v>
      </c>
      <c r="G334" s="255">
        <v>43</v>
      </c>
      <c r="H334" s="255">
        <v>6.9</v>
      </c>
      <c r="I334" s="255">
        <v>22.1</v>
      </c>
      <c r="J334" s="255">
        <v>31.2</v>
      </c>
      <c r="K334" s="255">
        <v>12.1</v>
      </c>
      <c r="L334" s="255">
        <v>17.7</v>
      </c>
      <c r="M334" s="255">
        <v>68.2</v>
      </c>
      <c r="N334" s="255">
        <v>8.5</v>
      </c>
      <c r="O334" s="255">
        <v>22.1</v>
      </c>
      <c r="P334" s="255">
        <v>30.5</v>
      </c>
      <c r="Q334" s="255">
        <v>10.199999999999999</v>
      </c>
      <c r="R334" s="255">
        <v>6.3</v>
      </c>
      <c r="S334" s="255">
        <v>2.4</v>
      </c>
      <c r="T334" s="255">
        <v>13.7</v>
      </c>
      <c r="U334" s="255">
        <v>17.600000000000001</v>
      </c>
    </row>
    <row r="335" spans="1:21" ht="15.75" customHeight="1" thickBot="1" x14ac:dyDescent="0.3">
      <c r="A335" s="257">
        <v>334</v>
      </c>
      <c r="B335" s="259" t="s">
        <v>333</v>
      </c>
      <c r="C335" s="255">
        <v>31</v>
      </c>
      <c r="D335" s="255">
        <v>68.400000000000006</v>
      </c>
      <c r="E335" s="255">
        <v>24.3</v>
      </c>
      <c r="F335" s="255">
        <v>55</v>
      </c>
      <c r="G335" s="255">
        <v>44.2</v>
      </c>
      <c r="H335" s="255">
        <v>7.8</v>
      </c>
      <c r="I335" s="255">
        <v>23.9</v>
      </c>
      <c r="J335" s="255">
        <v>32.6</v>
      </c>
      <c r="K335" s="255">
        <v>12</v>
      </c>
      <c r="L335" s="255">
        <v>18</v>
      </c>
      <c r="M335" s="255">
        <v>66.8</v>
      </c>
      <c r="N335" s="255">
        <v>10.6</v>
      </c>
      <c r="O335" s="255">
        <v>26.3</v>
      </c>
      <c r="P335" s="255">
        <v>36.9</v>
      </c>
      <c r="Q335" s="255">
        <v>13.8</v>
      </c>
      <c r="R335" s="255">
        <v>6.2</v>
      </c>
      <c r="S335" s="255">
        <v>3</v>
      </c>
      <c r="T335" s="255">
        <v>15.4</v>
      </c>
      <c r="U335" s="255">
        <v>18</v>
      </c>
    </row>
    <row r="336" spans="1:21" ht="15.75" customHeight="1" thickBot="1" x14ac:dyDescent="0.3">
      <c r="A336" s="257">
        <v>335</v>
      </c>
      <c r="B336" s="259" t="s">
        <v>277</v>
      </c>
      <c r="C336" s="255">
        <v>33</v>
      </c>
      <c r="D336" s="255">
        <v>68.2</v>
      </c>
      <c r="E336" s="255">
        <v>24.1</v>
      </c>
      <c r="F336" s="255">
        <v>55.3</v>
      </c>
      <c r="G336" s="255">
        <v>43.6</v>
      </c>
      <c r="H336" s="255">
        <v>6.6</v>
      </c>
      <c r="I336" s="255">
        <v>20.7</v>
      </c>
      <c r="J336" s="255">
        <v>32.1</v>
      </c>
      <c r="K336" s="255">
        <v>13.3</v>
      </c>
      <c r="L336" s="255">
        <v>17.600000000000001</v>
      </c>
      <c r="M336" s="255">
        <v>75.599999999999994</v>
      </c>
      <c r="N336" s="255">
        <v>7.6</v>
      </c>
      <c r="O336" s="255">
        <v>23.6</v>
      </c>
      <c r="P336" s="255">
        <v>31.2</v>
      </c>
      <c r="Q336" s="255">
        <v>10.8</v>
      </c>
      <c r="R336" s="255">
        <v>5.7</v>
      </c>
      <c r="S336" s="255">
        <v>1.8</v>
      </c>
      <c r="T336" s="255">
        <v>10.199999999999999</v>
      </c>
      <c r="U336" s="255">
        <v>15.7</v>
      </c>
    </row>
    <row r="337" spans="1:21" ht="15.75" customHeight="1" thickBot="1" x14ac:dyDescent="0.3">
      <c r="A337" s="257">
        <v>336</v>
      </c>
      <c r="B337" s="259" t="s">
        <v>244</v>
      </c>
      <c r="C337" s="255">
        <v>31</v>
      </c>
      <c r="D337" s="255">
        <v>67.900000000000006</v>
      </c>
      <c r="E337" s="255">
        <v>24.5</v>
      </c>
      <c r="F337" s="255">
        <v>55.9</v>
      </c>
      <c r="G337" s="255">
        <v>43.9</v>
      </c>
      <c r="H337" s="255">
        <v>7.8</v>
      </c>
      <c r="I337" s="255">
        <v>22.5</v>
      </c>
      <c r="J337" s="255">
        <v>34.5</v>
      </c>
      <c r="K337" s="255">
        <v>11.1</v>
      </c>
      <c r="L337" s="255">
        <v>16.899999999999999</v>
      </c>
      <c r="M337" s="255">
        <v>66</v>
      </c>
      <c r="N337" s="255">
        <v>10.7</v>
      </c>
      <c r="O337" s="255">
        <v>24.4</v>
      </c>
      <c r="P337" s="255">
        <v>35.200000000000003</v>
      </c>
      <c r="Q337" s="255">
        <v>13.4</v>
      </c>
      <c r="R337" s="255">
        <v>6.1</v>
      </c>
      <c r="S337" s="255">
        <v>3.7</v>
      </c>
      <c r="T337" s="255">
        <v>12.5</v>
      </c>
      <c r="U337" s="255">
        <v>16.600000000000001</v>
      </c>
    </row>
    <row r="338" spans="1:21" ht="15.75" customHeight="1" thickBot="1" x14ac:dyDescent="0.3">
      <c r="A338" s="257">
        <v>337</v>
      </c>
      <c r="B338" s="259" t="s">
        <v>198</v>
      </c>
      <c r="C338" s="255">
        <v>31</v>
      </c>
      <c r="D338" s="255">
        <v>67.900000000000006</v>
      </c>
      <c r="E338" s="255">
        <v>23.4</v>
      </c>
      <c r="F338" s="255">
        <v>51</v>
      </c>
      <c r="G338" s="255">
        <v>45.9</v>
      </c>
      <c r="H338" s="255">
        <v>5.3</v>
      </c>
      <c r="I338" s="255">
        <v>16.2</v>
      </c>
      <c r="J338" s="255">
        <v>32.700000000000003</v>
      </c>
      <c r="K338" s="255">
        <v>15.8</v>
      </c>
      <c r="L338" s="255">
        <v>21.3</v>
      </c>
      <c r="M338" s="255">
        <v>74.5</v>
      </c>
      <c r="N338" s="255">
        <v>6.7</v>
      </c>
      <c r="O338" s="255">
        <v>24.6</v>
      </c>
      <c r="P338" s="255">
        <v>31.3</v>
      </c>
      <c r="Q338" s="255">
        <v>11.6</v>
      </c>
      <c r="R338" s="255">
        <v>5.2</v>
      </c>
      <c r="S338" s="255">
        <v>3</v>
      </c>
      <c r="T338" s="255">
        <v>12.3</v>
      </c>
      <c r="U338" s="255">
        <v>16.7</v>
      </c>
    </row>
    <row r="339" spans="1:21" ht="15.75" customHeight="1" thickBot="1" x14ac:dyDescent="0.3">
      <c r="A339" s="257">
        <v>338</v>
      </c>
      <c r="B339" s="259" t="s">
        <v>335</v>
      </c>
      <c r="C339" s="255">
        <v>31</v>
      </c>
      <c r="D339" s="255">
        <v>67.7</v>
      </c>
      <c r="E339" s="255">
        <v>23.4</v>
      </c>
      <c r="F339" s="255">
        <v>57.6</v>
      </c>
      <c r="G339" s="255">
        <v>40.6</v>
      </c>
      <c r="H339" s="255">
        <v>7.1</v>
      </c>
      <c r="I339" s="255">
        <v>23.5</v>
      </c>
      <c r="J339" s="255">
        <v>30.3</v>
      </c>
      <c r="K339" s="255">
        <v>13.8</v>
      </c>
      <c r="L339" s="255">
        <v>19.600000000000001</v>
      </c>
      <c r="M339" s="255">
        <v>70.7</v>
      </c>
      <c r="N339" s="255">
        <v>9.9</v>
      </c>
      <c r="O339" s="255">
        <v>24.6</v>
      </c>
      <c r="P339" s="255">
        <v>34.5</v>
      </c>
      <c r="Q339" s="255">
        <v>10.9</v>
      </c>
      <c r="R339" s="255">
        <v>6.6</v>
      </c>
      <c r="S339" s="255">
        <v>3.3</v>
      </c>
      <c r="T339" s="255">
        <v>11.4</v>
      </c>
      <c r="U339" s="255">
        <v>18.2</v>
      </c>
    </row>
    <row r="340" spans="1:21" ht="15.75" customHeight="1" thickBot="1" x14ac:dyDescent="0.3">
      <c r="A340" s="257">
        <v>339</v>
      </c>
      <c r="B340" s="259" t="s">
        <v>206</v>
      </c>
      <c r="C340" s="255">
        <v>33</v>
      </c>
      <c r="D340" s="255">
        <v>67.400000000000006</v>
      </c>
      <c r="E340" s="255">
        <v>23.6</v>
      </c>
      <c r="F340" s="255">
        <v>56.2</v>
      </c>
      <c r="G340" s="255">
        <v>41.9</v>
      </c>
      <c r="H340" s="255">
        <v>7.4</v>
      </c>
      <c r="I340" s="255">
        <v>24</v>
      </c>
      <c r="J340" s="255">
        <v>30.6</v>
      </c>
      <c r="K340" s="255">
        <v>12.8</v>
      </c>
      <c r="L340" s="255">
        <v>16.7</v>
      </c>
      <c r="M340" s="255">
        <v>76.8</v>
      </c>
      <c r="N340" s="255">
        <v>9.1999999999999993</v>
      </c>
      <c r="O340" s="255">
        <v>22.2</v>
      </c>
      <c r="P340" s="255">
        <v>31.4</v>
      </c>
      <c r="Q340" s="255">
        <v>12.7</v>
      </c>
      <c r="R340" s="255">
        <v>7.2</v>
      </c>
      <c r="S340" s="255">
        <v>1.8</v>
      </c>
      <c r="T340" s="255">
        <v>12.8</v>
      </c>
      <c r="U340" s="255">
        <v>17.8</v>
      </c>
    </row>
    <row r="341" spans="1:21" ht="15.75" customHeight="1" thickBot="1" x14ac:dyDescent="0.3">
      <c r="A341" s="257">
        <v>340</v>
      </c>
      <c r="B341" s="259" t="s">
        <v>278</v>
      </c>
      <c r="C341" s="255">
        <v>31</v>
      </c>
      <c r="D341" s="255">
        <v>67.3</v>
      </c>
      <c r="E341" s="255">
        <v>23.8</v>
      </c>
      <c r="F341" s="255">
        <v>53.8</v>
      </c>
      <c r="G341" s="255">
        <v>44.2</v>
      </c>
      <c r="H341" s="255">
        <v>6</v>
      </c>
      <c r="I341" s="255">
        <v>19.5</v>
      </c>
      <c r="J341" s="255">
        <v>31</v>
      </c>
      <c r="K341" s="255">
        <v>13.7</v>
      </c>
      <c r="L341" s="255">
        <v>19.600000000000001</v>
      </c>
      <c r="M341" s="255">
        <v>70.2</v>
      </c>
      <c r="N341" s="255">
        <v>10.5</v>
      </c>
      <c r="O341" s="255">
        <v>21.6</v>
      </c>
      <c r="P341" s="255">
        <v>32.1</v>
      </c>
      <c r="Q341" s="255">
        <v>14</v>
      </c>
      <c r="R341" s="255">
        <v>6.6</v>
      </c>
      <c r="S341" s="255">
        <v>4</v>
      </c>
      <c r="T341" s="255">
        <v>12.5</v>
      </c>
      <c r="U341" s="255">
        <v>15.1</v>
      </c>
    </row>
    <row r="342" spans="1:21" ht="15.75" customHeight="1" thickBot="1" x14ac:dyDescent="0.3">
      <c r="A342" s="257">
        <v>341</v>
      </c>
      <c r="B342" s="259" t="s">
        <v>255</v>
      </c>
      <c r="C342" s="255">
        <v>32</v>
      </c>
      <c r="D342" s="255">
        <v>67.2</v>
      </c>
      <c r="E342" s="255">
        <v>23.3</v>
      </c>
      <c r="F342" s="255">
        <v>56.3</v>
      </c>
      <c r="G342" s="255">
        <v>41.3</v>
      </c>
      <c r="H342" s="255">
        <v>7.9</v>
      </c>
      <c r="I342" s="255">
        <v>25.6</v>
      </c>
      <c r="J342" s="255">
        <v>31</v>
      </c>
      <c r="K342" s="255">
        <v>12.8</v>
      </c>
      <c r="L342" s="255">
        <v>18.100000000000001</v>
      </c>
      <c r="M342" s="255">
        <v>70.599999999999994</v>
      </c>
      <c r="N342" s="255">
        <v>12</v>
      </c>
      <c r="O342" s="255">
        <v>23.3</v>
      </c>
      <c r="P342" s="255">
        <v>35.299999999999997</v>
      </c>
      <c r="Q342" s="255">
        <v>12.1</v>
      </c>
      <c r="R342" s="255">
        <v>5</v>
      </c>
      <c r="S342" s="255">
        <v>1.5</v>
      </c>
      <c r="T342" s="255">
        <v>11.8</v>
      </c>
      <c r="U342" s="255">
        <v>17.399999999999999</v>
      </c>
    </row>
    <row r="343" spans="1:21" ht="15.75" customHeight="1" thickBot="1" x14ac:dyDescent="0.3">
      <c r="A343" s="257">
        <v>342</v>
      </c>
      <c r="B343" s="259" t="s">
        <v>200</v>
      </c>
      <c r="C343" s="255">
        <v>30</v>
      </c>
      <c r="D343" s="255">
        <v>67.099999999999994</v>
      </c>
      <c r="E343" s="255">
        <v>24</v>
      </c>
      <c r="F343" s="255">
        <v>58.7</v>
      </c>
      <c r="G343" s="255">
        <v>40.9</v>
      </c>
      <c r="H343" s="255">
        <v>7.3</v>
      </c>
      <c r="I343" s="255">
        <v>24.7</v>
      </c>
      <c r="J343" s="255">
        <v>29.7</v>
      </c>
      <c r="K343" s="255">
        <v>11.8</v>
      </c>
      <c r="L343" s="255">
        <v>18.2</v>
      </c>
      <c r="M343" s="255">
        <v>64.5</v>
      </c>
      <c r="N343" s="255">
        <v>10.8</v>
      </c>
      <c r="O343" s="255">
        <v>25.5</v>
      </c>
      <c r="P343" s="255">
        <v>36.299999999999997</v>
      </c>
      <c r="Q343" s="255">
        <v>11.4</v>
      </c>
      <c r="R343" s="255">
        <v>4.7</v>
      </c>
      <c r="S343" s="255">
        <v>4.2</v>
      </c>
      <c r="T343" s="255">
        <v>10.4</v>
      </c>
      <c r="U343" s="255">
        <v>16.7</v>
      </c>
    </row>
    <row r="344" spans="1:21" ht="15.75" customHeight="1" thickBot="1" x14ac:dyDescent="0.3">
      <c r="A344" s="257">
        <v>343</v>
      </c>
      <c r="B344" s="259" t="s">
        <v>248</v>
      </c>
      <c r="C344" s="255">
        <v>33</v>
      </c>
      <c r="D344" s="255">
        <v>67.099999999999994</v>
      </c>
      <c r="E344" s="255">
        <v>24</v>
      </c>
      <c r="F344" s="255">
        <v>56.1</v>
      </c>
      <c r="G344" s="255">
        <v>42.8</v>
      </c>
      <c r="H344" s="255">
        <v>5.5</v>
      </c>
      <c r="I344" s="255">
        <v>16.899999999999999</v>
      </c>
      <c r="J344" s="255">
        <v>32.299999999999997</v>
      </c>
      <c r="K344" s="255">
        <v>13.7</v>
      </c>
      <c r="L344" s="255">
        <v>18.600000000000001</v>
      </c>
      <c r="M344" s="255">
        <v>73.5</v>
      </c>
      <c r="N344" s="255">
        <v>10</v>
      </c>
      <c r="O344" s="255">
        <v>22.8</v>
      </c>
      <c r="P344" s="255">
        <v>32.799999999999997</v>
      </c>
      <c r="Q344" s="255">
        <v>12.2</v>
      </c>
      <c r="R344" s="255">
        <v>7.8</v>
      </c>
      <c r="S344" s="255">
        <v>3.1</v>
      </c>
      <c r="T344" s="255">
        <v>12.5</v>
      </c>
      <c r="U344" s="255">
        <v>16.399999999999999</v>
      </c>
    </row>
    <row r="345" spans="1:21" ht="15.75" customHeight="1" thickBot="1" x14ac:dyDescent="0.3">
      <c r="A345" s="257">
        <v>344</v>
      </c>
      <c r="B345" s="259" t="s">
        <v>253</v>
      </c>
      <c r="C345" s="255">
        <v>32</v>
      </c>
      <c r="D345" s="255">
        <v>67</v>
      </c>
      <c r="E345" s="255">
        <v>23.6</v>
      </c>
      <c r="F345" s="255">
        <v>55.1</v>
      </c>
      <c r="G345" s="255">
        <v>42.8</v>
      </c>
      <c r="H345" s="255">
        <v>7.8</v>
      </c>
      <c r="I345" s="255">
        <v>23.8</v>
      </c>
      <c r="J345" s="255">
        <v>32.799999999999997</v>
      </c>
      <c r="K345" s="255">
        <v>12</v>
      </c>
      <c r="L345" s="255">
        <v>16.399999999999999</v>
      </c>
      <c r="M345" s="255">
        <v>73.099999999999994</v>
      </c>
      <c r="N345" s="255">
        <v>7.8</v>
      </c>
      <c r="O345" s="255">
        <v>23.6</v>
      </c>
      <c r="P345" s="255">
        <v>31.3</v>
      </c>
      <c r="Q345" s="255">
        <v>13.1</v>
      </c>
      <c r="R345" s="255">
        <v>5.3</v>
      </c>
      <c r="S345" s="255">
        <v>3.3</v>
      </c>
      <c r="T345" s="255">
        <v>12.9</v>
      </c>
      <c r="U345" s="255">
        <v>16</v>
      </c>
    </row>
    <row r="346" spans="1:21" ht="15.75" customHeight="1" thickBot="1" x14ac:dyDescent="0.3">
      <c r="A346" s="257">
        <v>345</v>
      </c>
      <c r="B346" s="259" t="s">
        <v>187</v>
      </c>
      <c r="C346" s="255">
        <v>30</v>
      </c>
      <c r="D346" s="255">
        <v>66.900000000000006</v>
      </c>
      <c r="E346" s="255">
        <v>24.1</v>
      </c>
      <c r="F346" s="255">
        <v>57.2</v>
      </c>
      <c r="G346" s="255">
        <v>42.2</v>
      </c>
      <c r="H346" s="255">
        <v>6.5</v>
      </c>
      <c r="I346" s="255">
        <v>19.399999999999999</v>
      </c>
      <c r="J346" s="255">
        <v>33.700000000000003</v>
      </c>
      <c r="K346" s="255">
        <v>12.2</v>
      </c>
      <c r="L346" s="255">
        <v>17.3</v>
      </c>
      <c r="M346" s="255">
        <v>70.7</v>
      </c>
      <c r="N346" s="255">
        <v>9.6</v>
      </c>
      <c r="O346" s="255">
        <v>20.2</v>
      </c>
      <c r="P346" s="255">
        <v>29.8</v>
      </c>
      <c r="Q346" s="255">
        <v>11.2</v>
      </c>
      <c r="R346" s="255">
        <v>7.8</v>
      </c>
      <c r="S346" s="255">
        <v>3.3</v>
      </c>
      <c r="T346" s="255">
        <v>13.8</v>
      </c>
      <c r="U346" s="255">
        <v>17.7</v>
      </c>
    </row>
    <row r="347" spans="1:21" ht="15.75" customHeight="1" thickBot="1" x14ac:dyDescent="0.3">
      <c r="A347" s="257">
        <v>345</v>
      </c>
      <c r="B347" s="259" t="s">
        <v>195</v>
      </c>
      <c r="C347" s="255">
        <v>30</v>
      </c>
      <c r="D347" s="255">
        <v>66.900000000000006</v>
      </c>
      <c r="E347" s="255">
        <v>23.6</v>
      </c>
      <c r="F347" s="255">
        <v>57</v>
      </c>
      <c r="G347" s="255">
        <v>41.5</v>
      </c>
      <c r="H347" s="255">
        <v>7</v>
      </c>
      <c r="I347" s="255">
        <v>22.2</v>
      </c>
      <c r="J347" s="255">
        <v>31.4</v>
      </c>
      <c r="K347" s="255">
        <v>12.7</v>
      </c>
      <c r="L347" s="255">
        <v>18.2</v>
      </c>
      <c r="M347" s="255">
        <v>69.7</v>
      </c>
      <c r="N347" s="255">
        <v>9.8000000000000007</v>
      </c>
      <c r="O347" s="255">
        <v>22.6</v>
      </c>
      <c r="P347" s="255">
        <v>32.4</v>
      </c>
      <c r="Q347" s="255">
        <v>12.3</v>
      </c>
      <c r="R347" s="255">
        <v>7.6</v>
      </c>
      <c r="S347" s="255">
        <v>2.6</v>
      </c>
      <c r="T347" s="255">
        <v>10.6</v>
      </c>
      <c r="U347" s="255">
        <v>16</v>
      </c>
    </row>
    <row r="348" spans="1:21" ht="15.75" customHeight="1" thickBot="1" x14ac:dyDescent="0.3">
      <c r="A348" s="257">
        <v>347</v>
      </c>
      <c r="B348" s="259" t="s">
        <v>421</v>
      </c>
      <c r="C348" s="255">
        <v>32</v>
      </c>
      <c r="D348" s="255">
        <v>66.900000000000006</v>
      </c>
      <c r="E348" s="255">
        <v>24</v>
      </c>
      <c r="F348" s="255">
        <v>57.7</v>
      </c>
      <c r="G348" s="255">
        <v>41.6</v>
      </c>
      <c r="H348" s="255">
        <v>7.7</v>
      </c>
      <c r="I348" s="255">
        <v>23.5</v>
      </c>
      <c r="J348" s="255">
        <v>32.799999999999997</v>
      </c>
      <c r="K348" s="255">
        <v>11.2</v>
      </c>
      <c r="L348" s="255">
        <v>16.3</v>
      </c>
      <c r="M348" s="255">
        <v>68.8</v>
      </c>
      <c r="N348" s="255">
        <v>10.3</v>
      </c>
      <c r="O348" s="255">
        <v>27.4</v>
      </c>
      <c r="P348" s="255">
        <v>37.700000000000003</v>
      </c>
      <c r="Q348" s="255">
        <v>12.7</v>
      </c>
      <c r="R348" s="255">
        <v>4.8</v>
      </c>
      <c r="S348" s="255">
        <v>3.9</v>
      </c>
      <c r="T348" s="255">
        <v>13.1</v>
      </c>
      <c r="U348" s="255">
        <v>16.2</v>
      </c>
    </row>
    <row r="349" spans="1:21" ht="15.75" customHeight="1" thickBot="1" x14ac:dyDescent="0.3">
      <c r="A349" s="257">
        <v>348</v>
      </c>
      <c r="B349" s="259" t="s">
        <v>307</v>
      </c>
      <c r="C349" s="255">
        <v>30</v>
      </c>
      <c r="D349" s="255">
        <v>66.7</v>
      </c>
      <c r="E349" s="255">
        <v>23</v>
      </c>
      <c r="F349" s="255">
        <v>54.7</v>
      </c>
      <c r="G349" s="255">
        <v>42</v>
      </c>
      <c r="H349" s="255">
        <v>8.1</v>
      </c>
      <c r="I349" s="255">
        <v>25.9</v>
      </c>
      <c r="J349" s="255">
        <v>31.4</v>
      </c>
      <c r="K349" s="255">
        <v>12.7</v>
      </c>
      <c r="L349" s="255">
        <v>18.899999999999999</v>
      </c>
      <c r="M349" s="255">
        <v>66.900000000000006</v>
      </c>
      <c r="N349" s="255">
        <v>10.4</v>
      </c>
      <c r="O349" s="255">
        <v>23.3</v>
      </c>
      <c r="P349" s="255">
        <v>33.799999999999997</v>
      </c>
      <c r="Q349" s="255">
        <v>13.8</v>
      </c>
      <c r="R349" s="255">
        <v>4</v>
      </c>
      <c r="S349" s="255">
        <v>3.8</v>
      </c>
      <c r="T349" s="255">
        <v>13.1</v>
      </c>
      <c r="U349" s="255">
        <v>17.2</v>
      </c>
    </row>
    <row r="350" spans="1:21" ht="15.75" customHeight="1" thickBot="1" x14ac:dyDescent="0.3">
      <c r="A350" s="257">
        <v>349</v>
      </c>
      <c r="B350" s="259" t="s">
        <v>407</v>
      </c>
      <c r="C350" s="255">
        <v>30</v>
      </c>
      <c r="D350" s="255">
        <v>66.599999999999994</v>
      </c>
      <c r="E350" s="255">
        <v>22.7</v>
      </c>
      <c r="F350" s="255">
        <v>55.3</v>
      </c>
      <c r="G350" s="255">
        <v>41</v>
      </c>
      <c r="H350" s="255">
        <v>6.1</v>
      </c>
      <c r="I350" s="255">
        <v>18.2</v>
      </c>
      <c r="J350" s="255">
        <v>33.799999999999997</v>
      </c>
      <c r="K350" s="255">
        <v>15.1</v>
      </c>
      <c r="L350" s="255">
        <v>22.7</v>
      </c>
      <c r="M350" s="255">
        <v>66.599999999999994</v>
      </c>
      <c r="N350" s="255">
        <v>11</v>
      </c>
      <c r="O350" s="255">
        <v>19.899999999999999</v>
      </c>
      <c r="P350" s="255">
        <v>30.9</v>
      </c>
      <c r="Q350" s="255">
        <v>12.1</v>
      </c>
      <c r="R350" s="255">
        <v>7</v>
      </c>
      <c r="S350" s="255">
        <v>3.7</v>
      </c>
      <c r="T350" s="255">
        <v>14.6</v>
      </c>
      <c r="U350" s="255">
        <v>21.2</v>
      </c>
    </row>
    <row r="351" spans="1:21" ht="15.75" customHeight="1" thickBot="1" x14ac:dyDescent="0.3">
      <c r="A351" s="257">
        <v>350</v>
      </c>
      <c r="B351" s="259" t="s">
        <v>295</v>
      </c>
      <c r="C351" s="255">
        <v>30</v>
      </c>
      <c r="D351" s="255">
        <v>66.400000000000006</v>
      </c>
      <c r="E351" s="255">
        <v>23</v>
      </c>
      <c r="F351" s="255">
        <v>56.2</v>
      </c>
      <c r="G351" s="255">
        <v>41</v>
      </c>
      <c r="H351" s="255">
        <v>5.3</v>
      </c>
      <c r="I351" s="255">
        <v>17.7</v>
      </c>
      <c r="J351" s="255">
        <v>29.9</v>
      </c>
      <c r="K351" s="255">
        <v>15</v>
      </c>
      <c r="L351" s="255">
        <v>20.8</v>
      </c>
      <c r="M351" s="255">
        <v>72.3</v>
      </c>
      <c r="N351" s="255">
        <v>12.1</v>
      </c>
      <c r="O351" s="255">
        <v>23.2</v>
      </c>
      <c r="P351" s="255">
        <v>35.200000000000003</v>
      </c>
      <c r="Q351" s="255">
        <v>13.1</v>
      </c>
      <c r="R351" s="255">
        <v>6.7</v>
      </c>
      <c r="S351" s="255">
        <v>2.6</v>
      </c>
      <c r="T351" s="255">
        <v>12.4</v>
      </c>
      <c r="U351" s="255">
        <v>16.3</v>
      </c>
    </row>
    <row r="352" spans="1:21" ht="15.75" customHeight="1" thickBot="1" x14ac:dyDescent="0.3">
      <c r="A352" s="257">
        <v>351</v>
      </c>
      <c r="B352" s="259" t="s">
        <v>224</v>
      </c>
      <c r="C352" s="255">
        <v>32</v>
      </c>
      <c r="D352" s="255">
        <v>65.8</v>
      </c>
      <c r="E352" s="255">
        <v>23.5</v>
      </c>
      <c r="F352" s="255">
        <v>58</v>
      </c>
      <c r="G352" s="255">
        <v>40.5</v>
      </c>
      <c r="H352" s="255">
        <v>5.8</v>
      </c>
      <c r="I352" s="255">
        <v>18.2</v>
      </c>
      <c r="J352" s="255">
        <v>31.8</v>
      </c>
      <c r="K352" s="255">
        <v>13</v>
      </c>
      <c r="L352" s="255">
        <v>17.5</v>
      </c>
      <c r="M352" s="255">
        <v>74.2</v>
      </c>
      <c r="N352" s="255">
        <v>10.7</v>
      </c>
      <c r="O352" s="255">
        <v>20.399999999999999</v>
      </c>
      <c r="P352" s="255">
        <v>31.1</v>
      </c>
      <c r="Q352" s="255">
        <v>11.7</v>
      </c>
      <c r="R352" s="255">
        <v>8.1999999999999993</v>
      </c>
      <c r="S352" s="255">
        <v>1.3</v>
      </c>
      <c r="T352" s="255">
        <v>10.5</v>
      </c>
      <c r="U352" s="255">
        <v>18.8</v>
      </c>
    </row>
    <row r="353" spans="1:21" ht="15.75" customHeight="1" thickBot="1" x14ac:dyDescent="0.3">
      <c r="A353" s="257">
        <v>352</v>
      </c>
      <c r="B353" s="259" t="s">
        <v>232</v>
      </c>
      <c r="C353" s="255">
        <v>31</v>
      </c>
      <c r="D353" s="255">
        <v>65.5</v>
      </c>
      <c r="E353" s="255">
        <v>22.7</v>
      </c>
      <c r="F353" s="255">
        <v>55.5</v>
      </c>
      <c r="G353" s="255">
        <v>40.9</v>
      </c>
      <c r="H353" s="255">
        <v>6</v>
      </c>
      <c r="I353" s="255">
        <v>19.5</v>
      </c>
      <c r="J353" s="255">
        <v>30.5</v>
      </c>
      <c r="K353" s="255">
        <v>14.2</v>
      </c>
      <c r="L353" s="255">
        <v>21</v>
      </c>
      <c r="M353" s="255">
        <v>67.400000000000006</v>
      </c>
      <c r="N353" s="255">
        <v>11.2</v>
      </c>
      <c r="O353" s="255">
        <v>21.3</v>
      </c>
      <c r="P353" s="255">
        <v>32.5</v>
      </c>
      <c r="Q353" s="255">
        <v>11.7</v>
      </c>
      <c r="R353" s="255">
        <v>6.4</v>
      </c>
      <c r="S353" s="255">
        <v>3.5</v>
      </c>
      <c r="T353" s="255">
        <v>15.4</v>
      </c>
      <c r="U353" s="255">
        <v>18.5</v>
      </c>
    </row>
    <row r="354" spans="1:21" ht="15.75" customHeight="1" thickBot="1" x14ac:dyDescent="0.3">
      <c r="A354" s="257">
        <v>353</v>
      </c>
      <c r="B354" s="259" t="s">
        <v>205</v>
      </c>
      <c r="C354" s="255">
        <v>30</v>
      </c>
      <c r="D354" s="255">
        <v>65.099999999999994</v>
      </c>
      <c r="E354" s="255">
        <v>22.4</v>
      </c>
      <c r="F354" s="255">
        <v>55.4</v>
      </c>
      <c r="G354" s="255">
        <v>40.5</v>
      </c>
      <c r="H354" s="255">
        <v>8</v>
      </c>
      <c r="I354" s="255">
        <v>26.6</v>
      </c>
      <c r="J354" s="255">
        <v>30.2</v>
      </c>
      <c r="K354" s="255">
        <v>12.2</v>
      </c>
      <c r="L354" s="255">
        <v>16.399999999999999</v>
      </c>
      <c r="M354" s="255">
        <v>74.5</v>
      </c>
      <c r="N354" s="255">
        <v>10.1</v>
      </c>
      <c r="O354" s="255">
        <v>23.6</v>
      </c>
      <c r="P354" s="255">
        <v>33.700000000000003</v>
      </c>
      <c r="Q354" s="255">
        <v>12.2</v>
      </c>
      <c r="R354" s="255">
        <v>5.9</v>
      </c>
      <c r="S354" s="255">
        <v>4.3</v>
      </c>
      <c r="T354" s="255">
        <v>13.2</v>
      </c>
      <c r="U354" s="255">
        <v>16.399999999999999</v>
      </c>
    </row>
    <row r="355" spans="1:21" ht="15.75" customHeight="1" thickBot="1" x14ac:dyDescent="0.3">
      <c r="A355" s="257">
        <v>354</v>
      </c>
      <c r="B355" s="259" t="s">
        <v>389</v>
      </c>
      <c r="C355" s="255">
        <v>31</v>
      </c>
      <c r="D355" s="255">
        <v>65</v>
      </c>
      <c r="E355" s="255">
        <v>22.2</v>
      </c>
      <c r="F355" s="255">
        <v>53.7</v>
      </c>
      <c r="G355" s="255">
        <v>41.4</v>
      </c>
      <c r="H355" s="255">
        <v>6</v>
      </c>
      <c r="I355" s="255">
        <v>21.3</v>
      </c>
      <c r="J355" s="255">
        <v>28.3</v>
      </c>
      <c r="K355" s="255">
        <v>14.5</v>
      </c>
      <c r="L355" s="255">
        <v>21.3</v>
      </c>
      <c r="M355" s="255">
        <v>68.400000000000006</v>
      </c>
      <c r="N355" s="255">
        <v>10.199999999999999</v>
      </c>
      <c r="O355" s="255">
        <v>21.8</v>
      </c>
      <c r="P355" s="255">
        <v>32</v>
      </c>
      <c r="Q355" s="255">
        <v>11.6</v>
      </c>
      <c r="R355" s="255">
        <v>6.9</v>
      </c>
      <c r="S355" s="255">
        <v>2.8</v>
      </c>
      <c r="T355" s="255">
        <v>12.4</v>
      </c>
      <c r="U355" s="255">
        <v>17.7</v>
      </c>
    </row>
    <row r="356" spans="1:21" ht="15.75" customHeight="1" thickBot="1" x14ac:dyDescent="0.3">
      <c r="A356" s="257">
        <v>355</v>
      </c>
      <c r="B356" s="259" t="s">
        <v>338</v>
      </c>
      <c r="C356" s="255">
        <v>31</v>
      </c>
      <c r="D356" s="255">
        <v>64.900000000000006</v>
      </c>
      <c r="E356" s="255">
        <v>23.5</v>
      </c>
      <c r="F356" s="255">
        <v>53.2</v>
      </c>
      <c r="G356" s="255">
        <v>44.1</v>
      </c>
      <c r="H356" s="255">
        <v>6.7</v>
      </c>
      <c r="I356" s="255">
        <v>21.5</v>
      </c>
      <c r="J356" s="255">
        <v>31.3</v>
      </c>
      <c r="K356" s="255">
        <v>11.3</v>
      </c>
      <c r="L356" s="255">
        <v>16.399999999999999</v>
      </c>
      <c r="M356" s="255">
        <v>68.8</v>
      </c>
      <c r="N356" s="255">
        <v>7.8</v>
      </c>
      <c r="O356" s="255">
        <v>23.5</v>
      </c>
      <c r="P356" s="255">
        <v>31.4</v>
      </c>
      <c r="Q356" s="255">
        <v>12.1</v>
      </c>
      <c r="R356" s="255">
        <v>6.5</v>
      </c>
      <c r="S356" s="255">
        <v>2.2999999999999998</v>
      </c>
      <c r="T356" s="255">
        <v>11.1</v>
      </c>
      <c r="U356" s="255">
        <v>13.9</v>
      </c>
    </row>
    <row r="357" spans="1:21" ht="15.75" customHeight="1" thickBot="1" x14ac:dyDescent="0.3">
      <c r="A357" s="257">
        <v>356</v>
      </c>
      <c r="B357" s="259" t="s">
        <v>468</v>
      </c>
      <c r="C357" s="255">
        <v>31</v>
      </c>
      <c r="D357" s="255">
        <v>64.900000000000006</v>
      </c>
      <c r="E357" s="255">
        <v>22.6</v>
      </c>
      <c r="F357" s="255">
        <v>56.2</v>
      </c>
      <c r="G357" s="255">
        <v>40.299999999999997</v>
      </c>
      <c r="H357" s="255">
        <v>5.9</v>
      </c>
      <c r="I357" s="255">
        <v>18.7</v>
      </c>
      <c r="J357" s="255">
        <v>31.4</v>
      </c>
      <c r="K357" s="255">
        <v>13.7</v>
      </c>
      <c r="L357" s="255">
        <v>20.6</v>
      </c>
      <c r="M357" s="255">
        <v>66.5</v>
      </c>
      <c r="N357" s="255">
        <v>10.4</v>
      </c>
      <c r="O357" s="255">
        <v>21.5</v>
      </c>
      <c r="P357" s="255">
        <v>31.9</v>
      </c>
      <c r="Q357" s="255">
        <v>8.4</v>
      </c>
      <c r="R357" s="255">
        <v>5.2</v>
      </c>
      <c r="S357" s="255">
        <v>2</v>
      </c>
      <c r="T357" s="255">
        <v>11.8</v>
      </c>
      <c r="U357" s="255">
        <v>16.100000000000001</v>
      </c>
    </row>
    <row r="358" spans="1:21" ht="15.75" customHeight="1" thickBot="1" x14ac:dyDescent="0.3">
      <c r="A358" s="257">
        <v>357</v>
      </c>
      <c r="B358" s="259" t="s">
        <v>326</v>
      </c>
      <c r="C358" s="255">
        <v>32</v>
      </c>
      <c r="D358" s="255">
        <v>64.599999999999994</v>
      </c>
      <c r="E358" s="255">
        <v>23</v>
      </c>
      <c r="F358" s="255">
        <v>55.7</v>
      </c>
      <c r="G358" s="255">
        <v>41.3</v>
      </c>
      <c r="H358" s="255">
        <v>5.2</v>
      </c>
      <c r="I358" s="255">
        <v>17.2</v>
      </c>
      <c r="J358" s="255">
        <v>29.9</v>
      </c>
      <c r="K358" s="255">
        <v>13.5</v>
      </c>
      <c r="L358" s="255">
        <v>18.8</v>
      </c>
      <c r="M358" s="255">
        <v>71.599999999999994</v>
      </c>
      <c r="N358" s="255">
        <v>9.1</v>
      </c>
      <c r="O358" s="255">
        <v>21.3</v>
      </c>
      <c r="P358" s="255">
        <v>30.4</v>
      </c>
      <c r="Q358" s="255">
        <v>12.2</v>
      </c>
      <c r="R358" s="255">
        <v>7.2</v>
      </c>
      <c r="S358" s="255">
        <v>2.6</v>
      </c>
      <c r="T358" s="255">
        <v>15.3</v>
      </c>
      <c r="U358" s="255">
        <v>21.6</v>
      </c>
    </row>
    <row r="359" spans="1:21" ht="15.75" customHeight="1" thickBot="1" x14ac:dyDescent="0.3">
      <c r="A359" s="257">
        <v>358</v>
      </c>
      <c r="B359" s="259" t="s">
        <v>315</v>
      </c>
      <c r="C359" s="255">
        <v>31</v>
      </c>
      <c r="D359" s="255">
        <v>64</v>
      </c>
      <c r="E359" s="255">
        <v>23.9</v>
      </c>
      <c r="F359" s="255">
        <v>53.7</v>
      </c>
      <c r="G359" s="255">
        <v>44.5</v>
      </c>
      <c r="H359" s="255">
        <v>5.4</v>
      </c>
      <c r="I359" s="255">
        <v>17.8</v>
      </c>
      <c r="J359" s="255">
        <v>30.1</v>
      </c>
      <c r="K359" s="255">
        <v>10.8</v>
      </c>
      <c r="L359" s="255">
        <v>15.3</v>
      </c>
      <c r="M359" s="255">
        <v>70.900000000000006</v>
      </c>
      <c r="N359" s="255">
        <v>10.3</v>
      </c>
      <c r="O359" s="255">
        <v>22.2</v>
      </c>
      <c r="P359" s="255">
        <v>32.5</v>
      </c>
      <c r="Q359" s="255">
        <v>13.6</v>
      </c>
      <c r="R359" s="255">
        <v>5.7</v>
      </c>
      <c r="S359" s="255">
        <v>2.5</v>
      </c>
      <c r="T359" s="255">
        <v>15.8</v>
      </c>
      <c r="U359" s="255">
        <v>18.100000000000001</v>
      </c>
    </row>
    <row r="360" spans="1:21" ht="15.75" customHeight="1" thickBot="1" x14ac:dyDescent="0.3">
      <c r="A360" s="257">
        <v>359</v>
      </c>
      <c r="B360" s="259" t="s">
        <v>341</v>
      </c>
      <c r="C360" s="255">
        <v>30</v>
      </c>
      <c r="D360" s="255">
        <v>63.9</v>
      </c>
      <c r="E360" s="255">
        <v>23.4</v>
      </c>
      <c r="F360" s="255">
        <v>53</v>
      </c>
      <c r="G360" s="255">
        <v>44.1</v>
      </c>
      <c r="H360" s="255">
        <v>7.1</v>
      </c>
      <c r="I360" s="255">
        <v>21.3</v>
      </c>
      <c r="J360" s="255">
        <v>33.4</v>
      </c>
      <c r="K360" s="255">
        <v>10</v>
      </c>
      <c r="L360" s="255">
        <v>13.8</v>
      </c>
      <c r="M360" s="255">
        <v>72.5</v>
      </c>
      <c r="N360" s="255">
        <v>8</v>
      </c>
      <c r="O360" s="255">
        <v>21.2</v>
      </c>
      <c r="P360" s="255">
        <v>29.2</v>
      </c>
      <c r="Q360" s="255">
        <v>14</v>
      </c>
      <c r="R360" s="255">
        <v>5.6</v>
      </c>
      <c r="S360" s="255">
        <v>2.9</v>
      </c>
      <c r="T360" s="255">
        <v>11.9</v>
      </c>
      <c r="U360" s="255">
        <v>15.2</v>
      </c>
    </row>
    <row r="361" spans="1:21" ht="15.75" customHeight="1" thickBot="1" x14ac:dyDescent="0.3">
      <c r="A361" s="257">
        <v>360</v>
      </c>
      <c r="B361" s="259" t="s">
        <v>305</v>
      </c>
      <c r="C361" s="255">
        <v>33</v>
      </c>
      <c r="D361" s="255">
        <v>63.7</v>
      </c>
      <c r="E361" s="255">
        <v>22.4</v>
      </c>
      <c r="F361" s="255">
        <v>55.6</v>
      </c>
      <c r="G361" s="255">
        <v>40.299999999999997</v>
      </c>
      <c r="H361" s="255">
        <v>7.6</v>
      </c>
      <c r="I361" s="255">
        <v>22.5</v>
      </c>
      <c r="J361" s="255">
        <v>33.6</v>
      </c>
      <c r="K361" s="255">
        <v>11.2</v>
      </c>
      <c r="L361" s="255">
        <v>16</v>
      </c>
      <c r="M361" s="255">
        <v>70.400000000000006</v>
      </c>
      <c r="N361" s="255">
        <v>9.8000000000000007</v>
      </c>
      <c r="O361" s="255">
        <v>20.5</v>
      </c>
      <c r="P361" s="255">
        <v>30.3</v>
      </c>
      <c r="Q361" s="255">
        <v>10.3</v>
      </c>
      <c r="R361" s="255">
        <v>5.8</v>
      </c>
      <c r="S361" s="255">
        <v>3.5</v>
      </c>
      <c r="T361" s="255">
        <v>10.8</v>
      </c>
      <c r="U361" s="255">
        <v>19.100000000000001</v>
      </c>
    </row>
    <row r="362" spans="1:21" ht="15.75" customHeight="1" thickBot="1" x14ac:dyDescent="0.3">
      <c r="A362" s="257">
        <v>361</v>
      </c>
      <c r="B362" s="259" t="s">
        <v>386</v>
      </c>
      <c r="C362" s="255">
        <v>29</v>
      </c>
      <c r="D362" s="255">
        <v>63.4</v>
      </c>
      <c r="E362" s="255">
        <v>23.2</v>
      </c>
      <c r="F362" s="255">
        <v>58.7</v>
      </c>
      <c r="G362" s="255">
        <v>39.5</v>
      </c>
      <c r="H362" s="255">
        <v>4.4000000000000004</v>
      </c>
      <c r="I362" s="255">
        <v>16.2</v>
      </c>
      <c r="J362" s="255">
        <v>27.5</v>
      </c>
      <c r="K362" s="255">
        <v>12.6</v>
      </c>
      <c r="L362" s="255">
        <v>18.100000000000001</v>
      </c>
      <c r="M362" s="255">
        <v>69.5</v>
      </c>
      <c r="N362" s="255">
        <v>12.6</v>
      </c>
      <c r="O362" s="255">
        <v>22.3</v>
      </c>
      <c r="P362" s="255">
        <v>35</v>
      </c>
      <c r="Q362" s="255">
        <v>10.3</v>
      </c>
      <c r="R362" s="255">
        <v>6</v>
      </c>
      <c r="S362" s="255">
        <v>3.4</v>
      </c>
      <c r="T362" s="255">
        <v>11.2</v>
      </c>
      <c r="U362" s="255">
        <v>16.2</v>
      </c>
    </row>
    <row r="363" spans="1:21" ht="15.75" customHeight="1" thickBot="1" x14ac:dyDescent="0.3">
      <c r="A363" s="257">
        <v>362</v>
      </c>
      <c r="B363" s="259" t="s">
        <v>216</v>
      </c>
      <c r="C363" s="255">
        <v>31</v>
      </c>
      <c r="D363" s="255">
        <v>62.9</v>
      </c>
      <c r="E363" s="255">
        <v>21.8</v>
      </c>
      <c r="F363" s="255">
        <v>54.4</v>
      </c>
      <c r="G363" s="255">
        <v>40.1</v>
      </c>
      <c r="H363" s="255">
        <v>7.2</v>
      </c>
      <c r="I363" s="255">
        <v>21.6</v>
      </c>
      <c r="J363" s="255">
        <v>33.1</v>
      </c>
      <c r="K363" s="255">
        <v>12.2</v>
      </c>
      <c r="L363" s="255">
        <v>16.899999999999999</v>
      </c>
      <c r="M363" s="255">
        <v>71.8</v>
      </c>
      <c r="N363" s="255">
        <v>10.3</v>
      </c>
      <c r="O363" s="255">
        <v>23.1</v>
      </c>
      <c r="P363" s="255">
        <v>33.5</v>
      </c>
      <c r="Q363" s="255">
        <v>12</v>
      </c>
      <c r="R363" s="255">
        <v>4.9000000000000004</v>
      </c>
      <c r="S363" s="255">
        <v>2.6</v>
      </c>
      <c r="T363" s="255">
        <v>12.7</v>
      </c>
      <c r="U363" s="255">
        <v>17.5</v>
      </c>
    </row>
    <row r="364" spans="1:21" ht="15.75" customHeight="1" thickBot="1" x14ac:dyDescent="0.3">
      <c r="A364" s="257">
        <v>363</v>
      </c>
      <c r="B364" s="259" t="s">
        <v>310</v>
      </c>
      <c r="C364" s="255">
        <v>31</v>
      </c>
      <c r="D364" s="255">
        <v>62.7</v>
      </c>
      <c r="E364" s="255">
        <v>22.3</v>
      </c>
      <c r="F364" s="255">
        <v>50.1</v>
      </c>
      <c r="G364" s="255">
        <v>44.6</v>
      </c>
      <c r="H364" s="255">
        <v>6</v>
      </c>
      <c r="I364" s="255">
        <v>18.899999999999999</v>
      </c>
      <c r="J364" s="255">
        <v>31.8</v>
      </c>
      <c r="K364" s="255">
        <v>12</v>
      </c>
      <c r="L364" s="255">
        <v>18.8</v>
      </c>
      <c r="M364" s="255">
        <v>64.099999999999994</v>
      </c>
      <c r="N364" s="255">
        <v>6.3</v>
      </c>
      <c r="O364" s="255">
        <v>21.7</v>
      </c>
      <c r="P364" s="255">
        <v>28</v>
      </c>
      <c r="Q364" s="255">
        <v>12.2</v>
      </c>
      <c r="R364" s="255">
        <v>7.8</v>
      </c>
      <c r="S364" s="255">
        <v>3.2</v>
      </c>
      <c r="T364" s="255">
        <v>12.4</v>
      </c>
      <c r="U364" s="255">
        <v>16.600000000000001</v>
      </c>
    </row>
    <row r="365" spans="1:21" ht="15.75" customHeight="1" thickBot="1" x14ac:dyDescent="0.3">
      <c r="A365" s="257">
        <v>364</v>
      </c>
      <c r="B365" s="259" t="s">
        <v>183</v>
      </c>
      <c r="C365" s="255">
        <v>30</v>
      </c>
      <c r="D365" s="255">
        <v>62.2</v>
      </c>
      <c r="E365" s="255">
        <v>21.8</v>
      </c>
      <c r="F365" s="255">
        <v>51</v>
      </c>
      <c r="G365" s="255">
        <v>42.8</v>
      </c>
      <c r="H365" s="255">
        <v>6.8</v>
      </c>
      <c r="I365" s="255">
        <v>21.7</v>
      </c>
      <c r="J365" s="255">
        <v>31.5</v>
      </c>
      <c r="K365" s="255">
        <v>11.7</v>
      </c>
      <c r="L365" s="255">
        <v>18.2</v>
      </c>
      <c r="M365" s="255">
        <v>64.099999999999994</v>
      </c>
      <c r="N365" s="255">
        <v>7.1</v>
      </c>
      <c r="O365" s="255">
        <v>22.2</v>
      </c>
      <c r="P365" s="255">
        <v>29.3</v>
      </c>
      <c r="Q365" s="255">
        <v>12.6</v>
      </c>
      <c r="R365" s="255">
        <v>5.5</v>
      </c>
      <c r="S365" s="255">
        <v>2.4</v>
      </c>
      <c r="T365" s="255">
        <v>14.9</v>
      </c>
      <c r="U365" s="255">
        <v>17.8</v>
      </c>
    </row>
    <row r="366" spans="1:21" ht="15.75" customHeight="1" thickBot="1" x14ac:dyDescent="0.3">
      <c r="A366" s="257">
        <v>365</v>
      </c>
      <c r="B366" s="259" t="s">
        <v>240</v>
      </c>
      <c r="C366" s="255">
        <v>29</v>
      </c>
      <c r="D366" s="255">
        <v>61</v>
      </c>
      <c r="E366" s="255">
        <v>21.9</v>
      </c>
      <c r="F366" s="255">
        <v>55.6</v>
      </c>
      <c r="G366" s="255">
        <v>39.5</v>
      </c>
      <c r="H366" s="255">
        <v>4.8</v>
      </c>
      <c r="I366" s="255">
        <v>16</v>
      </c>
      <c r="J366" s="255">
        <v>30.1</v>
      </c>
      <c r="K366" s="255">
        <v>12.3</v>
      </c>
      <c r="L366" s="255">
        <v>17.8</v>
      </c>
      <c r="M366" s="255">
        <v>69.099999999999994</v>
      </c>
      <c r="N366" s="255">
        <v>9.8000000000000007</v>
      </c>
      <c r="O366" s="255">
        <v>21</v>
      </c>
      <c r="P366" s="255">
        <v>30.8</v>
      </c>
      <c r="Q366" s="255">
        <v>10.6</v>
      </c>
      <c r="R366" s="255">
        <v>8</v>
      </c>
      <c r="S366" s="255">
        <v>1.7</v>
      </c>
      <c r="T366" s="255">
        <v>13.1</v>
      </c>
      <c r="U366" s="255">
        <v>16.899999999999999</v>
      </c>
    </row>
  </sheetData>
  <autoFilter ref="A1:U301" xr:uid="{00000000-0009-0000-0000-000007000000}"/>
  <hyperlinks>
    <hyperlink ref="D1" r:id="rId1" display="https://www.espn.com/mens-college-basketball/stats/team/_/table/offensive/sort/avgPoints/dir/asc" xr:uid="{00000000-0004-0000-0700-000000000000}"/>
    <hyperlink ref="E1" r:id="rId2" display="https://www.espn.com/mens-college-basketball/stats/team/_/table/offensive/sort/avgFieldGoalsMade/dir/desc" xr:uid="{00000000-0004-0000-0700-000001000000}"/>
    <hyperlink ref="F1" r:id="rId3" display="https://www.espn.com/mens-college-basketball/stats/team/_/table/offensive/sort/avgFieldGoalsAttempted/dir/desc" xr:uid="{00000000-0004-0000-0700-000002000000}"/>
    <hyperlink ref="G1" r:id="rId4" display="https://www.espn.com/mens-college-basketball/stats/team/_/table/offensive/sort/fieldGoalPct/dir/desc" xr:uid="{00000000-0004-0000-0700-000003000000}"/>
    <hyperlink ref="H1" r:id="rId5" display="https://www.espn.com/mens-college-basketball/stats/team/_/table/offensive/sort/avgThreePointFieldGoalsMade/dir/desc" xr:uid="{00000000-0004-0000-0700-000004000000}"/>
    <hyperlink ref="I1" r:id="rId6" display="https://www.espn.com/mens-college-basketball/stats/team/_/table/offensive/sort/avgThreePointFieldGoalsAttempted/dir/desc" xr:uid="{00000000-0004-0000-0700-000005000000}"/>
    <hyperlink ref="J1" r:id="rId7" display="https://www.espn.com/mens-college-basketball/stats/team/_/table/offensive/sort/threePointFieldGoalPct/dir/desc" xr:uid="{00000000-0004-0000-0700-000006000000}"/>
    <hyperlink ref="K1" r:id="rId8" display="https://www.espn.com/mens-college-basketball/stats/team/_/table/offensive/sort/avgFreeThrowsMade/dir/desc" xr:uid="{00000000-0004-0000-0700-000007000000}"/>
    <hyperlink ref="L1" r:id="rId9" display="https://www.espn.com/mens-college-basketball/stats/team/_/table/offensive/sort/avgFreeThrowsAttempted/dir/desc" xr:uid="{00000000-0004-0000-0700-000008000000}"/>
    <hyperlink ref="M1" r:id="rId10" display="https://www.espn.com/mens-college-basketball/stats/team/_/table/offensive/sort/freeThrowPct/dir/desc" xr:uid="{00000000-0004-0000-0700-000009000000}"/>
    <hyperlink ref="N1" r:id="rId11" display="https://www.espn.com/mens-college-basketball/stats/team/_/table/offensive/sort/avgOffensiveRebounds/dir/desc" xr:uid="{00000000-0004-0000-0700-00000A000000}"/>
    <hyperlink ref="O1" r:id="rId12" display="https://www.espn.com/mens-college-basketball/stats/team/_/table/defensive/sort/avgDefensiveRebounds/dir/desc" xr:uid="{00000000-0004-0000-0700-00000B000000}"/>
    <hyperlink ref="P1" r:id="rId13" display="https://www.espn.com/mens-college-basketball/stats/team/_/table/general/sort/avgRebounds/dir/desc" xr:uid="{00000000-0004-0000-0700-00000C000000}"/>
    <hyperlink ref="Q1" r:id="rId14" display="https://www.espn.com/mens-college-basketball/stats/team/_/table/offensive/sort/avgAssists/dir/desc" xr:uid="{00000000-0004-0000-0700-00000D000000}"/>
    <hyperlink ref="R1" r:id="rId15" display="https://www.espn.com/mens-college-basketball/stats/team/_/table/defensive/sort/avgSteals/dir/desc" xr:uid="{00000000-0004-0000-0700-00000E000000}"/>
    <hyperlink ref="S1" r:id="rId16" display="https://www.espn.com/mens-college-basketball/stats/team/_/table/defensive/sort/avgBlocks/dir/desc" xr:uid="{00000000-0004-0000-0700-00000F000000}"/>
    <hyperlink ref="T1" r:id="rId17" display="https://www.espn.com/mens-college-basketball/stats/team/_/table/offensive/sort/avgTurnovers/dir/asc" xr:uid="{00000000-0004-0000-0700-000010000000}"/>
    <hyperlink ref="U1" r:id="rId18" display="https://www.espn.com/mens-college-basketball/stats/team/_/table/general/sort/avgFouls/dir/asc" xr:uid="{00000000-0004-0000-0700-00001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U366"/>
  <sheetViews>
    <sheetView zoomScaleNormal="100" workbookViewId="0">
      <selection activeCell="W17" sqref="W17"/>
    </sheetView>
  </sheetViews>
  <sheetFormatPr defaultColWidth="8.5703125" defaultRowHeight="15" x14ac:dyDescent="0.25"/>
  <cols>
    <col min="2" max="2" width="32.28515625" customWidth="1"/>
  </cols>
  <sheetData>
    <row r="1" spans="1:21" ht="15.75" customHeight="1" thickBot="1" x14ac:dyDescent="0.3">
      <c r="A1" s="256" t="s">
        <v>626</v>
      </c>
      <c r="B1" s="258" t="s">
        <v>627</v>
      </c>
      <c r="C1" s="253" t="s">
        <v>628</v>
      </c>
      <c r="D1" s="254" t="s">
        <v>629</v>
      </c>
      <c r="E1" s="254" t="s">
        <v>630</v>
      </c>
      <c r="F1" s="254" t="s">
        <v>631</v>
      </c>
      <c r="G1" s="254" t="s">
        <v>632</v>
      </c>
      <c r="H1" s="254" t="s">
        <v>633</v>
      </c>
      <c r="I1" s="254" t="s">
        <v>634</v>
      </c>
      <c r="J1" s="254" t="s">
        <v>635</v>
      </c>
      <c r="K1" s="254" t="s">
        <v>636</v>
      </c>
      <c r="L1" s="254" t="s">
        <v>637</v>
      </c>
      <c r="M1" s="254" t="s">
        <v>638</v>
      </c>
      <c r="N1" s="254" t="s">
        <v>639</v>
      </c>
      <c r="O1" s="254" t="s">
        <v>640</v>
      </c>
      <c r="P1" s="254" t="s">
        <v>641</v>
      </c>
      <c r="Q1" s="254" t="s">
        <v>642</v>
      </c>
      <c r="R1" s="254" t="s">
        <v>643</v>
      </c>
      <c r="S1" s="254" t="s">
        <v>644</v>
      </c>
      <c r="T1" s="254" t="s">
        <v>645</v>
      </c>
      <c r="U1" s="254" t="s">
        <v>646</v>
      </c>
    </row>
    <row r="2" spans="1:21" ht="15.75" customHeight="1" thickBot="1" x14ac:dyDescent="0.3">
      <c r="A2" s="257">
        <v>1</v>
      </c>
      <c r="B2" s="259" t="s">
        <v>354</v>
      </c>
      <c r="C2" s="255">
        <v>32</v>
      </c>
      <c r="D2" s="255">
        <v>61.1</v>
      </c>
      <c r="E2" s="255">
        <v>21.9</v>
      </c>
      <c r="F2" s="255">
        <v>53.8</v>
      </c>
      <c r="G2" s="255">
        <v>40.700000000000003</v>
      </c>
      <c r="H2" s="255">
        <v>6.5</v>
      </c>
      <c r="I2" s="255">
        <v>22.7</v>
      </c>
      <c r="J2" s="255">
        <v>28.5</v>
      </c>
      <c r="K2" s="255">
        <v>10.8</v>
      </c>
      <c r="L2" s="255">
        <v>15.2</v>
      </c>
      <c r="M2" s="255">
        <v>71.099999999999994</v>
      </c>
      <c r="N2" s="255">
        <v>8.8000000000000007</v>
      </c>
      <c r="O2" s="255">
        <v>25.1</v>
      </c>
      <c r="P2" s="255">
        <v>33.9</v>
      </c>
      <c r="Q2" s="255">
        <v>10.7</v>
      </c>
      <c r="R2" s="255">
        <v>5.7</v>
      </c>
      <c r="S2" s="255">
        <v>2.7</v>
      </c>
      <c r="T2" s="255">
        <v>12.3</v>
      </c>
      <c r="U2" s="255">
        <v>14.5</v>
      </c>
    </row>
    <row r="3" spans="1:21" ht="15.75" customHeight="1" thickBot="1" x14ac:dyDescent="0.3">
      <c r="A3" s="257">
        <v>2</v>
      </c>
      <c r="B3" s="259" t="s">
        <v>80</v>
      </c>
      <c r="C3" s="255">
        <v>30</v>
      </c>
      <c r="D3" s="255">
        <v>62.3</v>
      </c>
      <c r="E3" s="255">
        <v>20.9</v>
      </c>
      <c r="F3" s="255">
        <v>51.8</v>
      </c>
      <c r="G3" s="255">
        <v>40.299999999999997</v>
      </c>
      <c r="H3" s="255">
        <v>6.7</v>
      </c>
      <c r="I3" s="255">
        <v>21.4</v>
      </c>
      <c r="J3" s="255">
        <v>31.4</v>
      </c>
      <c r="K3" s="255">
        <v>13.9</v>
      </c>
      <c r="L3" s="255">
        <v>20.3</v>
      </c>
      <c r="M3" s="255">
        <v>68.2</v>
      </c>
      <c r="N3" s="255">
        <v>10.5</v>
      </c>
      <c r="O3" s="255">
        <v>22.8</v>
      </c>
      <c r="P3" s="255">
        <v>33.4</v>
      </c>
      <c r="Q3" s="255">
        <v>11.5</v>
      </c>
      <c r="R3" s="255">
        <v>4.7</v>
      </c>
      <c r="S3" s="255">
        <v>2.4</v>
      </c>
      <c r="T3" s="255">
        <v>14</v>
      </c>
      <c r="U3" s="255">
        <v>16.3</v>
      </c>
    </row>
    <row r="4" spans="1:21" ht="15.75" customHeight="1" thickBot="1" x14ac:dyDescent="0.3">
      <c r="A4" s="257">
        <v>3</v>
      </c>
      <c r="B4" s="259" t="s">
        <v>17</v>
      </c>
      <c r="C4" s="255">
        <v>30</v>
      </c>
      <c r="D4" s="255">
        <v>62.5</v>
      </c>
      <c r="E4" s="255">
        <v>22.5</v>
      </c>
      <c r="F4" s="255">
        <v>58.2</v>
      </c>
      <c r="G4" s="255">
        <v>38.700000000000003</v>
      </c>
      <c r="H4" s="255">
        <v>7.9</v>
      </c>
      <c r="I4" s="255">
        <v>26.5</v>
      </c>
      <c r="J4" s="255">
        <v>29.9</v>
      </c>
      <c r="K4" s="255">
        <v>9.5</v>
      </c>
      <c r="L4" s="255">
        <v>13.5</v>
      </c>
      <c r="M4" s="255">
        <v>70.599999999999994</v>
      </c>
      <c r="N4" s="255">
        <v>9.4</v>
      </c>
      <c r="O4" s="255">
        <v>20.2</v>
      </c>
      <c r="P4" s="255">
        <v>29.6</v>
      </c>
      <c r="Q4" s="255">
        <v>11.8</v>
      </c>
      <c r="R4" s="255">
        <v>6.3</v>
      </c>
      <c r="S4" s="255">
        <v>2.6</v>
      </c>
      <c r="T4" s="255">
        <v>12.4</v>
      </c>
      <c r="U4" s="255">
        <v>18.3</v>
      </c>
    </row>
    <row r="5" spans="1:21" ht="15.75" customHeight="1" thickBot="1" x14ac:dyDescent="0.3">
      <c r="A5" s="257">
        <v>4</v>
      </c>
      <c r="B5" s="259" t="s">
        <v>449</v>
      </c>
      <c r="C5" s="255">
        <v>32</v>
      </c>
      <c r="D5" s="255">
        <v>63</v>
      </c>
      <c r="E5" s="255">
        <v>21.6</v>
      </c>
      <c r="F5" s="255">
        <v>55.8</v>
      </c>
      <c r="G5" s="255">
        <v>38.700000000000003</v>
      </c>
      <c r="H5" s="255">
        <v>6.5</v>
      </c>
      <c r="I5" s="255">
        <v>22.4</v>
      </c>
      <c r="J5" s="255">
        <v>28.8</v>
      </c>
      <c r="K5" s="255">
        <v>13.4</v>
      </c>
      <c r="L5" s="255">
        <v>19.399999999999999</v>
      </c>
      <c r="M5" s="255">
        <v>69</v>
      </c>
      <c r="N5" s="255">
        <v>11.2</v>
      </c>
      <c r="O5" s="255">
        <v>22.1</v>
      </c>
      <c r="P5" s="255">
        <v>33.299999999999997</v>
      </c>
      <c r="Q5" s="255">
        <v>11.7</v>
      </c>
      <c r="R5" s="255">
        <v>9.1</v>
      </c>
      <c r="S5" s="255">
        <v>3.2</v>
      </c>
      <c r="T5" s="255">
        <v>13.8</v>
      </c>
      <c r="U5" s="255">
        <v>17.600000000000001</v>
      </c>
    </row>
    <row r="6" spans="1:21" ht="15.75" customHeight="1" thickBot="1" x14ac:dyDescent="0.3">
      <c r="A6" s="257">
        <v>5</v>
      </c>
      <c r="B6" s="259" t="s">
        <v>34</v>
      </c>
      <c r="C6" s="255">
        <v>32</v>
      </c>
      <c r="D6" s="255">
        <v>63.5</v>
      </c>
      <c r="E6" s="255">
        <v>22.6</v>
      </c>
      <c r="F6" s="255">
        <v>56.4</v>
      </c>
      <c r="G6" s="255">
        <v>40.1</v>
      </c>
      <c r="H6" s="255">
        <v>7.6</v>
      </c>
      <c r="I6" s="255">
        <v>26</v>
      </c>
      <c r="J6" s="255">
        <v>29.4</v>
      </c>
      <c r="K6" s="255">
        <v>10.6</v>
      </c>
      <c r="L6" s="255">
        <v>14.3</v>
      </c>
      <c r="M6" s="255">
        <v>74.099999999999994</v>
      </c>
      <c r="N6" s="255">
        <v>9.4</v>
      </c>
      <c r="O6" s="255">
        <v>21.3</v>
      </c>
      <c r="P6" s="255">
        <v>30.7</v>
      </c>
      <c r="Q6" s="255">
        <v>11.9</v>
      </c>
      <c r="R6" s="255">
        <v>6.3</v>
      </c>
      <c r="S6" s="255">
        <v>2.7</v>
      </c>
      <c r="T6" s="255">
        <v>12.3</v>
      </c>
      <c r="U6" s="255">
        <v>19.3</v>
      </c>
    </row>
    <row r="7" spans="1:21" ht="15.75" customHeight="1" thickBot="1" x14ac:dyDescent="0.3">
      <c r="A7" s="257">
        <v>6</v>
      </c>
      <c r="B7" s="259" t="s">
        <v>312</v>
      </c>
      <c r="C7" s="255">
        <v>29</v>
      </c>
      <c r="D7" s="255">
        <v>63.7</v>
      </c>
      <c r="E7" s="255">
        <v>22.1</v>
      </c>
      <c r="F7" s="255">
        <v>54.5</v>
      </c>
      <c r="G7" s="255">
        <v>40.5</v>
      </c>
      <c r="H7" s="255">
        <v>5.7</v>
      </c>
      <c r="I7" s="255">
        <v>20.3</v>
      </c>
      <c r="J7" s="255">
        <v>27.8</v>
      </c>
      <c r="K7" s="255">
        <v>13.8</v>
      </c>
      <c r="L7" s="255">
        <v>19.8</v>
      </c>
      <c r="M7" s="255">
        <v>69.599999999999994</v>
      </c>
      <c r="N7" s="255">
        <v>9.9</v>
      </c>
      <c r="O7" s="255">
        <v>24.2</v>
      </c>
      <c r="P7" s="255">
        <v>34</v>
      </c>
      <c r="Q7" s="255">
        <v>10</v>
      </c>
      <c r="R7" s="255">
        <v>6.3</v>
      </c>
      <c r="S7" s="255">
        <v>3</v>
      </c>
      <c r="T7" s="255">
        <v>13</v>
      </c>
      <c r="U7" s="255">
        <v>14.5</v>
      </c>
    </row>
    <row r="8" spans="1:21" ht="15.75" customHeight="1" thickBot="1" x14ac:dyDescent="0.3">
      <c r="A8" s="257">
        <v>7</v>
      </c>
      <c r="B8" s="259" t="s">
        <v>97</v>
      </c>
      <c r="C8" s="255">
        <v>31</v>
      </c>
      <c r="D8" s="255">
        <v>64.2</v>
      </c>
      <c r="E8" s="255">
        <v>23.4</v>
      </c>
      <c r="F8" s="255">
        <v>58.1</v>
      </c>
      <c r="G8" s="255">
        <v>40.299999999999997</v>
      </c>
      <c r="H8" s="255">
        <v>6.4</v>
      </c>
      <c r="I8" s="255">
        <v>21.1</v>
      </c>
      <c r="J8" s="255">
        <v>30.4</v>
      </c>
      <c r="K8" s="255">
        <v>11</v>
      </c>
      <c r="L8" s="255">
        <v>15</v>
      </c>
      <c r="M8" s="255">
        <v>73.2</v>
      </c>
      <c r="N8" s="255">
        <v>8.6</v>
      </c>
      <c r="O8" s="255">
        <v>20.5</v>
      </c>
      <c r="P8" s="255">
        <v>29.1</v>
      </c>
      <c r="Q8" s="255">
        <v>12.5</v>
      </c>
      <c r="R8" s="255">
        <v>5.4</v>
      </c>
      <c r="S8" s="255">
        <v>3.3</v>
      </c>
      <c r="T8" s="255">
        <v>10.5</v>
      </c>
      <c r="U8" s="255">
        <v>18.100000000000001</v>
      </c>
    </row>
    <row r="9" spans="1:21" ht="15.75" customHeight="1" thickBot="1" x14ac:dyDescent="0.3">
      <c r="A9" s="257">
        <v>8</v>
      </c>
      <c r="B9" s="259" t="s">
        <v>390</v>
      </c>
      <c r="C9" s="255">
        <v>32</v>
      </c>
      <c r="D9" s="255">
        <v>64.7</v>
      </c>
      <c r="E9" s="255">
        <v>22.4</v>
      </c>
      <c r="F9" s="255">
        <v>56.8</v>
      </c>
      <c r="G9" s="255">
        <v>39.5</v>
      </c>
      <c r="H9" s="255">
        <v>6.5</v>
      </c>
      <c r="I9" s="255">
        <v>21.8</v>
      </c>
      <c r="J9" s="255">
        <v>29.8</v>
      </c>
      <c r="K9" s="255">
        <v>13.3</v>
      </c>
      <c r="L9" s="255">
        <v>18.899999999999999</v>
      </c>
      <c r="M9" s="255">
        <v>70.400000000000006</v>
      </c>
      <c r="N9" s="255">
        <v>11.2</v>
      </c>
      <c r="O9" s="255">
        <v>23.8</v>
      </c>
      <c r="P9" s="255">
        <v>35</v>
      </c>
      <c r="Q9" s="255">
        <v>10.199999999999999</v>
      </c>
      <c r="R9" s="255">
        <v>7</v>
      </c>
      <c r="S9" s="255">
        <v>3.1</v>
      </c>
      <c r="T9" s="255">
        <v>12.3</v>
      </c>
      <c r="U9" s="255">
        <v>15.4</v>
      </c>
    </row>
    <row r="10" spans="1:21" ht="15.75" customHeight="1" thickBot="1" x14ac:dyDescent="0.3">
      <c r="A10" s="257">
        <v>9</v>
      </c>
      <c r="B10" s="259" t="s">
        <v>466</v>
      </c>
      <c r="C10" s="255">
        <v>30</v>
      </c>
      <c r="D10" s="255">
        <v>64.7</v>
      </c>
      <c r="E10" s="255">
        <v>22.7</v>
      </c>
      <c r="F10" s="255">
        <v>54.6</v>
      </c>
      <c r="G10" s="255">
        <v>41.6</v>
      </c>
      <c r="H10" s="255">
        <v>7.5</v>
      </c>
      <c r="I10" s="255">
        <v>21.3</v>
      </c>
      <c r="J10" s="255">
        <v>35.4</v>
      </c>
      <c r="K10" s="255">
        <v>11.8</v>
      </c>
      <c r="L10" s="255">
        <v>16.2</v>
      </c>
      <c r="M10" s="255">
        <v>72.8</v>
      </c>
      <c r="N10" s="255">
        <v>9.5</v>
      </c>
      <c r="O10" s="255">
        <v>23.4</v>
      </c>
      <c r="P10" s="255">
        <v>32.799999999999997</v>
      </c>
      <c r="Q10" s="255">
        <v>12.9</v>
      </c>
      <c r="R10" s="255">
        <v>6.4</v>
      </c>
      <c r="S10" s="255">
        <v>3.5</v>
      </c>
      <c r="T10" s="255">
        <v>11.7</v>
      </c>
      <c r="U10" s="255">
        <v>16.3</v>
      </c>
    </row>
    <row r="11" spans="1:21" ht="15.75" customHeight="1" thickBot="1" x14ac:dyDescent="0.3">
      <c r="A11" s="257">
        <v>10</v>
      </c>
      <c r="B11" s="259" t="s">
        <v>403</v>
      </c>
      <c r="C11" s="255">
        <v>30</v>
      </c>
      <c r="D11" s="255">
        <v>64.8</v>
      </c>
      <c r="E11" s="255">
        <v>21</v>
      </c>
      <c r="F11" s="255">
        <v>52.4</v>
      </c>
      <c r="G11" s="255">
        <v>40</v>
      </c>
      <c r="H11" s="255">
        <v>7.3</v>
      </c>
      <c r="I11" s="255">
        <v>22.3</v>
      </c>
      <c r="J11" s="255">
        <v>32.6</v>
      </c>
      <c r="K11" s="255">
        <v>15.6</v>
      </c>
      <c r="L11" s="255">
        <v>22</v>
      </c>
      <c r="M11" s="255">
        <v>71.2</v>
      </c>
      <c r="N11" s="255">
        <v>11.1</v>
      </c>
      <c r="O11" s="255">
        <v>22.3</v>
      </c>
      <c r="P11" s="255">
        <v>33.4</v>
      </c>
      <c r="Q11" s="255">
        <v>12.1</v>
      </c>
      <c r="R11" s="255">
        <v>6.3</v>
      </c>
      <c r="S11" s="255">
        <v>3.6</v>
      </c>
      <c r="T11" s="255">
        <v>14.6</v>
      </c>
      <c r="U11" s="255">
        <v>17.600000000000001</v>
      </c>
    </row>
    <row r="12" spans="1:21" ht="15.75" customHeight="1" thickBot="1" x14ac:dyDescent="0.3">
      <c r="A12" s="257">
        <v>11</v>
      </c>
      <c r="B12" s="259" t="s">
        <v>47</v>
      </c>
      <c r="C12" s="255">
        <v>30</v>
      </c>
      <c r="D12" s="255">
        <v>65.2</v>
      </c>
      <c r="E12" s="255">
        <v>21.7</v>
      </c>
      <c r="F12" s="255">
        <v>54.6</v>
      </c>
      <c r="G12" s="255">
        <v>39.799999999999997</v>
      </c>
      <c r="H12" s="255">
        <v>5.9</v>
      </c>
      <c r="I12" s="255">
        <v>19.399999999999999</v>
      </c>
      <c r="J12" s="255">
        <v>30.6</v>
      </c>
      <c r="K12" s="255">
        <v>15.8</v>
      </c>
      <c r="L12" s="255">
        <v>21.7</v>
      </c>
      <c r="M12" s="255">
        <v>72.5</v>
      </c>
      <c r="N12" s="255">
        <v>10.199999999999999</v>
      </c>
      <c r="O12" s="255">
        <v>21.3</v>
      </c>
      <c r="P12" s="255">
        <v>31.5</v>
      </c>
      <c r="Q12" s="255">
        <v>10.5</v>
      </c>
      <c r="R12" s="255">
        <v>5.7</v>
      </c>
      <c r="S12" s="255">
        <v>3.5</v>
      </c>
      <c r="T12" s="255">
        <v>12.2</v>
      </c>
      <c r="U12" s="255">
        <v>17.399999999999999</v>
      </c>
    </row>
    <row r="13" spans="1:21" ht="15.75" customHeight="1" thickBot="1" x14ac:dyDescent="0.3">
      <c r="A13" s="257">
        <v>12</v>
      </c>
      <c r="B13" s="259" t="s">
        <v>69</v>
      </c>
      <c r="C13" s="255">
        <v>30</v>
      </c>
      <c r="D13" s="255">
        <v>65.2</v>
      </c>
      <c r="E13" s="255">
        <v>22.5</v>
      </c>
      <c r="F13" s="255">
        <v>49.1</v>
      </c>
      <c r="G13" s="255">
        <v>45.8</v>
      </c>
      <c r="H13" s="255">
        <v>6.4</v>
      </c>
      <c r="I13" s="255">
        <v>18.899999999999999</v>
      </c>
      <c r="J13" s="255">
        <v>33.700000000000003</v>
      </c>
      <c r="K13" s="255">
        <v>13.9</v>
      </c>
      <c r="L13" s="255">
        <v>19</v>
      </c>
      <c r="M13" s="255">
        <v>73.5</v>
      </c>
      <c r="N13" s="255">
        <v>8.1</v>
      </c>
      <c r="O13" s="255">
        <v>20.5</v>
      </c>
      <c r="P13" s="255">
        <v>28.6</v>
      </c>
      <c r="Q13" s="255">
        <v>11.3</v>
      </c>
      <c r="R13" s="255">
        <v>4.9000000000000004</v>
      </c>
      <c r="S13" s="255">
        <v>2.8</v>
      </c>
      <c r="T13" s="255">
        <v>13.5</v>
      </c>
      <c r="U13" s="255">
        <v>17.7</v>
      </c>
    </row>
    <row r="14" spans="1:21" ht="15.75" customHeight="1" thickBot="1" x14ac:dyDescent="0.3">
      <c r="A14" s="257">
        <v>13</v>
      </c>
      <c r="B14" s="259" t="s">
        <v>189</v>
      </c>
      <c r="C14" s="255">
        <v>31</v>
      </c>
      <c r="D14" s="255">
        <v>65.400000000000006</v>
      </c>
      <c r="E14" s="255">
        <v>22.8</v>
      </c>
      <c r="F14" s="255">
        <v>57.6</v>
      </c>
      <c r="G14" s="255">
        <v>39.6</v>
      </c>
      <c r="H14" s="255">
        <v>7.6</v>
      </c>
      <c r="I14" s="255">
        <v>24.2</v>
      </c>
      <c r="J14" s="255">
        <v>31.3</v>
      </c>
      <c r="K14" s="255">
        <v>12.2</v>
      </c>
      <c r="L14" s="255">
        <v>17.3</v>
      </c>
      <c r="M14" s="255">
        <v>70.2</v>
      </c>
      <c r="N14" s="255">
        <v>10.5</v>
      </c>
      <c r="O14" s="255">
        <v>23.3</v>
      </c>
      <c r="P14" s="255">
        <v>33.799999999999997</v>
      </c>
      <c r="Q14" s="255">
        <v>11.7</v>
      </c>
      <c r="R14" s="255">
        <v>5.2</v>
      </c>
      <c r="S14" s="255">
        <v>2.5</v>
      </c>
      <c r="T14" s="255">
        <v>9.4</v>
      </c>
      <c r="U14" s="255">
        <v>19</v>
      </c>
    </row>
    <row r="15" spans="1:21" ht="15.75" customHeight="1" thickBot="1" x14ac:dyDescent="0.3">
      <c r="A15" s="257">
        <v>14</v>
      </c>
      <c r="B15" s="259" t="s">
        <v>306</v>
      </c>
      <c r="C15" s="255">
        <v>30</v>
      </c>
      <c r="D15" s="255">
        <v>65.5</v>
      </c>
      <c r="E15" s="255">
        <v>21.9</v>
      </c>
      <c r="F15" s="255">
        <v>55.4</v>
      </c>
      <c r="G15" s="255">
        <v>39.4</v>
      </c>
      <c r="H15" s="255">
        <v>8.6</v>
      </c>
      <c r="I15" s="255">
        <v>25.8</v>
      </c>
      <c r="J15" s="255">
        <v>33.299999999999997</v>
      </c>
      <c r="K15" s="255">
        <v>13.2</v>
      </c>
      <c r="L15" s="255">
        <v>19</v>
      </c>
      <c r="M15" s="255">
        <v>69.5</v>
      </c>
      <c r="N15" s="255">
        <v>10.8</v>
      </c>
      <c r="O15" s="255">
        <v>22.4</v>
      </c>
      <c r="P15" s="255">
        <v>33.1</v>
      </c>
      <c r="Q15" s="255">
        <v>12.3</v>
      </c>
      <c r="R15" s="255">
        <v>6.8</v>
      </c>
      <c r="S15" s="255">
        <v>3.7</v>
      </c>
      <c r="T15" s="255">
        <v>12.2</v>
      </c>
      <c r="U15" s="255">
        <v>16.399999999999999</v>
      </c>
    </row>
    <row r="16" spans="1:21" ht="15.75" customHeight="1" thickBot="1" x14ac:dyDescent="0.3">
      <c r="A16" s="257">
        <v>15</v>
      </c>
      <c r="B16" s="259" t="s">
        <v>76</v>
      </c>
      <c r="C16" s="255">
        <v>30</v>
      </c>
      <c r="D16" s="255">
        <v>65.7</v>
      </c>
      <c r="E16" s="255">
        <v>23.4</v>
      </c>
      <c r="F16" s="255">
        <v>58.4</v>
      </c>
      <c r="G16" s="255">
        <v>40</v>
      </c>
      <c r="H16" s="255">
        <v>8.5</v>
      </c>
      <c r="I16" s="255">
        <v>28.6</v>
      </c>
      <c r="J16" s="255">
        <v>29.6</v>
      </c>
      <c r="K16" s="255">
        <v>10.5</v>
      </c>
      <c r="L16" s="255">
        <v>14.5</v>
      </c>
      <c r="M16" s="255">
        <v>72.400000000000006</v>
      </c>
      <c r="N16" s="255">
        <v>10</v>
      </c>
      <c r="O16" s="255">
        <v>24.7</v>
      </c>
      <c r="P16" s="255">
        <v>34.700000000000003</v>
      </c>
      <c r="Q16" s="255">
        <v>14</v>
      </c>
      <c r="R16" s="255">
        <v>4.9000000000000004</v>
      </c>
      <c r="S16" s="255">
        <v>2.8</v>
      </c>
      <c r="T16" s="255">
        <v>12.9</v>
      </c>
      <c r="U16" s="255">
        <v>15.7</v>
      </c>
    </row>
    <row r="17" spans="1:21" ht="15.75" customHeight="1" thickBot="1" x14ac:dyDescent="0.3">
      <c r="A17" s="257">
        <v>16</v>
      </c>
      <c r="B17" s="259" t="s">
        <v>33</v>
      </c>
      <c r="C17" s="255">
        <v>30</v>
      </c>
      <c r="D17" s="255">
        <v>65.8</v>
      </c>
      <c r="E17" s="255">
        <v>23.6</v>
      </c>
      <c r="F17" s="255">
        <v>55.3</v>
      </c>
      <c r="G17" s="255">
        <v>42.7</v>
      </c>
      <c r="H17" s="255">
        <v>7.7</v>
      </c>
      <c r="I17" s="255">
        <v>23.7</v>
      </c>
      <c r="J17" s="255">
        <v>32.5</v>
      </c>
      <c r="K17" s="255">
        <v>10.9</v>
      </c>
      <c r="L17" s="255">
        <v>15.3</v>
      </c>
      <c r="M17" s="255">
        <v>71</v>
      </c>
      <c r="N17" s="255">
        <v>9.5</v>
      </c>
      <c r="O17" s="255">
        <v>21.5</v>
      </c>
      <c r="P17" s="255">
        <v>31</v>
      </c>
      <c r="Q17" s="255">
        <v>12.8</v>
      </c>
      <c r="R17" s="255">
        <v>6.7</v>
      </c>
      <c r="S17" s="255">
        <v>3.5</v>
      </c>
      <c r="T17" s="255">
        <v>15</v>
      </c>
      <c r="U17" s="255">
        <v>16.899999999999999</v>
      </c>
    </row>
    <row r="18" spans="1:21" ht="15.75" customHeight="1" thickBot="1" x14ac:dyDescent="0.3">
      <c r="A18" s="257">
        <v>17</v>
      </c>
      <c r="B18" s="259" t="s">
        <v>28</v>
      </c>
      <c r="C18" s="255">
        <v>31</v>
      </c>
      <c r="D18" s="255">
        <v>65.900000000000006</v>
      </c>
      <c r="E18" s="255">
        <v>23.9</v>
      </c>
      <c r="F18" s="255">
        <v>57</v>
      </c>
      <c r="G18" s="255">
        <v>42</v>
      </c>
      <c r="H18" s="255">
        <v>5.8</v>
      </c>
      <c r="I18" s="255">
        <v>19.899999999999999</v>
      </c>
      <c r="J18" s="255">
        <v>29.1</v>
      </c>
      <c r="K18" s="255">
        <v>12.3</v>
      </c>
      <c r="L18" s="255">
        <v>17.100000000000001</v>
      </c>
      <c r="M18" s="255">
        <v>71.8</v>
      </c>
      <c r="N18" s="255">
        <v>9.8000000000000007</v>
      </c>
      <c r="O18" s="255">
        <v>23.1</v>
      </c>
      <c r="P18" s="255">
        <v>32.799999999999997</v>
      </c>
      <c r="Q18" s="255">
        <v>10.9</v>
      </c>
      <c r="R18" s="255">
        <v>5.0999999999999996</v>
      </c>
      <c r="S18" s="255">
        <v>3.5</v>
      </c>
      <c r="T18" s="255">
        <v>11.6</v>
      </c>
      <c r="U18" s="255">
        <v>15.4</v>
      </c>
    </row>
    <row r="19" spans="1:21" ht="15.75" customHeight="1" thickBot="1" x14ac:dyDescent="0.3">
      <c r="A19" s="257">
        <v>18</v>
      </c>
      <c r="B19" s="259" t="s">
        <v>68</v>
      </c>
      <c r="C19" s="255">
        <v>30</v>
      </c>
      <c r="D19" s="255">
        <v>66</v>
      </c>
      <c r="E19" s="255">
        <v>22.5</v>
      </c>
      <c r="F19" s="255">
        <v>54.6</v>
      </c>
      <c r="G19" s="255">
        <v>41.3</v>
      </c>
      <c r="H19" s="255">
        <v>7.4</v>
      </c>
      <c r="I19" s="255">
        <v>23.4</v>
      </c>
      <c r="J19" s="255">
        <v>31.8</v>
      </c>
      <c r="K19" s="255">
        <v>13.5</v>
      </c>
      <c r="L19" s="255">
        <v>18</v>
      </c>
      <c r="M19" s="255">
        <v>74.8</v>
      </c>
      <c r="N19" s="255">
        <v>8.6</v>
      </c>
      <c r="O19" s="255">
        <v>23.3</v>
      </c>
      <c r="P19" s="255">
        <v>31.9</v>
      </c>
      <c r="Q19" s="255">
        <v>10.4</v>
      </c>
      <c r="R19" s="255">
        <v>5.8</v>
      </c>
      <c r="S19" s="255">
        <v>3.4</v>
      </c>
      <c r="T19" s="255">
        <v>11.5</v>
      </c>
      <c r="U19" s="255">
        <v>18.2</v>
      </c>
    </row>
    <row r="20" spans="1:21" ht="15.75" customHeight="1" thickBot="1" x14ac:dyDescent="0.3">
      <c r="A20" s="257">
        <v>19</v>
      </c>
      <c r="B20" s="259" t="s">
        <v>261</v>
      </c>
      <c r="C20" s="255">
        <v>30</v>
      </c>
      <c r="D20" s="255">
        <v>66</v>
      </c>
      <c r="E20" s="255">
        <v>23.4</v>
      </c>
      <c r="F20" s="255">
        <v>55.4</v>
      </c>
      <c r="G20" s="255">
        <v>42.3</v>
      </c>
      <c r="H20" s="255">
        <v>7.9</v>
      </c>
      <c r="I20" s="255">
        <v>23.3</v>
      </c>
      <c r="J20" s="255">
        <v>33.9</v>
      </c>
      <c r="K20" s="255">
        <v>11.2</v>
      </c>
      <c r="L20" s="255">
        <v>16.399999999999999</v>
      </c>
      <c r="M20" s="255">
        <v>68.599999999999994</v>
      </c>
      <c r="N20" s="255">
        <v>8.6999999999999993</v>
      </c>
      <c r="O20" s="255">
        <v>23.3</v>
      </c>
      <c r="P20" s="255">
        <v>32</v>
      </c>
      <c r="Q20" s="255">
        <v>14.2</v>
      </c>
      <c r="R20" s="255">
        <v>5.8</v>
      </c>
      <c r="S20" s="255">
        <v>3</v>
      </c>
      <c r="T20" s="255">
        <v>11.6</v>
      </c>
      <c r="U20" s="255">
        <v>15.5</v>
      </c>
    </row>
    <row r="21" spans="1:21" ht="15.75" customHeight="1" thickBot="1" x14ac:dyDescent="0.3">
      <c r="A21" s="257">
        <v>20</v>
      </c>
      <c r="B21" s="259" t="s">
        <v>276</v>
      </c>
      <c r="C21" s="255">
        <v>31</v>
      </c>
      <c r="D21" s="255">
        <v>66.2</v>
      </c>
      <c r="E21" s="255">
        <v>22.5</v>
      </c>
      <c r="F21" s="255">
        <v>58.2</v>
      </c>
      <c r="G21" s="255">
        <v>38.700000000000003</v>
      </c>
      <c r="H21" s="255">
        <v>7.5</v>
      </c>
      <c r="I21" s="255">
        <v>23.5</v>
      </c>
      <c r="J21" s="255">
        <v>31.9</v>
      </c>
      <c r="K21" s="255">
        <v>13.6</v>
      </c>
      <c r="L21" s="255">
        <v>19.2</v>
      </c>
      <c r="M21" s="255">
        <v>71</v>
      </c>
      <c r="N21" s="255">
        <v>11.3</v>
      </c>
      <c r="O21" s="255">
        <v>22.6</v>
      </c>
      <c r="P21" s="255">
        <v>33.9</v>
      </c>
      <c r="Q21" s="255">
        <v>12.7</v>
      </c>
      <c r="R21" s="255">
        <v>5.0999999999999996</v>
      </c>
      <c r="S21" s="255">
        <v>3.4</v>
      </c>
      <c r="T21" s="255">
        <v>10.199999999999999</v>
      </c>
      <c r="U21" s="255">
        <v>16.7</v>
      </c>
    </row>
    <row r="22" spans="1:21" ht="15.75" customHeight="1" thickBot="1" x14ac:dyDescent="0.3">
      <c r="A22" s="257">
        <v>21</v>
      </c>
      <c r="B22" s="259" t="s">
        <v>318</v>
      </c>
      <c r="C22" s="255">
        <v>31</v>
      </c>
      <c r="D22" s="255">
        <v>66.3</v>
      </c>
      <c r="E22" s="255">
        <v>21.4</v>
      </c>
      <c r="F22" s="255">
        <v>52.6</v>
      </c>
      <c r="G22" s="255">
        <v>40.6</v>
      </c>
      <c r="H22" s="255">
        <v>8.1999999999999993</v>
      </c>
      <c r="I22" s="255">
        <v>25.2</v>
      </c>
      <c r="J22" s="255">
        <v>32.6</v>
      </c>
      <c r="K22" s="255">
        <v>15.3</v>
      </c>
      <c r="L22" s="255">
        <v>21.3</v>
      </c>
      <c r="M22" s="255">
        <v>71.900000000000006</v>
      </c>
      <c r="N22" s="255">
        <v>11.9</v>
      </c>
      <c r="O22" s="255">
        <v>21.7</v>
      </c>
      <c r="P22" s="255">
        <v>33.6</v>
      </c>
      <c r="Q22" s="255">
        <v>12.1</v>
      </c>
      <c r="R22" s="255">
        <v>4.4000000000000004</v>
      </c>
      <c r="S22" s="255">
        <v>2.5</v>
      </c>
      <c r="T22" s="255">
        <v>16.899999999999999</v>
      </c>
      <c r="U22" s="255">
        <v>17.8</v>
      </c>
    </row>
    <row r="23" spans="1:21" ht="15.75" customHeight="1" thickBot="1" x14ac:dyDescent="0.3">
      <c r="A23" s="257">
        <v>21</v>
      </c>
      <c r="B23" s="259" t="s">
        <v>27</v>
      </c>
      <c r="C23" s="255">
        <v>31</v>
      </c>
      <c r="D23" s="255">
        <v>66.3</v>
      </c>
      <c r="E23" s="255">
        <v>22.8</v>
      </c>
      <c r="F23" s="255">
        <v>57.4</v>
      </c>
      <c r="G23" s="255">
        <v>39.700000000000003</v>
      </c>
      <c r="H23" s="255">
        <v>7.8</v>
      </c>
      <c r="I23" s="255">
        <v>24.9</v>
      </c>
      <c r="J23" s="255">
        <v>31.2</v>
      </c>
      <c r="K23" s="255">
        <v>12.9</v>
      </c>
      <c r="L23" s="255">
        <v>18.3</v>
      </c>
      <c r="M23" s="255">
        <v>70.8</v>
      </c>
      <c r="N23" s="255">
        <v>9.4</v>
      </c>
      <c r="O23" s="255">
        <v>22.5</v>
      </c>
      <c r="P23" s="255">
        <v>31.9</v>
      </c>
      <c r="Q23" s="255">
        <v>12.1</v>
      </c>
      <c r="R23" s="255">
        <v>5.3</v>
      </c>
      <c r="S23" s="255">
        <v>2.6</v>
      </c>
      <c r="T23" s="255">
        <v>14.7</v>
      </c>
      <c r="U23" s="255">
        <v>17.5</v>
      </c>
    </row>
    <row r="24" spans="1:21" ht="15.75" customHeight="1" thickBot="1" x14ac:dyDescent="0.3">
      <c r="A24" s="257">
        <v>23</v>
      </c>
      <c r="B24" s="259" t="s">
        <v>338</v>
      </c>
      <c r="C24" s="255">
        <v>31</v>
      </c>
      <c r="D24" s="255">
        <v>66.3</v>
      </c>
      <c r="E24" s="255">
        <v>24.1</v>
      </c>
      <c r="F24" s="255">
        <v>54.1</v>
      </c>
      <c r="G24" s="255">
        <v>44.5</v>
      </c>
      <c r="H24" s="255">
        <v>6.9</v>
      </c>
      <c r="I24" s="255">
        <v>20.5</v>
      </c>
      <c r="J24" s="255">
        <v>33.799999999999997</v>
      </c>
      <c r="K24" s="255">
        <v>11.2</v>
      </c>
      <c r="L24" s="255">
        <v>14.9</v>
      </c>
      <c r="M24" s="255">
        <v>75.5</v>
      </c>
      <c r="N24" s="255">
        <v>8.3000000000000007</v>
      </c>
      <c r="O24" s="255">
        <v>24.8</v>
      </c>
      <c r="P24" s="255">
        <v>33.1</v>
      </c>
      <c r="Q24" s="255">
        <v>11.5</v>
      </c>
      <c r="R24" s="255">
        <v>5.7</v>
      </c>
      <c r="S24" s="255">
        <v>2.2999999999999998</v>
      </c>
      <c r="T24" s="255">
        <v>11.4</v>
      </c>
      <c r="U24" s="255">
        <v>15.3</v>
      </c>
    </row>
    <row r="25" spans="1:21" ht="15.75" customHeight="1" thickBot="1" x14ac:dyDescent="0.3">
      <c r="A25" s="257">
        <v>24</v>
      </c>
      <c r="B25" s="259" t="s">
        <v>432</v>
      </c>
      <c r="C25" s="255">
        <v>31</v>
      </c>
      <c r="D25" s="255">
        <v>66.3</v>
      </c>
      <c r="E25" s="255">
        <v>23.8</v>
      </c>
      <c r="F25" s="255">
        <v>56.8</v>
      </c>
      <c r="G25" s="255">
        <v>41.9</v>
      </c>
      <c r="H25" s="255">
        <v>7.5</v>
      </c>
      <c r="I25" s="255">
        <v>23.7</v>
      </c>
      <c r="J25" s="255">
        <v>31.4</v>
      </c>
      <c r="K25" s="255">
        <v>11.3</v>
      </c>
      <c r="L25" s="255">
        <v>16.100000000000001</v>
      </c>
      <c r="M25" s="255">
        <v>70.2</v>
      </c>
      <c r="N25" s="255">
        <v>9.5</v>
      </c>
      <c r="O25" s="255">
        <v>23.8</v>
      </c>
      <c r="P25" s="255">
        <v>33.299999999999997</v>
      </c>
      <c r="Q25" s="255">
        <v>11.1</v>
      </c>
      <c r="R25" s="255">
        <v>5.2</v>
      </c>
      <c r="S25" s="255">
        <v>2.7</v>
      </c>
      <c r="T25" s="255">
        <v>10.1</v>
      </c>
      <c r="U25" s="255">
        <v>14.6</v>
      </c>
    </row>
    <row r="26" spans="1:21" ht="15.75" customHeight="1" thickBot="1" x14ac:dyDescent="0.3">
      <c r="A26" s="257">
        <v>25</v>
      </c>
      <c r="B26" s="259" t="s">
        <v>404</v>
      </c>
      <c r="C26" s="255">
        <v>31</v>
      </c>
      <c r="D26" s="255">
        <v>66.5</v>
      </c>
      <c r="E26" s="255">
        <v>24</v>
      </c>
      <c r="F26" s="255">
        <v>55.5</v>
      </c>
      <c r="G26" s="255">
        <v>43.2</v>
      </c>
      <c r="H26" s="255">
        <v>7.2</v>
      </c>
      <c r="I26" s="255">
        <v>21.8</v>
      </c>
      <c r="J26" s="255">
        <v>33.1</v>
      </c>
      <c r="K26" s="255">
        <v>11.3</v>
      </c>
      <c r="L26" s="255">
        <v>15.7</v>
      </c>
      <c r="M26" s="255">
        <v>72</v>
      </c>
      <c r="N26" s="255">
        <v>9.6</v>
      </c>
      <c r="O26" s="255">
        <v>21.7</v>
      </c>
      <c r="P26" s="255">
        <v>31.4</v>
      </c>
      <c r="Q26" s="255">
        <v>11.6</v>
      </c>
      <c r="R26" s="255">
        <v>6.7</v>
      </c>
      <c r="S26" s="255">
        <v>3.4</v>
      </c>
      <c r="T26" s="255">
        <v>11.4</v>
      </c>
      <c r="U26" s="255">
        <v>16.5</v>
      </c>
    </row>
    <row r="27" spans="1:21" ht="15.75" customHeight="1" thickBot="1" x14ac:dyDescent="0.3">
      <c r="A27" s="257">
        <v>26</v>
      </c>
      <c r="B27" s="259" t="s">
        <v>349</v>
      </c>
      <c r="C27" s="255">
        <v>31</v>
      </c>
      <c r="D27" s="255">
        <v>66.599999999999994</v>
      </c>
      <c r="E27" s="255">
        <v>22.3</v>
      </c>
      <c r="F27" s="255">
        <v>52.5</v>
      </c>
      <c r="G27" s="255">
        <v>42.4</v>
      </c>
      <c r="H27" s="255">
        <v>6.2</v>
      </c>
      <c r="I27" s="255">
        <v>20</v>
      </c>
      <c r="J27" s="255">
        <v>30.8</v>
      </c>
      <c r="K27" s="255">
        <v>15.9</v>
      </c>
      <c r="L27" s="255">
        <v>22.6</v>
      </c>
      <c r="M27" s="255">
        <v>70.5</v>
      </c>
      <c r="N27" s="255">
        <v>11.2</v>
      </c>
      <c r="O27" s="255">
        <v>23.5</v>
      </c>
      <c r="P27" s="255">
        <v>34.700000000000003</v>
      </c>
      <c r="Q27" s="255">
        <v>10.8</v>
      </c>
      <c r="R27" s="255">
        <v>6.4</v>
      </c>
      <c r="S27" s="255">
        <v>4.3</v>
      </c>
      <c r="T27" s="255">
        <v>15.1</v>
      </c>
      <c r="U27" s="255">
        <v>17.7</v>
      </c>
    </row>
    <row r="28" spans="1:21" ht="15.75" customHeight="1" thickBot="1" x14ac:dyDescent="0.3">
      <c r="A28" s="257">
        <v>27</v>
      </c>
      <c r="B28" s="259" t="s">
        <v>275</v>
      </c>
      <c r="C28" s="255">
        <v>27</v>
      </c>
      <c r="D28" s="255">
        <v>66.7</v>
      </c>
      <c r="E28" s="255">
        <v>24.1</v>
      </c>
      <c r="F28" s="255">
        <v>55.1</v>
      </c>
      <c r="G28" s="255">
        <v>43.8</v>
      </c>
      <c r="H28" s="255">
        <v>7</v>
      </c>
      <c r="I28" s="255">
        <v>22</v>
      </c>
      <c r="J28" s="255">
        <v>31.8</v>
      </c>
      <c r="K28" s="255">
        <v>11.4</v>
      </c>
      <c r="L28" s="255">
        <v>15.5</v>
      </c>
      <c r="M28" s="255">
        <v>73.7</v>
      </c>
      <c r="N28" s="255">
        <v>9.1999999999999993</v>
      </c>
      <c r="O28" s="255">
        <v>22.6</v>
      </c>
      <c r="P28" s="255">
        <v>31.8</v>
      </c>
      <c r="Q28" s="255">
        <v>12.5</v>
      </c>
      <c r="R28" s="255">
        <v>6.4</v>
      </c>
      <c r="S28" s="255">
        <v>2.5</v>
      </c>
      <c r="T28" s="255">
        <v>11.3</v>
      </c>
      <c r="U28" s="255">
        <v>14.5</v>
      </c>
    </row>
    <row r="29" spans="1:21" ht="15.75" customHeight="1" thickBot="1" x14ac:dyDescent="0.3">
      <c r="A29" s="257">
        <v>28</v>
      </c>
      <c r="B29" s="259" t="s">
        <v>99</v>
      </c>
      <c r="C29" s="255">
        <v>30</v>
      </c>
      <c r="D29" s="255">
        <v>67</v>
      </c>
      <c r="E29" s="255">
        <v>23</v>
      </c>
      <c r="F29" s="255">
        <v>57</v>
      </c>
      <c r="G29" s="255">
        <v>40.299999999999997</v>
      </c>
      <c r="H29" s="255">
        <v>8.4</v>
      </c>
      <c r="I29" s="255">
        <v>26.2</v>
      </c>
      <c r="J29" s="255">
        <v>32</v>
      </c>
      <c r="K29" s="255">
        <v>12.7</v>
      </c>
      <c r="L29" s="255">
        <v>17.100000000000001</v>
      </c>
      <c r="M29" s="255">
        <v>74.099999999999994</v>
      </c>
      <c r="N29" s="255">
        <v>8</v>
      </c>
      <c r="O29" s="255">
        <v>20.100000000000001</v>
      </c>
      <c r="P29" s="255">
        <v>28.1</v>
      </c>
      <c r="Q29" s="255">
        <v>13</v>
      </c>
      <c r="R29" s="255">
        <v>6.5</v>
      </c>
      <c r="S29" s="255">
        <v>2.9</v>
      </c>
      <c r="T29" s="255">
        <v>10</v>
      </c>
      <c r="U29" s="255">
        <v>18.7</v>
      </c>
    </row>
    <row r="30" spans="1:21" ht="15.75" customHeight="1" thickBot="1" x14ac:dyDescent="0.3">
      <c r="A30" s="257">
        <v>29</v>
      </c>
      <c r="B30" s="259" t="s">
        <v>244</v>
      </c>
      <c r="C30" s="255">
        <v>31</v>
      </c>
      <c r="D30" s="255">
        <v>67.099999999999994</v>
      </c>
      <c r="E30" s="255">
        <v>23.4</v>
      </c>
      <c r="F30" s="255">
        <v>56.3</v>
      </c>
      <c r="G30" s="255">
        <v>41.5</v>
      </c>
      <c r="H30" s="255">
        <v>5.8</v>
      </c>
      <c r="I30" s="255">
        <v>19.100000000000001</v>
      </c>
      <c r="J30" s="255">
        <v>30.3</v>
      </c>
      <c r="K30" s="255">
        <v>14.6</v>
      </c>
      <c r="L30" s="255">
        <v>19.399999999999999</v>
      </c>
      <c r="M30" s="255">
        <v>75.2</v>
      </c>
      <c r="N30" s="255">
        <v>10.7</v>
      </c>
      <c r="O30" s="255">
        <v>23.5</v>
      </c>
      <c r="P30" s="255">
        <v>34.200000000000003</v>
      </c>
      <c r="Q30" s="255">
        <v>10.8</v>
      </c>
      <c r="R30" s="255">
        <v>7.3</v>
      </c>
      <c r="S30" s="255">
        <v>2.9</v>
      </c>
      <c r="T30" s="255">
        <v>10.9</v>
      </c>
      <c r="U30" s="255">
        <v>16.5</v>
      </c>
    </row>
    <row r="31" spans="1:21" ht="15.75" customHeight="1" thickBot="1" x14ac:dyDescent="0.3">
      <c r="A31" s="257">
        <v>30</v>
      </c>
      <c r="B31" s="259" t="s">
        <v>91</v>
      </c>
      <c r="C31" s="255">
        <v>31</v>
      </c>
      <c r="D31" s="255">
        <v>67.099999999999994</v>
      </c>
      <c r="E31" s="255">
        <v>23.4</v>
      </c>
      <c r="F31" s="255">
        <v>57.7</v>
      </c>
      <c r="G31" s="255">
        <v>40.4</v>
      </c>
      <c r="H31" s="255">
        <v>7.3</v>
      </c>
      <c r="I31" s="255">
        <v>24.6</v>
      </c>
      <c r="J31" s="255">
        <v>29.5</v>
      </c>
      <c r="K31" s="255">
        <v>13.2</v>
      </c>
      <c r="L31" s="255">
        <v>17.7</v>
      </c>
      <c r="M31" s="255">
        <v>74.3</v>
      </c>
      <c r="N31" s="255">
        <v>9.5</v>
      </c>
      <c r="O31" s="255">
        <v>23.2</v>
      </c>
      <c r="P31" s="255">
        <v>32.799999999999997</v>
      </c>
      <c r="Q31" s="255">
        <v>10.8</v>
      </c>
      <c r="R31" s="255">
        <v>5.0999999999999996</v>
      </c>
      <c r="S31" s="255">
        <v>2.9</v>
      </c>
      <c r="T31" s="255">
        <v>10.3</v>
      </c>
      <c r="U31" s="255">
        <v>18.8</v>
      </c>
    </row>
    <row r="32" spans="1:21" ht="15.75" customHeight="1" thickBot="1" x14ac:dyDescent="0.3">
      <c r="A32" s="257">
        <v>31</v>
      </c>
      <c r="B32" s="259" t="s">
        <v>448</v>
      </c>
      <c r="C32" s="255">
        <v>29</v>
      </c>
      <c r="D32" s="255">
        <v>67.099999999999994</v>
      </c>
      <c r="E32" s="255">
        <v>23.2</v>
      </c>
      <c r="F32" s="255">
        <v>55.1</v>
      </c>
      <c r="G32" s="255">
        <v>42.2</v>
      </c>
      <c r="H32" s="255">
        <v>4.5999999999999996</v>
      </c>
      <c r="I32" s="255">
        <v>16.899999999999999</v>
      </c>
      <c r="J32" s="255">
        <v>27.3</v>
      </c>
      <c r="K32" s="255">
        <v>16</v>
      </c>
      <c r="L32" s="255">
        <v>22.9</v>
      </c>
      <c r="M32" s="255">
        <v>70.099999999999994</v>
      </c>
      <c r="N32" s="255">
        <v>10.3</v>
      </c>
      <c r="O32" s="255">
        <v>21.3</v>
      </c>
      <c r="P32" s="255">
        <v>31.6</v>
      </c>
      <c r="Q32" s="255">
        <v>11.5</v>
      </c>
      <c r="R32" s="255">
        <v>7.6</v>
      </c>
      <c r="S32" s="255">
        <v>3.2</v>
      </c>
      <c r="T32" s="255">
        <v>12.7</v>
      </c>
      <c r="U32" s="255">
        <v>18.3</v>
      </c>
    </row>
    <row r="33" spans="1:21" ht="15.75" customHeight="1" thickBot="1" x14ac:dyDescent="0.3">
      <c r="A33" s="257">
        <v>31</v>
      </c>
      <c r="B33" s="259" t="s">
        <v>14</v>
      </c>
      <c r="C33" s="255">
        <v>29</v>
      </c>
      <c r="D33" s="255">
        <v>67.099999999999994</v>
      </c>
      <c r="E33" s="255">
        <v>25.2</v>
      </c>
      <c r="F33" s="255">
        <v>59.3</v>
      </c>
      <c r="G33" s="255">
        <v>42.4</v>
      </c>
      <c r="H33" s="255">
        <v>6.7</v>
      </c>
      <c r="I33" s="255">
        <v>21.5</v>
      </c>
      <c r="J33" s="255">
        <v>31.1</v>
      </c>
      <c r="K33" s="255">
        <v>10.1</v>
      </c>
      <c r="L33" s="255">
        <v>14.8</v>
      </c>
      <c r="M33" s="255">
        <v>68.099999999999994</v>
      </c>
      <c r="N33" s="255">
        <v>9</v>
      </c>
      <c r="O33" s="255">
        <v>24.1</v>
      </c>
      <c r="P33" s="255">
        <v>33.1</v>
      </c>
      <c r="Q33" s="255">
        <v>10.8</v>
      </c>
      <c r="R33" s="255">
        <v>5.6</v>
      </c>
      <c r="S33" s="255">
        <v>2.2999999999999998</v>
      </c>
      <c r="T33" s="255">
        <v>10.3</v>
      </c>
      <c r="U33" s="255">
        <v>15.3</v>
      </c>
    </row>
    <row r="34" spans="1:21" ht="15.75" customHeight="1" thickBot="1" x14ac:dyDescent="0.3">
      <c r="A34" s="257">
        <v>33</v>
      </c>
      <c r="B34" s="259" t="s">
        <v>213</v>
      </c>
      <c r="C34" s="255">
        <v>30</v>
      </c>
      <c r="D34" s="255">
        <v>67.400000000000006</v>
      </c>
      <c r="E34" s="255">
        <v>23.5</v>
      </c>
      <c r="F34" s="255">
        <v>56.8</v>
      </c>
      <c r="G34" s="255">
        <v>41.3</v>
      </c>
      <c r="H34" s="255">
        <v>5.4</v>
      </c>
      <c r="I34" s="255">
        <v>18.2</v>
      </c>
      <c r="J34" s="255">
        <v>29.7</v>
      </c>
      <c r="K34" s="255">
        <v>15.1</v>
      </c>
      <c r="L34" s="255">
        <v>20.9</v>
      </c>
      <c r="M34" s="255">
        <v>72</v>
      </c>
      <c r="N34" s="255">
        <v>9.9</v>
      </c>
      <c r="O34" s="255">
        <v>22.9</v>
      </c>
      <c r="P34" s="255">
        <v>32.799999999999997</v>
      </c>
      <c r="Q34" s="255">
        <v>10.8</v>
      </c>
      <c r="R34" s="255">
        <v>6.8</v>
      </c>
      <c r="S34" s="255">
        <v>4</v>
      </c>
      <c r="T34" s="255">
        <v>11.6</v>
      </c>
      <c r="U34" s="255">
        <v>18.399999999999999</v>
      </c>
    </row>
    <row r="35" spans="1:21" ht="15.75" customHeight="1" thickBot="1" x14ac:dyDescent="0.3">
      <c r="A35" s="257">
        <v>34</v>
      </c>
      <c r="B35" s="259" t="s">
        <v>48</v>
      </c>
      <c r="C35" s="255">
        <v>31</v>
      </c>
      <c r="D35" s="255">
        <v>67.5</v>
      </c>
      <c r="E35" s="255">
        <v>23.3</v>
      </c>
      <c r="F35" s="255">
        <v>55.4</v>
      </c>
      <c r="G35" s="255">
        <v>42</v>
      </c>
      <c r="H35" s="255">
        <v>5.5</v>
      </c>
      <c r="I35" s="255">
        <v>18</v>
      </c>
      <c r="J35" s="255">
        <v>30.5</v>
      </c>
      <c r="K35" s="255">
        <v>15.5</v>
      </c>
      <c r="L35" s="255">
        <v>21.2</v>
      </c>
      <c r="M35" s="255">
        <v>73</v>
      </c>
      <c r="N35" s="255">
        <v>13.9</v>
      </c>
      <c r="O35" s="255">
        <v>24.3</v>
      </c>
      <c r="P35" s="255">
        <v>38.200000000000003</v>
      </c>
      <c r="Q35" s="255">
        <v>12.9</v>
      </c>
      <c r="R35" s="255">
        <v>4.9000000000000004</v>
      </c>
      <c r="S35" s="255">
        <v>3.4</v>
      </c>
      <c r="T35" s="255">
        <v>12.8</v>
      </c>
      <c r="U35" s="255">
        <v>17.100000000000001</v>
      </c>
    </row>
    <row r="36" spans="1:21" ht="15.75" customHeight="1" thickBot="1" x14ac:dyDescent="0.3">
      <c r="A36" s="257">
        <v>35</v>
      </c>
      <c r="B36" s="259" t="s">
        <v>225</v>
      </c>
      <c r="C36" s="255">
        <v>30</v>
      </c>
      <c r="D36" s="255">
        <v>67.5</v>
      </c>
      <c r="E36" s="255">
        <v>23.9</v>
      </c>
      <c r="F36" s="255">
        <v>57.6</v>
      </c>
      <c r="G36" s="255">
        <v>41.5</v>
      </c>
      <c r="H36" s="255">
        <v>7.5</v>
      </c>
      <c r="I36" s="255">
        <v>23.4</v>
      </c>
      <c r="J36" s="255">
        <v>31.9</v>
      </c>
      <c r="K36" s="255">
        <v>12.2</v>
      </c>
      <c r="L36" s="255">
        <v>17.2</v>
      </c>
      <c r="M36" s="255">
        <v>71</v>
      </c>
      <c r="N36" s="255">
        <v>9.5</v>
      </c>
      <c r="O36" s="255">
        <v>25.2</v>
      </c>
      <c r="P36" s="255">
        <v>34.700000000000003</v>
      </c>
      <c r="Q36" s="255">
        <v>13</v>
      </c>
      <c r="R36" s="255">
        <v>5.7</v>
      </c>
      <c r="S36" s="255">
        <v>2.4</v>
      </c>
      <c r="T36" s="255">
        <v>13.1</v>
      </c>
      <c r="U36" s="255">
        <v>16.3</v>
      </c>
    </row>
    <row r="37" spans="1:21" ht="15.75" customHeight="1" thickBot="1" x14ac:dyDescent="0.3">
      <c r="A37" s="257">
        <v>36</v>
      </c>
      <c r="B37" s="259" t="s">
        <v>321</v>
      </c>
      <c r="C37" s="255">
        <v>32</v>
      </c>
      <c r="D37" s="255">
        <v>67.5</v>
      </c>
      <c r="E37" s="255">
        <v>23.2</v>
      </c>
      <c r="F37" s="255">
        <v>52.9</v>
      </c>
      <c r="G37" s="255">
        <v>43.9</v>
      </c>
      <c r="H37" s="255">
        <v>5.9</v>
      </c>
      <c r="I37" s="255">
        <v>18.2</v>
      </c>
      <c r="J37" s="255">
        <v>32.6</v>
      </c>
      <c r="K37" s="255">
        <v>15.2</v>
      </c>
      <c r="L37" s="255">
        <v>21.7</v>
      </c>
      <c r="M37" s="255">
        <v>69.8</v>
      </c>
      <c r="N37" s="255">
        <v>10</v>
      </c>
      <c r="O37" s="255">
        <v>24.5</v>
      </c>
      <c r="P37" s="255">
        <v>34.5</v>
      </c>
      <c r="Q37" s="255">
        <v>12.1</v>
      </c>
      <c r="R37" s="255">
        <v>5</v>
      </c>
      <c r="S37" s="255">
        <v>2.2999999999999998</v>
      </c>
      <c r="T37" s="255">
        <v>13</v>
      </c>
      <c r="U37" s="255">
        <v>15.2</v>
      </c>
    </row>
    <row r="38" spans="1:21" ht="15.75" customHeight="1" thickBot="1" x14ac:dyDescent="0.3">
      <c r="A38" s="257">
        <v>37</v>
      </c>
      <c r="B38" s="259" t="s">
        <v>402</v>
      </c>
      <c r="C38" s="255">
        <v>31</v>
      </c>
      <c r="D38" s="255">
        <v>67.5</v>
      </c>
      <c r="E38" s="255">
        <v>23.6</v>
      </c>
      <c r="F38" s="255">
        <v>56.4</v>
      </c>
      <c r="G38" s="255">
        <v>41.8</v>
      </c>
      <c r="H38" s="255">
        <v>6.7</v>
      </c>
      <c r="I38" s="255">
        <v>21</v>
      </c>
      <c r="J38" s="255">
        <v>32.1</v>
      </c>
      <c r="K38" s="255">
        <v>13.6</v>
      </c>
      <c r="L38" s="255">
        <v>18.399999999999999</v>
      </c>
      <c r="M38" s="255">
        <v>74.099999999999994</v>
      </c>
      <c r="N38" s="255">
        <v>10.5</v>
      </c>
      <c r="O38" s="255">
        <v>25.4</v>
      </c>
      <c r="P38" s="255">
        <v>35.799999999999997</v>
      </c>
      <c r="Q38" s="255">
        <v>12.6</v>
      </c>
      <c r="R38" s="255">
        <v>6.7</v>
      </c>
      <c r="S38" s="255">
        <v>3.3</v>
      </c>
      <c r="T38" s="255">
        <v>14.9</v>
      </c>
      <c r="U38" s="255">
        <v>17.8</v>
      </c>
    </row>
    <row r="39" spans="1:21" ht="15.75" customHeight="1" thickBot="1" x14ac:dyDescent="0.3">
      <c r="A39" s="257">
        <v>38</v>
      </c>
      <c r="B39" s="259" t="s">
        <v>54</v>
      </c>
      <c r="C39" s="255">
        <v>30</v>
      </c>
      <c r="D39" s="255">
        <v>67.7</v>
      </c>
      <c r="E39" s="255">
        <v>23.1</v>
      </c>
      <c r="F39" s="255">
        <v>55.9</v>
      </c>
      <c r="G39" s="255">
        <v>41.3</v>
      </c>
      <c r="H39" s="255">
        <v>6.5</v>
      </c>
      <c r="I39" s="255">
        <v>19</v>
      </c>
      <c r="J39" s="255">
        <v>34</v>
      </c>
      <c r="K39" s="255">
        <v>15.1</v>
      </c>
      <c r="L39" s="255">
        <v>20.9</v>
      </c>
      <c r="M39" s="255">
        <v>72</v>
      </c>
      <c r="N39" s="255">
        <v>10.8</v>
      </c>
      <c r="O39" s="255">
        <v>20.3</v>
      </c>
      <c r="P39" s="255">
        <v>31.1</v>
      </c>
      <c r="Q39" s="255">
        <v>12.5</v>
      </c>
      <c r="R39" s="255">
        <v>8.1999999999999993</v>
      </c>
      <c r="S39" s="255">
        <v>2.8</v>
      </c>
      <c r="T39" s="255">
        <v>15.5</v>
      </c>
      <c r="U39" s="255">
        <v>17.899999999999999</v>
      </c>
    </row>
    <row r="40" spans="1:21" ht="15.75" customHeight="1" thickBot="1" x14ac:dyDescent="0.3">
      <c r="A40" s="257">
        <v>39</v>
      </c>
      <c r="B40" s="259" t="s">
        <v>236</v>
      </c>
      <c r="C40" s="255">
        <v>30</v>
      </c>
      <c r="D40" s="255">
        <v>67.8</v>
      </c>
      <c r="E40" s="255">
        <v>24</v>
      </c>
      <c r="F40" s="255">
        <v>54.4</v>
      </c>
      <c r="G40" s="255">
        <v>44.1</v>
      </c>
      <c r="H40" s="255">
        <v>6.5</v>
      </c>
      <c r="I40" s="255">
        <v>20</v>
      </c>
      <c r="J40" s="255">
        <v>32.299999999999997</v>
      </c>
      <c r="K40" s="255">
        <v>13.3</v>
      </c>
      <c r="L40" s="255">
        <v>19.399999999999999</v>
      </c>
      <c r="M40" s="255">
        <v>68.400000000000006</v>
      </c>
      <c r="N40" s="255">
        <v>9.8000000000000007</v>
      </c>
      <c r="O40" s="255">
        <v>23.5</v>
      </c>
      <c r="P40" s="255">
        <v>33.200000000000003</v>
      </c>
      <c r="Q40" s="255">
        <v>11.3</v>
      </c>
      <c r="R40" s="255">
        <v>6.1</v>
      </c>
      <c r="S40" s="255">
        <v>2.9</v>
      </c>
      <c r="T40" s="255">
        <v>11.7</v>
      </c>
      <c r="U40" s="255">
        <v>16.899999999999999</v>
      </c>
    </row>
    <row r="41" spans="1:21" ht="15.75" customHeight="1" thickBot="1" x14ac:dyDescent="0.3">
      <c r="A41" s="257">
        <v>40</v>
      </c>
      <c r="B41" s="259" t="s">
        <v>265</v>
      </c>
      <c r="C41" s="255">
        <v>30</v>
      </c>
      <c r="D41" s="255">
        <v>68</v>
      </c>
      <c r="E41" s="255">
        <v>24.3</v>
      </c>
      <c r="F41" s="255">
        <v>57.1</v>
      </c>
      <c r="G41" s="255">
        <v>42.6</v>
      </c>
      <c r="H41" s="255">
        <v>8.1</v>
      </c>
      <c r="I41" s="255">
        <v>24.5</v>
      </c>
      <c r="J41" s="255">
        <v>33.200000000000003</v>
      </c>
      <c r="K41" s="255">
        <v>11.2</v>
      </c>
      <c r="L41" s="255">
        <v>15.9</v>
      </c>
      <c r="M41" s="255">
        <v>70.599999999999994</v>
      </c>
      <c r="N41" s="255">
        <v>9.9</v>
      </c>
      <c r="O41" s="255">
        <v>21.2</v>
      </c>
      <c r="P41" s="255">
        <v>31.1</v>
      </c>
      <c r="Q41" s="255">
        <v>12.8</v>
      </c>
      <c r="R41" s="255">
        <v>6.3</v>
      </c>
      <c r="S41" s="255">
        <v>3.4</v>
      </c>
      <c r="T41" s="255">
        <v>10.3</v>
      </c>
      <c r="U41" s="255">
        <v>19.5</v>
      </c>
    </row>
    <row r="42" spans="1:21" ht="15.75" customHeight="1" thickBot="1" x14ac:dyDescent="0.3">
      <c r="A42" s="257">
        <v>41</v>
      </c>
      <c r="B42" s="259" t="s">
        <v>438</v>
      </c>
      <c r="C42" s="255">
        <v>31</v>
      </c>
      <c r="D42" s="255">
        <v>68</v>
      </c>
      <c r="E42" s="255">
        <v>24</v>
      </c>
      <c r="F42" s="255">
        <v>63</v>
      </c>
      <c r="G42" s="255">
        <v>38.1</v>
      </c>
      <c r="H42" s="255">
        <v>7.8</v>
      </c>
      <c r="I42" s="255">
        <v>23.6</v>
      </c>
      <c r="J42" s="255">
        <v>32.9</v>
      </c>
      <c r="K42" s="255">
        <v>12.3</v>
      </c>
      <c r="L42" s="255">
        <v>17.3</v>
      </c>
      <c r="M42" s="255">
        <v>71.099999999999994</v>
      </c>
      <c r="N42" s="255">
        <v>12.9</v>
      </c>
      <c r="O42" s="255">
        <v>24.3</v>
      </c>
      <c r="P42" s="255">
        <v>37.200000000000003</v>
      </c>
      <c r="Q42" s="255">
        <v>12.9</v>
      </c>
      <c r="R42" s="255">
        <v>6.5</v>
      </c>
      <c r="S42" s="255">
        <v>3.6</v>
      </c>
      <c r="T42" s="255">
        <v>13.8</v>
      </c>
      <c r="U42" s="255">
        <v>18.399999999999999</v>
      </c>
    </row>
    <row r="43" spans="1:21" ht="15.75" customHeight="1" thickBot="1" x14ac:dyDescent="0.3">
      <c r="A43" s="257">
        <v>42</v>
      </c>
      <c r="B43" s="259" t="s">
        <v>12</v>
      </c>
      <c r="C43" s="255">
        <v>31</v>
      </c>
      <c r="D43" s="255">
        <v>68.099999999999994</v>
      </c>
      <c r="E43" s="255">
        <v>23.2</v>
      </c>
      <c r="F43" s="255">
        <v>55.3</v>
      </c>
      <c r="G43" s="255">
        <v>42</v>
      </c>
      <c r="H43" s="255">
        <v>5.6</v>
      </c>
      <c r="I43" s="255">
        <v>18.899999999999999</v>
      </c>
      <c r="J43" s="255">
        <v>29.6</v>
      </c>
      <c r="K43" s="255">
        <v>16.100000000000001</v>
      </c>
      <c r="L43" s="255">
        <v>22.8</v>
      </c>
      <c r="M43" s="255">
        <v>70.3</v>
      </c>
      <c r="N43" s="255">
        <v>10.6</v>
      </c>
      <c r="O43" s="255">
        <v>21</v>
      </c>
      <c r="P43" s="255">
        <v>31.7</v>
      </c>
      <c r="Q43" s="255">
        <v>10.5</v>
      </c>
      <c r="R43" s="255">
        <v>6</v>
      </c>
      <c r="S43" s="255">
        <v>4</v>
      </c>
      <c r="T43" s="255">
        <v>15</v>
      </c>
      <c r="U43" s="255">
        <v>19.5</v>
      </c>
    </row>
    <row r="44" spans="1:21" ht="15.75" customHeight="1" thickBot="1" x14ac:dyDescent="0.3">
      <c r="A44" s="257">
        <v>43</v>
      </c>
      <c r="B44" s="259" t="s">
        <v>72</v>
      </c>
      <c r="C44" s="255">
        <v>30</v>
      </c>
      <c r="D44" s="255">
        <v>68.099999999999994</v>
      </c>
      <c r="E44" s="255">
        <v>23.4</v>
      </c>
      <c r="F44" s="255">
        <v>59</v>
      </c>
      <c r="G44" s="255">
        <v>39.6</v>
      </c>
      <c r="H44" s="255">
        <v>6.7</v>
      </c>
      <c r="I44" s="255">
        <v>21.9</v>
      </c>
      <c r="J44" s="255">
        <v>30.8</v>
      </c>
      <c r="K44" s="255">
        <v>14.7</v>
      </c>
      <c r="L44" s="255">
        <v>19.600000000000001</v>
      </c>
      <c r="M44" s="255">
        <v>74.7</v>
      </c>
      <c r="N44" s="255">
        <v>10.9</v>
      </c>
      <c r="O44" s="255">
        <v>21.8</v>
      </c>
      <c r="P44" s="255">
        <v>32.700000000000003</v>
      </c>
      <c r="Q44" s="255">
        <v>11.7</v>
      </c>
      <c r="R44" s="255">
        <v>6.4</v>
      </c>
      <c r="S44" s="255">
        <v>3.1</v>
      </c>
      <c r="T44" s="255">
        <v>10.8</v>
      </c>
      <c r="U44" s="255">
        <v>18</v>
      </c>
    </row>
    <row r="45" spans="1:21" ht="15.75" customHeight="1" thickBot="1" x14ac:dyDescent="0.3">
      <c r="A45" s="257">
        <v>44</v>
      </c>
      <c r="B45" s="259" t="s">
        <v>427</v>
      </c>
      <c r="C45" s="255">
        <v>31</v>
      </c>
      <c r="D45" s="255">
        <v>68.2</v>
      </c>
      <c r="E45" s="255">
        <v>22.6</v>
      </c>
      <c r="F45" s="255">
        <v>52.5</v>
      </c>
      <c r="G45" s="255">
        <v>43</v>
      </c>
      <c r="H45" s="255">
        <v>5.7</v>
      </c>
      <c r="I45" s="255">
        <v>18.8</v>
      </c>
      <c r="J45" s="255">
        <v>30.5</v>
      </c>
      <c r="K45" s="255">
        <v>17.2</v>
      </c>
      <c r="L45" s="255">
        <v>24.3</v>
      </c>
      <c r="M45" s="255">
        <v>70.900000000000006</v>
      </c>
      <c r="N45" s="255">
        <v>9</v>
      </c>
      <c r="O45" s="255">
        <v>23.3</v>
      </c>
      <c r="P45" s="255">
        <v>32.299999999999997</v>
      </c>
      <c r="Q45" s="255">
        <v>11</v>
      </c>
      <c r="R45" s="255">
        <v>7.1</v>
      </c>
      <c r="S45" s="255">
        <v>4</v>
      </c>
      <c r="T45" s="255">
        <v>14.1</v>
      </c>
      <c r="U45" s="255">
        <v>18.7</v>
      </c>
    </row>
    <row r="46" spans="1:21" ht="15.75" customHeight="1" thickBot="1" x14ac:dyDescent="0.3">
      <c r="A46" s="257">
        <v>45</v>
      </c>
      <c r="B46" s="259" t="s">
        <v>395</v>
      </c>
      <c r="C46" s="255">
        <v>28</v>
      </c>
      <c r="D46" s="255">
        <v>68.2</v>
      </c>
      <c r="E46" s="255">
        <v>22</v>
      </c>
      <c r="F46" s="255">
        <v>52.3</v>
      </c>
      <c r="G46" s="255">
        <v>42</v>
      </c>
      <c r="H46" s="255">
        <v>6</v>
      </c>
      <c r="I46" s="255">
        <v>18.600000000000001</v>
      </c>
      <c r="J46" s="255">
        <v>32.200000000000003</v>
      </c>
      <c r="K46" s="255">
        <v>18.2</v>
      </c>
      <c r="L46" s="255">
        <v>24.3</v>
      </c>
      <c r="M46" s="255">
        <v>74.900000000000006</v>
      </c>
      <c r="N46" s="255">
        <v>11.1</v>
      </c>
      <c r="O46" s="255">
        <v>23.1</v>
      </c>
      <c r="P46" s="255">
        <v>34.299999999999997</v>
      </c>
      <c r="Q46" s="255">
        <v>11.8</v>
      </c>
      <c r="R46" s="255">
        <v>6</v>
      </c>
      <c r="S46" s="255">
        <v>3.5</v>
      </c>
      <c r="T46" s="255">
        <v>13.8</v>
      </c>
      <c r="U46" s="255">
        <v>17.899999999999999</v>
      </c>
    </row>
    <row r="47" spans="1:21" ht="15.75" customHeight="1" thickBot="1" x14ac:dyDescent="0.3">
      <c r="A47" s="257">
        <v>46</v>
      </c>
      <c r="B47" s="259" t="s">
        <v>84</v>
      </c>
      <c r="C47" s="255">
        <v>30</v>
      </c>
      <c r="D47" s="255">
        <v>68.2</v>
      </c>
      <c r="E47" s="255">
        <v>24.2</v>
      </c>
      <c r="F47" s="255">
        <v>62.4</v>
      </c>
      <c r="G47" s="255">
        <v>38.799999999999997</v>
      </c>
      <c r="H47" s="255">
        <v>7.2</v>
      </c>
      <c r="I47" s="255">
        <v>23.2</v>
      </c>
      <c r="J47" s="255">
        <v>31.1</v>
      </c>
      <c r="K47" s="255">
        <v>12.6</v>
      </c>
      <c r="L47" s="255">
        <v>17.7</v>
      </c>
      <c r="M47" s="255">
        <v>71.099999999999994</v>
      </c>
      <c r="N47" s="255">
        <v>10.7</v>
      </c>
      <c r="O47" s="255">
        <v>20.7</v>
      </c>
      <c r="P47" s="255">
        <v>31.4</v>
      </c>
      <c r="Q47" s="255">
        <v>11.9</v>
      </c>
      <c r="R47" s="255">
        <v>6</v>
      </c>
      <c r="S47" s="255">
        <v>3.9</v>
      </c>
      <c r="T47" s="255">
        <v>12.3</v>
      </c>
      <c r="U47" s="255">
        <v>19.7</v>
      </c>
    </row>
    <row r="48" spans="1:21" ht="15.75" customHeight="1" thickBot="1" x14ac:dyDescent="0.3">
      <c r="A48" s="257">
        <v>47</v>
      </c>
      <c r="B48" s="259" t="s">
        <v>282</v>
      </c>
      <c r="C48" s="255">
        <v>31</v>
      </c>
      <c r="D48" s="255">
        <v>68.3</v>
      </c>
      <c r="E48" s="255">
        <v>24.5</v>
      </c>
      <c r="F48" s="255">
        <v>56.6</v>
      </c>
      <c r="G48" s="255">
        <v>43.3</v>
      </c>
      <c r="H48" s="255">
        <v>6.5</v>
      </c>
      <c r="I48" s="255">
        <v>19.899999999999999</v>
      </c>
      <c r="J48" s="255">
        <v>32.6</v>
      </c>
      <c r="K48" s="255">
        <v>12.7</v>
      </c>
      <c r="L48" s="255">
        <v>18.600000000000001</v>
      </c>
      <c r="M48" s="255">
        <v>68.2</v>
      </c>
      <c r="N48" s="255">
        <v>8.9</v>
      </c>
      <c r="O48" s="255">
        <v>23.3</v>
      </c>
      <c r="P48" s="255">
        <v>32.200000000000003</v>
      </c>
      <c r="Q48" s="255">
        <v>12.3</v>
      </c>
      <c r="R48" s="255">
        <v>6</v>
      </c>
      <c r="S48" s="255">
        <v>2.8</v>
      </c>
      <c r="T48" s="255">
        <v>11</v>
      </c>
      <c r="U48" s="255">
        <v>17.2</v>
      </c>
    </row>
    <row r="49" spans="1:21" ht="15.75" customHeight="1" thickBot="1" x14ac:dyDescent="0.3">
      <c r="A49" s="257">
        <v>48</v>
      </c>
      <c r="B49" s="259" t="s">
        <v>272</v>
      </c>
      <c r="C49" s="255">
        <v>30</v>
      </c>
      <c r="D49" s="255">
        <v>68.400000000000006</v>
      </c>
      <c r="E49" s="255">
        <v>23.1</v>
      </c>
      <c r="F49" s="255">
        <v>55.8</v>
      </c>
      <c r="G49" s="255">
        <v>41.3</v>
      </c>
      <c r="H49" s="255">
        <v>6.9</v>
      </c>
      <c r="I49" s="255">
        <v>21.6</v>
      </c>
      <c r="J49" s="255">
        <v>32.1</v>
      </c>
      <c r="K49" s="255">
        <v>15.4</v>
      </c>
      <c r="L49" s="255">
        <v>21.1</v>
      </c>
      <c r="M49" s="255">
        <v>72.7</v>
      </c>
      <c r="N49" s="255">
        <v>8.9</v>
      </c>
      <c r="O49" s="255">
        <v>22.5</v>
      </c>
      <c r="P49" s="255">
        <v>31.4</v>
      </c>
      <c r="Q49" s="255">
        <v>11.8</v>
      </c>
      <c r="R49" s="255">
        <v>6.5</v>
      </c>
      <c r="S49" s="255">
        <v>2.7</v>
      </c>
      <c r="T49" s="255">
        <v>12</v>
      </c>
      <c r="U49" s="255">
        <v>20.2</v>
      </c>
    </row>
    <row r="50" spans="1:21" ht="15.75" customHeight="1" thickBot="1" x14ac:dyDescent="0.3">
      <c r="A50" s="257">
        <v>49</v>
      </c>
      <c r="B50" s="259" t="s">
        <v>383</v>
      </c>
      <c r="C50" s="255">
        <v>30</v>
      </c>
      <c r="D50" s="255">
        <v>68.5</v>
      </c>
      <c r="E50" s="255">
        <v>22.6</v>
      </c>
      <c r="F50" s="255">
        <v>52</v>
      </c>
      <c r="G50" s="255">
        <v>43.5</v>
      </c>
      <c r="H50" s="255">
        <v>7.6</v>
      </c>
      <c r="I50" s="255">
        <v>21.6</v>
      </c>
      <c r="J50" s="255">
        <v>35</v>
      </c>
      <c r="K50" s="255">
        <v>15.6</v>
      </c>
      <c r="L50" s="255">
        <v>22.1</v>
      </c>
      <c r="M50" s="255">
        <v>70.599999999999994</v>
      </c>
      <c r="N50" s="255">
        <v>10.199999999999999</v>
      </c>
      <c r="O50" s="255">
        <v>23.3</v>
      </c>
      <c r="P50" s="255">
        <v>33.6</v>
      </c>
      <c r="Q50" s="255">
        <v>12.2</v>
      </c>
      <c r="R50" s="255">
        <v>7.9</v>
      </c>
      <c r="S50" s="255">
        <v>3.2</v>
      </c>
      <c r="T50" s="255">
        <v>14.4</v>
      </c>
      <c r="U50" s="255">
        <v>19</v>
      </c>
    </row>
    <row r="51" spans="1:21" ht="15.75" customHeight="1" thickBot="1" x14ac:dyDescent="0.3">
      <c r="A51" s="257">
        <v>50</v>
      </c>
      <c r="B51" s="259" t="s">
        <v>324</v>
      </c>
      <c r="C51" s="255">
        <v>30</v>
      </c>
      <c r="D51" s="255">
        <v>68.5</v>
      </c>
      <c r="E51" s="255">
        <v>24.8</v>
      </c>
      <c r="F51" s="255">
        <v>55.6</v>
      </c>
      <c r="G51" s="255">
        <v>44.6</v>
      </c>
      <c r="H51" s="255">
        <v>8</v>
      </c>
      <c r="I51" s="255">
        <v>23.1</v>
      </c>
      <c r="J51" s="255">
        <v>34.4</v>
      </c>
      <c r="K51" s="255">
        <v>10.9</v>
      </c>
      <c r="L51" s="255">
        <v>15.1</v>
      </c>
      <c r="M51" s="255">
        <v>72.400000000000006</v>
      </c>
      <c r="N51" s="255">
        <v>9.5</v>
      </c>
      <c r="O51" s="255">
        <v>23.2</v>
      </c>
      <c r="P51" s="255">
        <v>32.700000000000003</v>
      </c>
      <c r="Q51" s="255">
        <v>14.9</v>
      </c>
      <c r="R51" s="255">
        <v>5.6</v>
      </c>
      <c r="S51" s="255">
        <v>3.3</v>
      </c>
      <c r="T51" s="255">
        <v>11</v>
      </c>
      <c r="U51" s="255">
        <v>17.100000000000001</v>
      </c>
    </row>
    <row r="52" spans="1:21" ht="15.75" customHeight="1" thickBot="1" x14ac:dyDescent="0.3">
      <c r="A52" s="257">
        <v>51</v>
      </c>
      <c r="B52" s="259" t="s">
        <v>49</v>
      </c>
      <c r="C52" s="255">
        <v>30</v>
      </c>
      <c r="D52" s="255">
        <v>68.599999999999994</v>
      </c>
      <c r="E52" s="255">
        <v>22.5</v>
      </c>
      <c r="F52" s="255">
        <v>60.4</v>
      </c>
      <c r="G52" s="255">
        <v>37.200000000000003</v>
      </c>
      <c r="H52" s="255">
        <v>7.2</v>
      </c>
      <c r="I52" s="255">
        <v>24.9</v>
      </c>
      <c r="J52" s="255">
        <v>28.9</v>
      </c>
      <c r="K52" s="255">
        <v>16.399999999999999</v>
      </c>
      <c r="L52" s="255">
        <v>22.5</v>
      </c>
      <c r="M52" s="255">
        <v>72.8</v>
      </c>
      <c r="N52" s="255">
        <v>10.5</v>
      </c>
      <c r="O52" s="255">
        <v>21.4</v>
      </c>
      <c r="P52" s="255">
        <v>31.8</v>
      </c>
      <c r="Q52" s="255">
        <v>11.5</v>
      </c>
      <c r="R52" s="255">
        <v>7.4</v>
      </c>
      <c r="S52" s="255">
        <v>3.6</v>
      </c>
      <c r="T52" s="255">
        <v>11.9</v>
      </c>
      <c r="U52" s="255">
        <v>16.399999999999999</v>
      </c>
    </row>
    <row r="53" spans="1:21" ht="15.75" customHeight="1" thickBot="1" x14ac:dyDescent="0.3">
      <c r="A53" s="257">
        <v>52</v>
      </c>
      <c r="B53" s="259" t="s">
        <v>288</v>
      </c>
      <c r="C53" s="255">
        <v>30</v>
      </c>
      <c r="D53" s="255">
        <v>68.599999999999994</v>
      </c>
      <c r="E53" s="255">
        <v>22.8</v>
      </c>
      <c r="F53" s="255">
        <v>55.7</v>
      </c>
      <c r="G53" s="255">
        <v>41</v>
      </c>
      <c r="H53" s="255">
        <v>7.5</v>
      </c>
      <c r="I53" s="255">
        <v>24.1</v>
      </c>
      <c r="J53" s="255">
        <v>31.3</v>
      </c>
      <c r="K53" s="255">
        <v>15.4</v>
      </c>
      <c r="L53" s="255">
        <v>21</v>
      </c>
      <c r="M53" s="255">
        <v>73.599999999999994</v>
      </c>
      <c r="N53" s="255">
        <v>9.6999999999999993</v>
      </c>
      <c r="O53" s="255">
        <v>23.8</v>
      </c>
      <c r="P53" s="255">
        <v>33.5</v>
      </c>
      <c r="Q53" s="255">
        <v>11.7</v>
      </c>
      <c r="R53" s="255">
        <v>6.2</v>
      </c>
      <c r="S53" s="255">
        <v>3.3</v>
      </c>
      <c r="T53" s="255">
        <v>11.3</v>
      </c>
      <c r="U53" s="255">
        <v>19</v>
      </c>
    </row>
    <row r="54" spans="1:21" ht="15.75" customHeight="1" thickBot="1" x14ac:dyDescent="0.3">
      <c r="A54" s="257">
        <v>53</v>
      </c>
      <c r="B54" s="259" t="s">
        <v>67</v>
      </c>
      <c r="C54" s="255">
        <v>30</v>
      </c>
      <c r="D54" s="255">
        <v>68.7</v>
      </c>
      <c r="E54" s="255">
        <v>24.1</v>
      </c>
      <c r="F54" s="255">
        <v>63.8</v>
      </c>
      <c r="G54" s="255">
        <v>37.799999999999997</v>
      </c>
      <c r="H54" s="255">
        <v>7.9</v>
      </c>
      <c r="I54" s="255">
        <v>26.9</v>
      </c>
      <c r="J54" s="255">
        <v>29.5</v>
      </c>
      <c r="K54" s="255">
        <v>12.5</v>
      </c>
      <c r="L54" s="255">
        <v>16.7</v>
      </c>
      <c r="M54" s="255">
        <v>74.900000000000006</v>
      </c>
      <c r="N54" s="255">
        <v>11.4</v>
      </c>
      <c r="O54" s="255">
        <v>19.8</v>
      </c>
      <c r="P54" s="255">
        <v>31.3</v>
      </c>
      <c r="Q54" s="255">
        <v>10.8</v>
      </c>
      <c r="R54" s="255">
        <v>6.5</v>
      </c>
      <c r="S54" s="255">
        <v>3.2</v>
      </c>
      <c r="T54" s="255">
        <v>11.6</v>
      </c>
      <c r="U54" s="255">
        <v>20</v>
      </c>
    </row>
    <row r="55" spans="1:21" ht="15.75" customHeight="1" thickBot="1" x14ac:dyDescent="0.3">
      <c r="A55" s="257">
        <v>54</v>
      </c>
      <c r="B55" s="259" t="s">
        <v>310</v>
      </c>
      <c r="C55" s="255">
        <v>31</v>
      </c>
      <c r="D55" s="255">
        <v>68.7</v>
      </c>
      <c r="E55" s="255">
        <v>24.9</v>
      </c>
      <c r="F55" s="255">
        <v>55.4</v>
      </c>
      <c r="G55" s="255">
        <v>45</v>
      </c>
      <c r="H55" s="255">
        <v>6.1</v>
      </c>
      <c r="I55" s="255">
        <v>20.399999999999999</v>
      </c>
      <c r="J55" s="255">
        <v>29.7</v>
      </c>
      <c r="K55" s="255">
        <v>12.8</v>
      </c>
      <c r="L55" s="255">
        <v>18.7</v>
      </c>
      <c r="M55" s="255">
        <v>68.7</v>
      </c>
      <c r="N55" s="255">
        <v>11.3</v>
      </c>
      <c r="O55" s="255">
        <v>25.6</v>
      </c>
      <c r="P55" s="255">
        <v>36.9</v>
      </c>
      <c r="Q55" s="255">
        <v>13.1</v>
      </c>
      <c r="R55" s="255">
        <v>6.2</v>
      </c>
      <c r="S55" s="255">
        <v>2.7</v>
      </c>
      <c r="T55" s="255">
        <v>12.9</v>
      </c>
      <c r="U55" s="255">
        <v>17</v>
      </c>
    </row>
    <row r="56" spans="1:21" ht="15.75" customHeight="1" thickBot="1" x14ac:dyDescent="0.3">
      <c r="A56" s="257">
        <v>55</v>
      </c>
      <c r="B56" s="259" t="s">
        <v>53</v>
      </c>
      <c r="C56" s="255">
        <v>30</v>
      </c>
      <c r="D56" s="255">
        <v>68.8</v>
      </c>
      <c r="E56" s="255">
        <v>24.4</v>
      </c>
      <c r="F56" s="255">
        <v>63.5</v>
      </c>
      <c r="G56" s="255">
        <v>38.5</v>
      </c>
      <c r="H56" s="255">
        <v>8.1</v>
      </c>
      <c r="I56" s="255">
        <v>27.1</v>
      </c>
      <c r="J56" s="255">
        <v>29.8</v>
      </c>
      <c r="K56" s="255">
        <v>11.8</v>
      </c>
      <c r="L56" s="255">
        <v>17.3</v>
      </c>
      <c r="M56" s="255">
        <v>68.3</v>
      </c>
      <c r="N56" s="255">
        <v>12.7</v>
      </c>
      <c r="O56" s="255">
        <v>23.9</v>
      </c>
      <c r="P56" s="255">
        <v>36.6</v>
      </c>
      <c r="Q56" s="255">
        <v>12</v>
      </c>
      <c r="R56" s="255">
        <v>6.7</v>
      </c>
      <c r="S56" s="255">
        <v>3.1</v>
      </c>
      <c r="T56" s="255">
        <v>9.6</v>
      </c>
      <c r="U56" s="255">
        <v>15.7</v>
      </c>
    </row>
    <row r="57" spans="1:21" ht="15.75" customHeight="1" thickBot="1" x14ac:dyDescent="0.3">
      <c r="A57" s="257">
        <v>56</v>
      </c>
      <c r="B57" s="259" t="s">
        <v>51</v>
      </c>
      <c r="C57" s="255">
        <v>30</v>
      </c>
      <c r="D57" s="255">
        <v>68.900000000000006</v>
      </c>
      <c r="E57" s="255">
        <v>23.5</v>
      </c>
      <c r="F57" s="255">
        <v>57.5</v>
      </c>
      <c r="G57" s="255">
        <v>40.799999999999997</v>
      </c>
      <c r="H57" s="255">
        <v>7.9</v>
      </c>
      <c r="I57" s="255">
        <v>25.9</v>
      </c>
      <c r="J57" s="255">
        <v>30.6</v>
      </c>
      <c r="K57" s="255">
        <v>14</v>
      </c>
      <c r="L57" s="255">
        <v>20.3</v>
      </c>
      <c r="M57" s="255">
        <v>69.099999999999994</v>
      </c>
      <c r="N57" s="255">
        <v>10.1</v>
      </c>
      <c r="O57" s="255">
        <v>19.2</v>
      </c>
      <c r="P57" s="255">
        <v>29.3</v>
      </c>
      <c r="Q57" s="255">
        <v>10.8</v>
      </c>
      <c r="R57" s="255">
        <v>7.3</v>
      </c>
      <c r="S57" s="255">
        <v>4</v>
      </c>
      <c r="T57" s="255">
        <v>11.1</v>
      </c>
      <c r="U57" s="255">
        <v>18.8</v>
      </c>
    </row>
    <row r="58" spans="1:21" ht="15.75" customHeight="1" thickBot="1" x14ac:dyDescent="0.3">
      <c r="A58" s="257">
        <v>57</v>
      </c>
      <c r="B58" s="259" t="s">
        <v>369</v>
      </c>
      <c r="C58" s="255">
        <v>31</v>
      </c>
      <c r="D58" s="255">
        <v>68.900000000000006</v>
      </c>
      <c r="E58" s="255">
        <v>23.5</v>
      </c>
      <c r="F58" s="255">
        <v>55.3</v>
      </c>
      <c r="G58" s="255">
        <v>42.4</v>
      </c>
      <c r="H58" s="255">
        <v>7.9</v>
      </c>
      <c r="I58" s="255">
        <v>23.2</v>
      </c>
      <c r="J58" s="255">
        <v>33.9</v>
      </c>
      <c r="K58" s="255">
        <v>14.2</v>
      </c>
      <c r="L58" s="255">
        <v>20.2</v>
      </c>
      <c r="M58" s="255">
        <v>70.2</v>
      </c>
      <c r="N58" s="255">
        <v>8.5</v>
      </c>
      <c r="O58" s="255">
        <v>20.9</v>
      </c>
      <c r="P58" s="255">
        <v>29.3</v>
      </c>
      <c r="Q58" s="255">
        <v>11.3</v>
      </c>
      <c r="R58" s="255">
        <v>6.5</v>
      </c>
      <c r="S58" s="255">
        <v>3.6</v>
      </c>
      <c r="T58" s="255">
        <v>10.3</v>
      </c>
      <c r="U58" s="255">
        <v>15.8</v>
      </c>
    </row>
    <row r="59" spans="1:21" ht="15.75" customHeight="1" thickBot="1" x14ac:dyDescent="0.3">
      <c r="A59" s="257">
        <v>57</v>
      </c>
      <c r="B59" s="259" t="s">
        <v>40</v>
      </c>
      <c r="C59" s="255">
        <v>31</v>
      </c>
      <c r="D59" s="255">
        <v>68.900000000000006</v>
      </c>
      <c r="E59" s="255">
        <v>23.4</v>
      </c>
      <c r="F59" s="255">
        <v>55.6</v>
      </c>
      <c r="G59" s="255">
        <v>42.1</v>
      </c>
      <c r="H59" s="255">
        <v>8.5</v>
      </c>
      <c r="I59" s="255">
        <v>26.5</v>
      </c>
      <c r="J59" s="255">
        <v>32.200000000000003</v>
      </c>
      <c r="K59" s="255">
        <v>13.5</v>
      </c>
      <c r="L59" s="255">
        <v>18.899999999999999</v>
      </c>
      <c r="M59" s="255">
        <v>71.8</v>
      </c>
      <c r="N59" s="255">
        <v>9.5</v>
      </c>
      <c r="O59" s="255">
        <v>22.4</v>
      </c>
      <c r="P59" s="255">
        <v>31.9</v>
      </c>
      <c r="Q59" s="255">
        <v>13</v>
      </c>
      <c r="R59" s="255">
        <v>5.8</v>
      </c>
      <c r="S59" s="255">
        <v>2.7</v>
      </c>
      <c r="T59" s="255">
        <v>12.9</v>
      </c>
      <c r="U59" s="255">
        <v>15.2</v>
      </c>
    </row>
    <row r="60" spans="1:21" ht="15.75" customHeight="1" thickBot="1" x14ac:dyDescent="0.3">
      <c r="A60" s="257">
        <v>59</v>
      </c>
      <c r="B60" s="259" t="s">
        <v>421</v>
      </c>
      <c r="C60" s="255">
        <v>32</v>
      </c>
      <c r="D60" s="255">
        <v>69</v>
      </c>
      <c r="E60" s="255">
        <v>25.1</v>
      </c>
      <c r="F60" s="255">
        <v>59.8</v>
      </c>
      <c r="G60" s="255">
        <v>41.9</v>
      </c>
      <c r="H60" s="255">
        <v>6.6</v>
      </c>
      <c r="I60" s="255">
        <v>19.899999999999999</v>
      </c>
      <c r="J60" s="255">
        <v>33.299999999999997</v>
      </c>
      <c r="K60" s="255">
        <v>12.2</v>
      </c>
      <c r="L60" s="255">
        <v>18.3</v>
      </c>
      <c r="M60" s="255">
        <v>66.400000000000006</v>
      </c>
      <c r="N60" s="255">
        <v>9.8000000000000007</v>
      </c>
      <c r="O60" s="255">
        <v>25.3</v>
      </c>
      <c r="P60" s="255">
        <v>35.1</v>
      </c>
      <c r="Q60" s="255">
        <v>10.8</v>
      </c>
      <c r="R60" s="255">
        <v>7.4</v>
      </c>
      <c r="S60" s="255">
        <v>4.5</v>
      </c>
      <c r="T60" s="255">
        <v>9.4</v>
      </c>
      <c r="U60" s="255">
        <v>15.2</v>
      </c>
    </row>
    <row r="61" spans="1:21" ht="15.75" customHeight="1" thickBot="1" x14ac:dyDescent="0.3">
      <c r="A61" s="257">
        <v>60</v>
      </c>
      <c r="B61" s="259" t="s">
        <v>405</v>
      </c>
      <c r="C61" s="255">
        <v>31</v>
      </c>
      <c r="D61" s="255">
        <v>69</v>
      </c>
      <c r="E61" s="255">
        <v>23.1</v>
      </c>
      <c r="F61" s="255">
        <v>60.4</v>
      </c>
      <c r="G61" s="255">
        <v>38.299999999999997</v>
      </c>
      <c r="H61" s="255">
        <v>12.3</v>
      </c>
      <c r="I61" s="255">
        <v>38.700000000000003</v>
      </c>
      <c r="J61" s="255">
        <v>31.8</v>
      </c>
      <c r="K61" s="255">
        <v>10.5</v>
      </c>
      <c r="L61" s="255">
        <v>14.5</v>
      </c>
      <c r="M61" s="255">
        <v>72.8</v>
      </c>
      <c r="N61" s="255">
        <v>11.8</v>
      </c>
      <c r="O61" s="255">
        <v>25.3</v>
      </c>
      <c r="P61" s="255">
        <v>37</v>
      </c>
      <c r="Q61" s="255">
        <v>16.2</v>
      </c>
      <c r="R61" s="255">
        <v>5.5</v>
      </c>
      <c r="S61" s="255">
        <v>4</v>
      </c>
      <c r="T61" s="255">
        <v>12.5</v>
      </c>
      <c r="U61" s="255">
        <v>16.899999999999999</v>
      </c>
    </row>
    <row r="62" spans="1:21" ht="15.75" customHeight="1" thickBot="1" x14ac:dyDescent="0.3">
      <c r="A62" s="257">
        <v>61</v>
      </c>
      <c r="B62" s="259" t="s">
        <v>39</v>
      </c>
      <c r="C62" s="255">
        <v>30</v>
      </c>
      <c r="D62" s="255">
        <v>69</v>
      </c>
      <c r="E62" s="255">
        <v>25.9</v>
      </c>
      <c r="F62" s="255">
        <v>63.4</v>
      </c>
      <c r="G62" s="255">
        <v>40.799999999999997</v>
      </c>
      <c r="H62" s="255">
        <v>8.3000000000000007</v>
      </c>
      <c r="I62" s="255">
        <v>26.1</v>
      </c>
      <c r="J62" s="255">
        <v>31.8</v>
      </c>
      <c r="K62" s="255">
        <v>9</v>
      </c>
      <c r="L62" s="255">
        <v>12.4</v>
      </c>
      <c r="M62" s="255">
        <v>72.599999999999994</v>
      </c>
      <c r="N62" s="255">
        <v>10.1</v>
      </c>
      <c r="O62" s="255">
        <v>20.8</v>
      </c>
      <c r="P62" s="255">
        <v>30.9</v>
      </c>
      <c r="Q62" s="255">
        <v>13.4</v>
      </c>
      <c r="R62" s="255">
        <v>5.6</v>
      </c>
      <c r="S62" s="255">
        <v>2.6</v>
      </c>
      <c r="T62" s="255">
        <v>7.8</v>
      </c>
      <c r="U62" s="255">
        <v>18.7</v>
      </c>
    </row>
    <row r="63" spans="1:21" ht="15.75" customHeight="1" thickBot="1" x14ac:dyDescent="0.3">
      <c r="A63" s="257">
        <v>62</v>
      </c>
      <c r="B63" s="259" t="s">
        <v>450</v>
      </c>
      <c r="C63" s="255">
        <v>31</v>
      </c>
      <c r="D63" s="255">
        <v>69.099999999999994</v>
      </c>
      <c r="E63" s="255">
        <v>23.6</v>
      </c>
      <c r="F63" s="255">
        <v>56.9</v>
      </c>
      <c r="G63" s="255">
        <v>41.5</v>
      </c>
      <c r="H63" s="255">
        <v>6.7</v>
      </c>
      <c r="I63" s="255">
        <v>22.2</v>
      </c>
      <c r="J63" s="255">
        <v>30.4</v>
      </c>
      <c r="K63" s="255">
        <v>15.1</v>
      </c>
      <c r="L63" s="255">
        <v>21.7</v>
      </c>
      <c r="M63" s="255">
        <v>69.599999999999994</v>
      </c>
      <c r="N63" s="255">
        <v>11.3</v>
      </c>
      <c r="O63" s="255">
        <v>22.7</v>
      </c>
      <c r="P63" s="255">
        <v>33.9</v>
      </c>
      <c r="Q63" s="255">
        <v>13.8</v>
      </c>
      <c r="R63" s="255">
        <v>6.1</v>
      </c>
      <c r="S63" s="255">
        <v>3.1</v>
      </c>
      <c r="T63" s="255">
        <v>11</v>
      </c>
      <c r="U63" s="255">
        <v>15.6</v>
      </c>
    </row>
    <row r="64" spans="1:21" ht="15.75" customHeight="1" thickBot="1" x14ac:dyDescent="0.3">
      <c r="A64" s="257">
        <v>63</v>
      </c>
      <c r="B64" s="259" t="s">
        <v>297</v>
      </c>
      <c r="C64" s="255">
        <v>31</v>
      </c>
      <c r="D64" s="255">
        <v>69.099999999999994</v>
      </c>
      <c r="E64" s="255">
        <v>23.3</v>
      </c>
      <c r="F64" s="255">
        <v>53.6</v>
      </c>
      <c r="G64" s="255">
        <v>43.4</v>
      </c>
      <c r="H64" s="255">
        <v>6.9</v>
      </c>
      <c r="I64" s="255">
        <v>19.899999999999999</v>
      </c>
      <c r="J64" s="255">
        <v>34.9</v>
      </c>
      <c r="K64" s="255">
        <v>15.7</v>
      </c>
      <c r="L64" s="255">
        <v>22.8</v>
      </c>
      <c r="M64" s="255">
        <v>68.599999999999994</v>
      </c>
      <c r="N64" s="255">
        <v>9.8000000000000007</v>
      </c>
      <c r="O64" s="255">
        <v>23.4</v>
      </c>
      <c r="P64" s="255">
        <v>33.200000000000003</v>
      </c>
      <c r="Q64" s="255">
        <v>13.4</v>
      </c>
      <c r="R64" s="255">
        <v>7.5</v>
      </c>
      <c r="S64" s="255">
        <v>3.3</v>
      </c>
      <c r="T64" s="255">
        <v>11.9</v>
      </c>
      <c r="U64" s="255">
        <v>15.4</v>
      </c>
    </row>
    <row r="65" spans="1:21" ht="15.75" customHeight="1" thickBot="1" x14ac:dyDescent="0.3">
      <c r="A65" s="257">
        <v>64</v>
      </c>
      <c r="B65" s="259" t="s">
        <v>458</v>
      </c>
      <c r="C65" s="255">
        <v>31</v>
      </c>
      <c r="D65" s="255">
        <v>69.2</v>
      </c>
      <c r="E65" s="255">
        <v>23.4</v>
      </c>
      <c r="F65" s="255">
        <v>54.5</v>
      </c>
      <c r="G65" s="255">
        <v>43</v>
      </c>
      <c r="H65" s="255">
        <v>7.9</v>
      </c>
      <c r="I65" s="255">
        <v>22.5</v>
      </c>
      <c r="J65" s="255">
        <v>35.1</v>
      </c>
      <c r="K65" s="255">
        <v>14.5</v>
      </c>
      <c r="L65" s="255">
        <v>19.7</v>
      </c>
      <c r="M65" s="255">
        <v>73.3</v>
      </c>
      <c r="N65" s="255">
        <v>7.5</v>
      </c>
      <c r="O65" s="255">
        <v>23.9</v>
      </c>
      <c r="P65" s="255">
        <v>31.5</v>
      </c>
      <c r="Q65" s="255">
        <v>11.7</v>
      </c>
      <c r="R65" s="255">
        <v>5.5</v>
      </c>
      <c r="S65" s="255">
        <v>2.6</v>
      </c>
      <c r="T65" s="255">
        <v>9.5</v>
      </c>
      <c r="U65" s="255">
        <v>16.8</v>
      </c>
    </row>
    <row r="66" spans="1:21" ht="15.75" customHeight="1" thickBot="1" x14ac:dyDescent="0.3">
      <c r="A66" s="257">
        <v>65</v>
      </c>
      <c r="B66" s="259" t="s">
        <v>238</v>
      </c>
      <c r="C66" s="255">
        <v>30</v>
      </c>
      <c r="D66" s="255">
        <v>69.400000000000006</v>
      </c>
      <c r="E66" s="255">
        <v>24</v>
      </c>
      <c r="F66" s="255">
        <v>55.2</v>
      </c>
      <c r="G66" s="255">
        <v>43.5</v>
      </c>
      <c r="H66" s="255">
        <v>6.8</v>
      </c>
      <c r="I66" s="255">
        <v>19</v>
      </c>
      <c r="J66" s="255">
        <v>35.9</v>
      </c>
      <c r="K66" s="255">
        <v>14.6</v>
      </c>
      <c r="L66" s="255">
        <v>20.7</v>
      </c>
      <c r="M66" s="255">
        <v>70.400000000000006</v>
      </c>
      <c r="N66" s="255">
        <v>10</v>
      </c>
      <c r="O66" s="255">
        <v>23.5</v>
      </c>
      <c r="P66" s="255">
        <v>33.6</v>
      </c>
      <c r="Q66" s="255">
        <v>13.7</v>
      </c>
      <c r="R66" s="255">
        <v>7.4</v>
      </c>
      <c r="S66" s="255">
        <v>3.7</v>
      </c>
      <c r="T66" s="255">
        <v>12.6</v>
      </c>
      <c r="U66" s="255">
        <v>17.5</v>
      </c>
    </row>
    <row r="67" spans="1:21" ht="15.75" customHeight="1" thickBot="1" x14ac:dyDescent="0.3">
      <c r="A67" s="257">
        <v>66</v>
      </c>
      <c r="B67" s="259" t="s">
        <v>195</v>
      </c>
      <c r="C67" s="255">
        <v>30</v>
      </c>
      <c r="D67" s="255">
        <v>69.5</v>
      </c>
      <c r="E67" s="255">
        <v>24.1</v>
      </c>
      <c r="F67" s="255">
        <v>54.5</v>
      </c>
      <c r="G67" s="255">
        <v>44.3</v>
      </c>
      <c r="H67" s="255">
        <v>7.6</v>
      </c>
      <c r="I67" s="255">
        <v>22.7</v>
      </c>
      <c r="J67" s="255">
        <v>33.6</v>
      </c>
      <c r="K67" s="255">
        <v>13.6</v>
      </c>
      <c r="L67" s="255">
        <v>17.7</v>
      </c>
      <c r="M67" s="255">
        <v>76.8</v>
      </c>
      <c r="N67" s="255">
        <v>9.5</v>
      </c>
      <c r="O67" s="255">
        <v>26.5</v>
      </c>
      <c r="P67" s="255">
        <v>35.9</v>
      </c>
      <c r="Q67" s="255">
        <v>13</v>
      </c>
      <c r="R67" s="255">
        <v>5.4</v>
      </c>
      <c r="S67" s="255">
        <v>3.7</v>
      </c>
      <c r="T67" s="255">
        <v>12.8</v>
      </c>
      <c r="U67" s="255">
        <v>15.6</v>
      </c>
    </row>
    <row r="68" spans="1:21" ht="15.75" customHeight="1" thickBot="1" x14ac:dyDescent="0.3">
      <c r="A68" s="257">
        <v>67</v>
      </c>
      <c r="B68" s="259" t="s">
        <v>412</v>
      </c>
      <c r="C68" s="255">
        <v>32</v>
      </c>
      <c r="D68" s="255">
        <v>69.599999999999994</v>
      </c>
      <c r="E68" s="255">
        <v>24.8</v>
      </c>
      <c r="F68" s="255">
        <v>58.6</v>
      </c>
      <c r="G68" s="255">
        <v>42.3</v>
      </c>
      <c r="H68" s="255">
        <v>7.3</v>
      </c>
      <c r="I68" s="255">
        <v>24.3</v>
      </c>
      <c r="J68" s="255">
        <v>30.2</v>
      </c>
      <c r="K68" s="255">
        <v>12.7</v>
      </c>
      <c r="L68" s="255">
        <v>18.399999999999999</v>
      </c>
      <c r="M68" s="255">
        <v>68.599999999999994</v>
      </c>
      <c r="N68" s="255">
        <v>9.9</v>
      </c>
      <c r="O68" s="255">
        <v>25.1</v>
      </c>
      <c r="P68" s="255">
        <v>35.1</v>
      </c>
      <c r="Q68" s="255">
        <v>12.9</v>
      </c>
      <c r="R68" s="255">
        <v>6.9</v>
      </c>
      <c r="S68" s="255">
        <v>3.6</v>
      </c>
      <c r="T68" s="255">
        <v>13.3</v>
      </c>
      <c r="U68" s="255">
        <v>17.100000000000001</v>
      </c>
    </row>
    <row r="69" spans="1:21" ht="15.75" customHeight="1" thickBot="1" x14ac:dyDescent="0.3">
      <c r="A69" s="257">
        <v>68</v>
      </c>
      <c r="B69" s="259" t="s">
        <v>204</v>
      </c>
      <c r="C69" s="255">
        <v>26</v>
      </c>
      <c r="D69" s="255">
        <v>69.599999999999994</v>
      </c>
      <c r="E69" s="255">
        <v>23.5</v>
      </c>
      <c r="F69" s="255">
        <v>54.6</v>
      </c>
      <c r="G69" s="255">
        <v>43.1</v>
      </c>
      <c r="H69" s="255">
        <v>7.6</v>
      </c>
      <c r="I69" s="255">
        <v>23.3</v>
      </c>
      <c r="J69" s="255">
        <v>32.6</v>
      </c>
      <c r="K69" s="255">
        <v>15</v>
      </c>
      <c r="L69" s="255">
        <v>19.8</v>
      </c>
      <c r="M69" s="255">
        <v>75.5</v>
      </c>
      <c r="N69" s="255">
        <v>9.4</v>
      </c>
      <c r="O69" s="255">
        <v>24.8</v>
      </c>
      <c r="P69" s="255">
        <v>34.200000000000003</v>
      </c>
      <c r="Q69" s="255">
        <v>13.2</v>
      </c>
      <c r="R69" s="255">
        <v>7.2</v>
      </c>
      <c r="S69" s="255">
        <v>3.4</v>
      </c>
      <c r="T69" s="255">
        <v>13.6</v>
      </c>
      <c r="U69" s="255">
        <v>15.4</v>
      </c>
    </row>
    <row r="70" spans="1:21" ht="15.75" customHeight="1" thickBot="1" x14ac:dyDescent="0.3">
      <c r="A70" s="257">
        <v>69</v>
      </c>
      <c r="B70" s="259" t="s">
        <v>58</v>
      </c>
      <c r="C70" s="255">
        <v>29</v>
      </c>
      <c r="D70" s="255">
        <v>69.7</v>
      </c>
      <c r="E70" s="255">
        <v>24.7</v>
      </c>
      <c r="F70" s="255">
        <v>60.1</v>
      </c>
      <c r="G70" s="255">
        <v>41</v>
      </c>
      <c r="H70" s="255">
        <v>5.7</v>
      </c>
      <c r="I70" s="255">
        <v>19.5</v>
      </c>
      <c r="J70" s="255">
        <v>29.4</v>
      </c>
      <c r="K70" s="255">
        <v>14.6</v>
      </c>
      <c r="L70" s="255">
        <v>21.2</v>
      </c>
      <c r="M70" s="255">
        <v>68.900000000000006</v>
      </c>
      <c r="N70" s="255">
        <v>9.8000000000000007</v>
      </c>
      <c r="O70" s="255">
        <v>22.9</v>
      </c>
      <c r="P70" s="255">
        <v>32.700000000000003</v>
      </c>
      <c r="Q70" s="255">
        <v>9.4</v>
      </c>
      <c r="R70" s="255">
        <v>7.8</v>
      </c>
      <c r="S70" s="255">
        <v>2.8</v>
      </c>
      <c r="T70" s="255">
        <v>12.1</v>
      </c>
      <c r="U70" s="255">
        <v>21.2</v>
      </c>
    </row>
    <row r="71" spans="1:21" ht="15.75" customHeight="1" thickBot="1" x14ac:dyDescent="0.3">
      <c r="A71" s="257">
        <v>70</v>
      </c>
      <c r="B71" s="259" t="s">
        <v>57</v>
      </c>
      <c r="C71" s="255">
        <v>30</v>
      </c>
      <c r="D71" s="255">
        <v>69.8</v>
      </c>
      <c r="E71" s="255">
        <v>25.1</v>
      </c>
      <c r="F71" s="255">
        <v>57</v>
      </c>
      <c r="G71" s="255">
        <v>44.1</v>
      </c>
      <c r="H71" s="255">
        <v>8.6</v>
      </c>
      <c r="I71" s="255">
        <v>25.7</v>
      </c>
      <c r="J71" s="255">
        <v>33.4</v>
      </c>
      <c r="K71" s="255">
        <v>10.9</v>
      </c>
      <c r="L71" s="255">
        <v>15.3</v>
      </c>
      <c r="M71" s="255">
        <v>71.3</v>
      </c>
      <c r="N71" s="255">
        <v>8.6</v>
      </c>
      <c r="O71" s="255">
        <v>20.100000000000001</v>
      </c>
      <c r="P71" s="255">
        <v>28.7</v>
      </c>
      <c r="Q71" s="255">
        <v>14.1</v>
      </c>
      <c r="R71" s="255">
        <v>5.3</v>
      </c>
      <c r="S71" s="255">
        <v>2.4</v>
      </c>
      <c r="T71" s="255">
        <v>10.6</v>
      </c>
      <c r="U71" s="255">
        <v>17.100000000000001</v>
      </c>
    </row>
    <row r="72" spans="1:21" ht="15.75" customHeight="1" thickBot="1" x14ac:dyDescent="0.3">
      <c r="A72" s="257">
        <v>71</v>
      </c>
      <c r="B72" s="259" t="s">
        <v>394</v>
      </c>
      <c r="C72" s="255">
        <v>30</v>
      </c>
      <c r="D72" s="255">
        <v>69.8</v>
      </c>
      <c r="E72" s="255">
        <v>25.4</v>
      </c>
      <c r="F72" s="255">
        <v>62.6</v>
      </c>
      <c r="G72" s="255">
        <v>40.6</v>
      </c>
      <c r="H72" s="255">
        <v>7.9</v>
      </c>
      <c r="I72" s="255">
        <v>25</v>
      </c>
      <c r="J72" s="255">
        <v>31.7</v>
      </c>
      <c r="K72" s="255">
        <v>11.1</v>
      </c>
      <c r="L72" s="255">
        <v>16.2</v>
      </c>
      <c r="M72" s="255">
        <v>68.5</v>
      </c>
      <c r="N72" s="255">
        <v>11.9</v>
      </c>
      <c r="O72" s="255">
        <v>24.1</v>
      </c>
      <c r="P72" s="255">
        <v>36</v>
      </c>
      <c r="Q72" s="255">
        <v>13.2</v>
      </c>
      <c r="R72" s="255">
        <v>7</v>
      </c>
      <c r="S72" s="255">
        <v>3.8</v>
      </c>
      <c r="T72" s="255">
        <v>10.5</v>
      </c>
      <c r="U72" s="255">
        <v>15</v>
      </c>
    </row>
    <row r="73" spans="1:21" ht="15.75" customHeight="1" thickBot="1" x14ac:dyDescent="0.3">
      <c r="A73" s="257">
        <v>72</v>
      </c>
      <c r="B73" s="259" t="s">
        <v>441</v>
      </c>
      <c r="C73" s="255">
        <v>31</v>
      </c>
      <c r="D73" s="255">
        <v>69.8</v>
      </c>
      <c r="E73" s="255">
        <v>23.8</v>
      </c>
      <c r="F73" s="255">
        <v>56.3</v>
      </c>
      <c r="G73" s="255">
        <v>42.3</v>
      </c>
      <c r="H73" s="255">
        <v>8.5</v>
      </c>
      <c r="I73" s="255">
        <v>26.1</v>
      </c>
      <c r="J73" s="255">
        <v>32.700000000000003</v>
      </c>
      <c r="K73" s="255">
        <v>13.6</v>
      </c>
      <c r="L73" s="255">
        <v>18.399999999999999</v>
      </c>
      <c r="M73" s="255">
        <v>74.2</v>
      </c>
      <c r="N73" s="255">
        <v>10.9</v>
      </c>
      <c r="O73" s="255">
        <v>22</v>
      </c>
      <c r="P73" s="255">
        <v>32.9</v>
      </c>
      <c r="Q73" s="255">
        <v>15.7</v>
      </c>
      <c r="R73" s="255">
        <v>6.6</v>
      </c>
      <c r="S73" s="255">
        <v>4</v>
      </c>
      <c r="T73" s="255">
        <v>14.1</v>
      </c>
      <c r="U73" s="255">
        <v>18.399999999999999</v>
      </c>
    </row>
    <row r="74" spans="1:21" ht="15.75" customHeight="1" thickBot="1" x14ac:dyDescent="0.3">
      <c r="A74" s="257">
        <v>73</v>
      </c>
      <c r="B74" s="259" t="s">
        <v>100</v>
      </c>
      <c r="C74" s="255">
        <v>29</v>
      </c>
      <c r="D74" s="255">
        <v>69.900000000000006</v>
      </c>
      <c r="E74" s="255">
        <v>22.9</v>
      </c>
      <c r="F74" s="255">
        <v>55.3</v>
      </c>
      <c r="G74" s="255">
        <v>41.3</v>
      </c>
      <c r="H74" s="255">
        <v>7</v>
      </c>
      <c r="I74" s="255">
        <v>21.9</v>
      </c>
      <c r="J74" s="255">
        <v>31.8</v>
      </c>
      <c r="K74" s="255">
        <v>17.2</v>
      </c>
      <c r="L74" s="255">
        <v>23.1</v>
      </c>
      <c r="M74" s="255">
        <v>74.3</v>
      </c>
      <c r="N74" s="255">
        <v>9.1</v>
      </c>
      <c r="O74" s="255">
        <v>23.5</v>
      </c>
      <c r="P74" s="255">
        <v>32.6</v>
      </c>
      <c r="Q74" s="255">
        <v>12.2</v>
      </c>
      <c r="R74" s="255">
        <v>6.6</v>
      </c>
      <c r="S74" s="255">
        <v>2.7</v>
      </c>
      <c r="T74" s="255">
        <v>12.7</v>
      </c>
      <c r="U74" s="255">
        <v>17.399999999999999</v>
      </c>
    </row>
    <row r="75" spans="1:21" ht="15.75" customHeight="1" thickBot="1" x14ac:dyDescent="0.3">
      <c r="A75" s="257">
        <v>74</v>
      </c>
      <c r="B75" s="259" t="s">
        <v>86</v>
      </c>
      <c r="C75" s="255">
        <v>30</v>
      </c>
      <c r="D75" s="255">
        <v>70</v>
      </c>
      <c r="E75" s="255">
        <v>25.1</v>
      </c>
      <c r="F75" s="255">
        <v>57.6</v>
      </c>
      <c r="G75" s="255">
        <v>43.6</v>
      </c>
      <c r="H75" s="255">
        <v>8.1999999999999993</v>
      </c>
      <c r="I75" s="255">
        <v>23.4</v>
      </c>
      <c r="J75" s="255">
        <v>35</v>
      </c>
      <c r="K75" s="255">
        <v>11.5</v>
      </c>
      <c r="L75" s="255">
        <v>16.7</v>
      </c>
      <c r="M75" s="255">
        <v>69.099999999999994</v>
      </c>
      <c r="N75" s="255">
        <v>8.9</v>
      </c>
      <c r="O75" s="255">
        <v>20.7</v>
      </c>
      <c r="P75" s="255">
        <v>29.6</v>
      </c>
      <c r="Q75" s="255">
        <v>13.4</v>
      </c>
      <c r="R75" s="255">
        <v>6.9</v>
      </c>
      <c r="S75" s="255">
        <v>4.0999999999999996</v>
      </c>
      <c r="T75" s="255">
        <v>13</v>
      </c>
      <c r="U75" s="255">
        <v>18</v>
      </c>
    </row>
    <row r="76" spans="1:21" ht="15.75" customHeight="1" thickBot="1" x14ac:dyDescent="0.3">
      <c r="A76" s="257">
        <v>75</v>
      </c>
      <c r="B76" s="259" t="s">
        <v>45</v>
      </c>
      <c r="C76" s="255">
        <v>30</v>
      </c>
      <c r="D76" s="255">
        <v>70.099999999999994</v>
      </c>
      <c r="E76" s="255">
        <v>23.9</v>
      </c>
      <c r="F76" s="255">
        <v>57.4</v>
      </c>
      <c r="G76" s="255">
        <v>41.7</v>
      </c>
      <c r="H76" s="255">
        <v>8.1999999999999993</v>
      </c>
      <c r="I76" s="255">
        <v>27.5</v>
      </c>
      <c r="J76" s="255">
        <v>29.7</v>
      </c>
      <c r="K76" s="255">
        <v>14</v>
      </c>
      <c r="L76" s="255">
        <v>19.2</v>
      </c>
      <c r="M76" s="255">
        <v>73.099999999999994</v>
      </c>
      <c r="N76" s="255">
        <v>9.6</v>
      </c>
      <c r="O76" s="255">
        <v>24.7</v>
      </c>
      <c r="P76" s="255">
        <v>34.299999999999997</v>
      </c>
      <c r="Q76" s="255">
        <v>12.7</v>
      </c>
      <c r="R76" s="255">
        <v>6.1</v>
      </c>
      <c r="S76" s="255">
        <v>3.1</v>
      </c>
      <c r="T76" s="255">
        <v>13.8</v>
      </c>
      <c r="U76" s="255">
        <v>19.100000000000001</v>
      </c>
    </row>
    <row r="77" spans="1:21" ht="15.75" customHeight="1" thickBot="1" x14ac:dyDescent="0.3">
      <c r="A77" s="257">
        <v>76</v>
      </c>
      <c r="B77" s="259" t="s">
        <v>25</v>
      </c>
      <c r="C77" s="255">
        <v>30</v>
      </c>
      <c r="D77" s="255">
        <v>70.099999999999994</v>
      </c>
      <c r="E77" s="255">
        <v>25.9</v>
      </c>
      <c r="F77" s="255">
        <v>57.7</v>
      </c>
      <c r="G77" s="255">
        <v>44.9</v>
      </c>
      <c r="H77" s="255">
        <v>8.1</v>
      </c>
      <c r="I77" s="255">
        <v>21.7</v>
      </c>
      <c r="J77" s="255">
        <v>37.1</v>
      </c>
      <c r="K77" s="255">
        <v>10.3</v>
      </c>
      <c r="L77" s="255">
        <v>14.2</v>
      </c>
      <c r="M77" s="255">
        <v>72.599999999999994</v>
      </c>
      <c r="N77" s="255">
        <v>10.1</v>
      </c>
      <c r="O77" s="255">
        <v>23.1</v>
      </c>
      <c r="P77" s="255">
        <v>33.200000000000003</v>
      </c>
      <c r="Q77" s="255">
        <v>12</v>
      </c>
      <c r="R77" s="255">
        <v>5.5</v>
      </c>
      <c r="S77" s="255">
        <v>2.9</v>
      </c>
      <c r="T77" s="255">
        <v>11.4</v>
      </c>
      <c r="U77" s="255">
        <v>15.9</v>
      </c>
    </row>
    <row r="78" spans="1:21" ht="15.75" customHeight="1" thickBot="1" x14ac:dyDescent="0.3">
      <c r="A78" s="257">
        <v>77</v>
      </c>
      <c r="B78" s="259" t="s">
        <v>255</v>
      </c>
      <c r="C78" s="255">
        <v>32</v>
      </c>
      <c r="D78" s="255">
        <v>70.2</v>
      </c>
      <c r="E78" s="255">
        <v>24.4</v>
      </c>
      <c r="F78" s="255">
        <v>53</v>
      </c>
      <c r="G78" s="255">
        <v>46.1</v>
      </c>
      <c r="H78" s="255">
        <v>7.8</v>
      </c>
      <c r="I78" s="255">
        <v>21.4</v>
      </c>
      <c r="J78" s="255">
        <v>36.4</v>
      </c>
      <c r="K78" s="255">
        <v>13.5</v>
      </c>
      <c r="L78" s="255">
        <v>19.100000000000001</v>
      </c>
      <c r="M78" s="255">
        <v>70.8</v>
      </c>
      <c r="N78" s="255">
        <v>8.1999999999999993</v>
      </c>
      <c r="O78" s="255">
        <v>23.8</v>
      </c>
      <c r="P78" s="255">
        <v>32</v>
      </c>
      <c r="Q78" s="255">
        <v>12.3</v>
      </c>
      <c r="R78" s="255">
        <v>6.3</v>
      </c>
      <c r="S78" s="255">
        <v>2.9</v>
      </c>
      <c r="T78" s="255">
        <v>10.9</v>
      </c>
      <c r="U78" s="255">
        <v>17</v>
      </c>
    </row>
    <row r="79" spans="1:21" ht="15.75" customHeight="1" thickBot="1" x14ac:dyDescent="0.3">
      <c r="A79" s="257">
        <v>78</v>
      </c>
      <c r="B79" s="259" t="s">
        <v>237</v>
      </c>
      <c r="C79" s="255">
        <v>30</v>
      </c>
      <c r="D79" s="255">
        <v>70.2</v>
      </c>
      <c r="E79" s="255">
        <v>24.1</v>
      </c>
      <c r="F79" s="255">
        <v>55.5</v>
      </c>
      <c r="G79" s="255">
        <v>43.5</v>
      </c>
      <c r="H79" s="255">
        <v>8</v>
      </c>
      <c r="I79" s="255">
        <v>22.8</v>
      </c>
      <c r="J79" s="255">
        <v>35.299999999999997</v>
      </c>
      <c r="K79" s="255">
        <v>13.9</v>
      </c>
      <c r="L79" s="255">
        <v>19.7</v>
      </c>
      <c r="M79" s="255">
        <v>70.599999999999994</v>
      </c>
      <c r="N79" s="255">
        <v>10.5</v>
      </c>
      <c r="O79" s="255">
        <v>23.6</v>
      </c>
      <c r="P79" s="255">
        <v>34.1</v>
      </c>
      <c r="Q79" s="255">
        <v>12.4</v>
      </c>
      <c r="R79" s="255">
        <v>7.1</v>
      </c>
      <c r="S79" s="255">
        <v>3.5</v>
      </c>
      <c r="T79" s="255">
        <v>15.1</v>
      </c>
      <c r="U79" s="255">
        <v>20.6</v>
      </c>
    </row>
    <row r="80" spans="1:21" ht="15.75" customHeight="1" thickBot="1" x14ac:dyDescent="0.3">
      <c r="A80" s="257">
        <v>79</v>
      </c>
      <c r="B80" s="259" t="s">
        <v>439</v>
      </c>
      <c r="C80" s="255">
        <v>31</v>
      </c>
      <c r="D80" s="255">
        <v>70.3</v>
      </c>
      <c r="E80" s="255">
        <v>24.8</v>
      </c>
      <c r="F80" s="255">
        <v>59.7</v>
      </c>
      <c r="G80" s="255">
        <v>41.5</v>
      </c>
      <c r="H80" s="255">
        <v>8.4</v>
      </c>
      <c r="I80" s="255">
        <v>25.7</v>
      </c>
      <c r="J80" s="255">
        <v>32.5</v>
      </c>
      <c r="K80" s="255">
        <v>12.4</v>
      </c>
      <c r="L80" s="255">
        <v>17.399999999999999</v>
      </c>
      <c r="M80" s="255">
        <v>70.900000000000006</v>
      </c>
      <c r="N80" s="255">
        <v>10.1</v>
      </c>
      <c r="O80" s="255">
        <v>25.5</v>
      </c>
      <c r="P80" s="255">
        <v>35.5</v>
      </c>
      <c r="Q80" s="255">
        <v>13.8</v>
      </c>
      <c r="R80" s="255">
        <v>6.3</v>
      </c>
      <c r="S80" s="255">
        <v>3.5</v>
      </c>
      <c r="T80" s="255">
        <v>11.9</v>
      </c>
      <c r="U80" s="255">
        <v>16.3</v>
      </c>
    </row>
    <row r="81" spans="1:21" ht="15.75" customHeight="1" thickBot="1" x14ac:dyDescent="0.3">
      <c r="A81" s="257">
        <v>80</v>
      </c>
      <c r="B81" s="259" t="s">
        <v>59</v>
      </c>
      <c r="C81" s="255">
        <v>30</v>
      </c>
      <c r="D81" s="255">
        <v>70.3</v>
      </c>
      <c r="E81" s="255">
        <v>25.7</v>
      </c>
      <c r="F81" s="255">
        <v>57.1</v>
      </c>
      <c r="G81" s="255">
        <v>45</v>
      </c>
      <c r="H81" s="255">
        <v>7.1</v>
      </c>
      <c r="I81" s="255">
        <v>21.1</v>
      </c>
      <c r="J81" s="255">
        <v>33.5</v>
      </c>
      <c r="K81" s="255">
        <v>11.9</v>
      </c>
      <c r="L81" s="255">
        <v>16.7</v>
      </c>
      <c r="M81" s="255">
        <v>71.099999999999994</v>
      </c>
      <c r="N81" s="255">
        <v>10.6</v>
      </c>
      <c r="O81" s="255">
        <v>24</v>
      </c>
      <c r="P81" s="255">
        <v>34.6</v>
      </c>
      <c r="Q81" s="255">
        <v>13.7</v>
      </c>
      <c r="R81" s="255">
        <v>5.0999999999999996</v>
      </c>
      <c r="S81" s="255">
        <v>2.5</v>
      </c>
      <c r="T81" s="255">
        <v>12.7</v>
      </c>
      <c r="U81" s="255">
        <v>16.899999999999999</v>
      </c>
    </row>
    <row r="82" spans="1:21" ht="15.75" customHeight="1" thickBot="1" x14ac:dyDescent="0.3">
      <c r="A82" s="257">
        <v>81</v>
      </c>
      <c r="B82" s="259" t="s">
        <v>263</v>
      </c>
      <c r="C82" s="255">
        <v>31</v>
      </c>
      <c r="D82" s="255">
        <v>70.3</v>
      </c>
      <c r="E82" s="255">
        <v>25.2</v>
      </c>
      <c r="F82" s="255">
        <v>60.2</v>
      </c>
      <c r="G82" s="255">
        <v>41.9</v>
      </c>
      <c r="H82" s="255">
        <v>8.1999999999999993</v>
      </c>
      <c r="I82" s="255">
        <v>25.5</v>
      </c>
      <c r="J82" s="255">
        <v>32.200000000000003</v>
      </c>
      <c r="K82" s="255">
        <v>11.6</v>
      </c>
      <c r="L82" s="255">
        <v>16.5</v>
      </c>
      <c r="M82" s="255">
        <v>70.5</v>
      </c>
      <c r="N82" s="255">
        <v>10.1</v>
      </c>
      <c r="O82" s="255">
        <v>22.6</v>
      </c>
      <c r="P82" s="255">
        <v>32.700000000000003</v>
      </c>
      <c r="Q82" s="255">
        <v>12.3</v>
      </c>
      <c r="R82" s="255">
        <v>7.7</v>
      </c>
      <c r="S82" s="255">
        <v>3.1</v>
      </c>
      <c r="T82" s="255">
        <v>9.5</v>
      </c>
      <c r="U82" s="255">
        <v>17.100000000000001</v>
      </c>
    </row>
    <row r="83" spans="1:21" ht="15.75" customHeight="1" thickBot="1" x14ac:dyDescent="0.3">
      <c r="A83" s="257">
        <v>82</v>
      </c>
      <c r="B83" s="259" t="s">
        <v>248</v>
      </c>
      <c r="C83" s="255">
        <v>33</v>
      </c>
      <c r="D83" s="255">
        <v>70.3</v>
      </c>
      <c r="E83" s="255">
        <v>24.4</v>
      </c>
      <c r="F83" s="255">
        <v>56.5</v>
      </c>
      <c r="G83" s="255">
        <v>43.2</v>
      </c>
      <c r="H83" s="255">
        <v>7.5</v>
      </c>
      <c r="I83" s="255">
        <v>23.9</v>
      </c>
      <c r="J83" s="255">
        <v>31.4</v>
      </c>
      <c r="K83" s="255">
        <v>14</v>
      </c>
      <c r="L83" s="255">
        <v>18.8</v>
      </c>
      <c r="M83" s="255">
        <v>74.2</v>
      </c>
      <c r="N83" s="255">
        <v>11.4</v>
      </c>
      <c r="O83" s="255">
        <v>24</v>
      </c>
      <c r="P83" s="255">
        <v>35.4</v>
      </c>
      <c r="Q83" s="255">
        <v>14.1</v>
      </c>
      <c r="R83" s="255">
        <v>6.3</v>
      </c>
      <c r="S83" s="255">
        <v>4.4000000000000004</v>
      </c>
      <c r="T83" s="255">
        <v>13.4</v>
      </c>
      <c r="U83" s="255">
        <v>16.100000000000001</v>
      </c>
    </row>
    <row r="84" spans="1:21" ht="15.75" customHeight="1" thickBot="1" x14ac:dyDescent="0.3">
      <c r="A84" s="257">
        <v>83</v>
      </c>
      <c r="B84" s="259" t="s">
        <v>333</v>
      </c>
      <c r="C84" s="255">
        <v>31</v>
      </c>
      <c r="D84" s="255">
        <v>70.400000000000006</v>
      </c>
      <c r="E84" s="255">
        <v>23</v>
      </c>
      <c r="F84" s="255">
        <v>57.8</v>
      </c>
      <c r="G84" s="255">
        <v>39.799999999999997</v>
      </c>
      <c r="H84" s="255">
        <v>8.5</v>
      </c>
      <c r="I84" s="255">
        <v>26</v>
      </c>
      <c r="J84" s="255">
        <v>32.700000000000003</v>
      </c>
      <c r="K84" s="255">
        <v>15.9</v>
      </c>
      <c r="L84" s="255">
        <v>21.2</v>
      </c>
      <c r="M84" s="255">
        <v>74.900000000000006</v>
      </c>
      <c r="N84" s="255">
        <v>10.8</v>
      </c>
      <c r="O84" s="255">
        <v>22.5</v>
      </c>
      <c r="P84" s="255">
        <v>33.299999999999997</v>
      </c>
      <c r="Q84" s="255">
        <v>12.2</v>
      </c>
      <c r="R84" s="255">
        <v>8.6999999999999993</v>
      </c>
      <c r="S84" s="255">
        <v>2.6</v>
      </c>
      <c r="T84" s="255">
        <v>11.1</v>
      </c>
      <c r="U84" s="255">
        <v>15.7</v>
      </c>
    </row>
    <row r="85" spans="1:21" ht="15.75" customHeight="1" thickBot="1" x14ac:dyDescent="0.3">
      <c r="A85" s="257">
        <v>83</v>
      </c>
      <c r="B85" s="259" t="s">
        <v>422</v>
      </c>
      <c r="C85" s="255">
        <v>31</v>
      </c>
      <c r="D85" s="255">
        <v>70.400000000000006</v>
      </c>
      <c r="E85" s="255">
        <v>24.5</v>
      </c>
      <c r="F85" s="255">
        <v>58.1</v>
      </c>
      <c r="G85" s="255">
        <v>42.2</v>
      </c>
      <c r="H85" s="255">
        <v>8.1</v>
      </c>
      <c r="I85" s="255">
        <v>23.2</v>
      </c>
      <c r="J85" s="255">
        <v>34.9</v>
      </c>
      <c r="K85" s="255">
        <v>13.2</v>
      </c>
      <c r="L85" s="255">
        <v>18.5</v>
      </c>
      <c r="M85" s="255">
        <v>71.3</v>
      </c>
      <c r="N85" s="255">
        <v>11.5</v>
      </c>
      <c r="O85" s="255">
        <v>26.2</v>
      </c>
      <c r="P85" s="255">
        <v>37.6</v>
      </c>
      <c r="Q85" s="255">
        <v>13.1</v>
      </c>
      <c r="R85" s="255">
        <v>6.7</v>
      </c>
      <c r="S85" s="255">
        <v>3.8</v>
      </c>
      <c r="T85" s="255">
        <v>12</v>
      </c>
      <c r="U85" s="255">
        <v>15.5</v>
      </c>
    </row>
    <row r="86" spans="1:21" ht="15.75" customHeight="1" thickBot="1" x14ac:dyDescent="0.3">
      <c r="A86" s="257">
        <v>85</v>
      </c>
      <c r="B86" s="259" t="s">
        <v>315</v>
      </c>
      <c r="C86" s="255">
        <v>31</v>
      </c>
      <c r="D86" s="255">
        <v>70.400000000000006</v>
      </c>
      <c r="E86" s="255">
        <v>23.5</v>
      </c>
      <c r="F86" s="255">
        <v>54</v>
      </c>
      <c r="G86" s="255">
        <v>43.5</v>
      </c>
      <c r="H86" s="255">
        <v>7</v>
      </c>
      <c r="I86" s="255">
        <v>21.5</v>
      </c>
      <c r="J86" s="255">
        <v>32.700000000000003</v>
      </c>
      <c r="K86" s="255">
        <v>16.5</v>
      </c>
      <c r="L86" s="255">
        <v>22.4</v>
      </c>
      <c r="M86" s="255">
        <v>73.400000000000006</v>
      </c>
      <c r="N86" s="255">
        <v>10.8</v>
      </c>
      <c r="O86" s="255">
        <v>21.4</v>
      </c>
      <c r="P86" s="255">
        <v>32.299999999999997</v>
      </c>
      <c r="Q86" s="255">
        <v>13.1</v>
      </c>
      <c r="R86" s="255">
        <v>9</v>
      </c>
      <c r="S86" s="255">
        <v>2.9</v>
      </c>
      <c r="T86" s="255">
        <v>12</v>
      </c>
      <c r="U86" s="255">
        <v>16.5</v>
      </c>
    </row>
    <row r="87" spans="1:21" ht="15.75" customHeight="1" thickBot="1" x14ac:dyDescent="0.3">
      <c r="A87" s="257">
        <v>86</v>
      </c>
      <c r="B87" s="259" t="s">
        <v>73</v>
      </c>
      <c r="C87" s="255">
        <v>31</v>
      </c>
      <c r="D87" s="255">
        <v>70.400000000000006</v>
      </c>
      <c r="E87" s="255">
        <v>24.4</v>
      </c>
      <c r="F87" s="255">
        <v>56.5</v>
      </c>
      <c r="G87" s="255">
        <v>43.2</v>
      </c>
      <c r="H87" s="255">
        <v>7.5</v>
      </c>
      <c r="I87" s="255">
        <v>23.1</v>
      </c>
      <c r="J87" s="255">
        <v>32.5</v>
      </c>
      <c r="K87" s="255">
        <v>14.1</v>
      </c>
      <c r="L87" s="255">
        <v>19.899999999999999</v>
      </c>
      <c r="M87" s="255">
        <v>70.599999999999994</v>
      </c>
      <c r="N87" s="255">
        <v>10.5</v>
      </c>
      <c r="O87" s="255">
        <v>23.1</v>
      </c>
      <c r="P87" s="255">
        <v>33.6</v>
      </c>
      <c r="Q87" s="255">
        <v>13</v>
      </c>
      <c r="R87" s="255">
        <v>4.9000000000000004</v>
      </c>
      <c r="S87" s="255">
        <v>3.6</v>
      </c>
      <c r="T87" s="255">
        <v>16.8</v>
      </c>
      <c r="U87" s="255">
        <v>20.100000000000001</v>
      </c>
    </row>
    <row r="88" spans="1:21" ht="15.75" customHeight="1" thickBot="1" x14ac:dyDescent="0.3">
      <c r="A88" s="257">
        <v>87</v>
      </c>
      <c r="B88" s="259" t="s">
        <v>96</v>
      </c>
      <c r="C88" s="255">
        <v>32</v>
      </c>
      <c r="D88" s="255">
        <v>70.400000000000006</v>
      </c>
      <c r="E88" s="255">
        <v>25.2</v>
      </c>
      <c r="F88" s="255">
        <v>56.8</v>
      </c>
      <c r="G88" s="255">
        <v>44.4</v>
      </c>
      <c r="H88" s="255">
        <v>8.5</v>
      </c>
      <c r="I88" s="255">
        <v>24.9</v>
      </c>
      <c r="J88" s="255">
        <v>34.1</v>
      </c>
      <c r="K88" s="255">
        <v>11.5</v>
      </c>
      <c r="L88" s="255">
        <v>15.7</v>
      </c>
      <c r="M88" s="255">
        <v>73.3</v>
      </c>
      <c r="N88" s="255">
        <v>8.6</v>
      </c>
      <c r="O88" s="255">
        <v>23.1</v>
      </c>
      <c r="P88" s="255">
        <v>31.7</v>
      </c>
      <c r="Q88" s="255">
        <v>13.6</v>
      </c>
      <c r="R88" s="255">
        <v>6.5</v>
      </c>
      <c r="S88" s="255">
        <v>3</v>
      </c>
      <c r="T88" s="255">
        <v>13.9</v>
      </c>
      <c r="U88" s="255">
        <v>15.9</v>
      </c>
    </row>
    <row r="89" spans="1:21" ht="15.75" customHeight="1" thickBot="1" x14ac:dyDescent="0.3">
      <c r="A89" s="257">
        <v>88</v>
      </c>
      <c r="B89" s="259" t="s">
        <v>216</v>
      </c>
      <c r="C89" s="255">
        <v>31</v>
      </c>
      <c r="D89" s="255">
        <v>70.5</v>
      </c>
      <c r="E89" s="255">
        <v>24.4</v>
      </c>
      <c r="F89" s="255">
        <v>54.7</v>
      </c>
      <c r="G89" s="255">
        <v>44.6</v>
      </c>
      <c r="H89" s="255">
        <v>7.8</v>
      </c>
      <c r="I89" s="255">
        <v>24.1</v>
      </c>
      <c r="J89" s="255">
        <v>32.6</v>
      </c>
      <c r="K89" s="255">
        <v>13.8</v>
      </c>
      <c r="L89" s="255">
        <v>19.2</v>
      </c>
      <c r="M89" s="255">
        <v>72</v>
      </c>
      <c r="N89" s="255">
        <v>9.6999999999999993</v>
      </c>
      <c r="O89" s="255">
        <v>24.5</v>
      </c>
      <c r="P89" s="255">
        <v>34.1</v>
      </c>
      <c r="Q89" s="255">
        <v>13.7</v>
      </c>
      <c r="R89" s="255">
        <v>6.7</v>
      </c>
      <c r="S89" s="255">
        <v>3.3</v>
      </c>
      <c r="T89" s="255">
        <v>10.6</v>
      </c>
      <c r="U89" s="255">
        <v>15.4</v>
      </c>
    </row>
    <row r="90" spans="1:21" ht="15.75" customHeight="1" thickBot="1" x14ac:dyDescent="0.3">
      <c r="A90" s="257">
        <v>88</v>
      </c>
      <c r="B90" s="259" t="s">
        <v>389</v>
      </c>
      <c r="C90" s="255">
        <v>31</v>
      </c>
      <c r="D90" s="255">
        <v>70.5</v>
      </c>
      <c r="E90" s="255">
        <v>23.9</v>
      </c>
      <c r="F90" s="255">
        <v>53</v>
      </c>
      <c r="G90" s="255">
        <v>45.1</v>
      </c>
      <c r="H90" s="255">
        <v>7.1</v>
      </c>
      <c r="I90" s="255">
        <v>20.2</v>
      </c>
      <c r="J90" s="255">
        <v>35.200000000000003</v>
      </c>
      <c r="K90" s="255">
        <v>15.5</v>
      </c>
      <c r="L90" s="255">
        <v>21.2</v>
      </c>
      <c r="M90" s="255">
        <v>73.400000000000006</v>
      </c>
      <c r="N90" s="255">
        <v>9.8000000000000007</v>
      </c>
      <c r="O90" s="255">
        <v>24.8</v>
      </c>
      <c r="P90" s="255">
        <v>34.6</v>
      </c>
      <c r="Q90" s="255">
        <v>12.8</v>
      </c>
      <c r="R90" s="255">
        <v>6.8</v>
      </c>
      <c r="S90" s="255">
        <v>3.1</v>
      </c>
      <c r="T90" s="255">
        <v>12.8</v>
      </c>
      <c r="U90" s="255">
        <v>18.100000000000001</v>
      </c>
    </row>
    <row r="91" spans="1:21" ht="15.75" customHeight="1" thickBot="1" x14ac:dyDescent="0.3">
      <c r="A91" s="257">
        <v>90</v>
      </c>
      <c r="B91" s="259" t="s">
        <v>36</v>
      </c>
      <c r="C91" s="255">
        <v>30</v>
      </c>
      <c r="D91" s="255">
        <v>70.5</v>
      </c>
      <c r="E91" s="255">
        <v>23.5</v>
      </c>
      <c r="F91" s="255">
        <v>55.5</v>
      </c>
      <c r="G91" s="255">
        <v>42.3</v>
      </c>
      <c r="H91" s="255">
        <v>7.6</v>
      </c>
      <c r="I91" s="255">
        <v>22.7</v>
      </c>
      <c r="J91" s="255">
        <v>33.5</v>
      </c>
      <c r="K91" s="255">
        <v>15.9</v>
      </c>
      <c r="L91" s="255">
        <v>21.5</v>
      </c>
      <c r="M91" s="255">
        <v>73.8</v>
      </c>
      <c r="N91" s="255">
        <v>11</v>
      </c>
      <c r="O91" s="255">
        <v>21.5</v>
      </c>
      <c r="P91" s="255">
        <v>32.4</v>
      </c>
      <c r="Q91" s="255">
        <v>11.5</v>
      </c>
      <c r="R91" s="255">
        <v>5.8</v>
      </c>
      <c r="S91" s="255">
        <v>3.2</v>
      </c>
      <c r="T91" s="255">
        <v>14.2</v>
      </c>
      <c r="U91" s="255">
        <v>17.7</v>
      </c>
    </row>
    <row r="92" spans="1:21" ht="15.75" customHeight="1" thickBot="1" x14ac:dyDescent="0.3">
      <c r="A92" s="257">
        <v>91</v>
      </c>
      <c r="B92" s="259" t="s">
        <v>471</v>
      </c>
      <c r="C92" s="255">
        <v>30</v>
      </c>
      <c r="D92" s="255">
        <v>70.5</v>
      </c>
      <c r="E92" s="255">
        <v>25.1</v>
      </c>
      <c r="F92" s="255">
        <v>59.2</v>
      </c>
      <c r="G92" s="255">
        <v>42.4</v>
      </c>
      <c r="H92" s="255">
        <v>6.2</v>
      </c>
      <c r="I92" s="255">
        <v>20</v>
      </c>
      <c r="J92" s="255">
        <v>30.8</v>
      </c>
      <c r="K92" s="255">
        <v>14.2</v>
      </c>
      <c r="L92" s="255">
        <v>20.100000000000001</v>
      </c>
      <c r="M92" s="255">
        <v>70.400000000000006</v>
      </c>
      <c r="N92" s="255">
        <v>10.8</v>
      </c>
      <c r="O92" s="255">
        <v>23.1</v>
      </c>
      <c r="P92" s="255">
        <v>33.9</v>
      </c>
      <c r="Q92" s="255">
        <v>10.8</v>
      </c>
      <c r="R92" s="255">
        <v>5.9</v>
      </c>
      <c r="S92" s="255">
        <v>3.5</v>
      </c>
      <c r="T92" s="255">
        <v>10.9</v>
      </c>
      <c r="U92" s="255">
        <v>17.899999999999999</v>
      </c>
    </row>
    <row r="93" spans="1:21" ht="15.75" customHeight="1" thickBot="1" x14ac:dyDescent="0.3">
      <c r="A93" s="257">
        <v>92</v>
      </c>
      <c r="B93" s="259" t="s">
        <v>274</v>
      </c>
      <c r="C93" s="255">
        <v>31</v>
      </c>
      <c r="D93" s="255">
        <v>70.599999999999994</v>
      </c>
      <c r="E93" s="255">
        <v>24.4</v>
      </c>
      <c r="F93" s="255">
        <v>54.1</v>
      </c>
      <c r="G93" s="255">
        <v>45.1</v>
      </c>
      <c r="H93" s="255">
        <v>5.7</v>
      </c>
      <c r="I93" s="255">
        <v>18.3</v>
      </c>
      <c r="J93" s="255">
        <v>31.3</v>
      </c>
      <c r="K93" s="255">
        <v>16.100000000000001</v>
      </c>
      <c r="L93" s="255">
        <v>23.8</v>
      </c>
      <c r="M93" s="255">
        <v>67.7</v>
      </c>
      <c r="N93" s="255">
        <v>9.9</v>
      </c>
      <c r="O93" s="255">
        <v>24.6</v>
      </c>
      <c r="P93" s="255">
        <v>34.5</v>
      </c>
      <c r="Q93" s="255">
        <v>12.4</v>
      </c>
      <c r="R93" s="255">
        <v>6.1</v>
      </c>
      <c r="S93" s="255">
        <v>4.2</v>
      </c>
      <c r="T93" s="255">
        <v>11.6</v>
      </c>
      <c r="U93" s="255">
        <v>18.600000000000001</v>
      </c>
    </row>
    <row r="94" spans="1:21" ht="15.75" customHeight="1" thickBot="1" x14ac:dyDescent="0.3">
      <c r="A94" s="257">
        <v>92</v>
      </c>
      <c r="B94" s="259" t="s">
        <v>429</v>
      </c>
      <c r="C94" s="255">
        <v>31</v>
      </c>
      <c r="D94" s="255">
        <v>70.599999999999994</v>
      </c>
      <c r="E94" s="255">
        <v>24.4</v>
      </c>
      <c r="F94" s="255">
        <v>55.2</v>
      </c>
      <c r="G94" s="255">
        <v>44.2</v>
      </c>
      <c r="H94" s="255">
        <v>7.3</v>
      </c>
      <c r="I94" s="255">
        <v>21.2</v>
      </c>
      <c r="J94" s="255">
        <v>34.6</v>
      </c>
      <c r="K94" s="255">
        <v>14.6</v>
      </c>
      <c r="L94" s="255">
        <v>20.9</v>
      </c>
      <c r="M94" s="255">
        <v>70</v>
      </c>
      <c r="N94" s="255">
        <v>9.5</v>
      </c>
      <c r="O94" s="255">
        <v>21.6</v>
      </c>
      <c r="P94" s="255">
        <v>31</v>
      </c>
      <c r="Q94" s="255">
        <v>10.8</v>
      </c>
      <c r="R94" s="255">
        <v>8</v>
      </c>
      <c r="S94" s="255">
        <v>4.3</v>
      </c>
      <c r="T94" s="255">
        <v>13.1</v>
      </c>
      <c r="U94" s="255">
        <v>16.399999999999999</v>
      </c>
    </row>
    <row r="95" spans="1:21" ht="15.75" customHeight="1" thickBot="1" x14ac:dyDescent="0.3">
      <c r="A95" s="257">
        <v>94</v>
      </c>
      <c r="B95" s="259" t="s">
        <v>305</v>
      </c>
      <c r="C95" s="255">
        <v>33</v>
      </c>
      <c r="D95" s="255">
        <v>70.7</v>
      </c>
      <c r="E95" s="255">
        <v>23.5</v>
      </c>
      <c r="F95" s="255">
        <v>51</v>
      </c>
      <c r="G95" s="255">
        <v>46.2</v>
      </c>
      <c r="H95" s="255">
        <v>6.6</v>
      </c>
      <c r="I95" s="255">
        <v>18.5</v>
      </c>
      <c r="J95" s="255">
        <v>35.6</v>
      </c>
      <c r="K95" s="255">
        <v>17</v>
      </c>
      <c r="L95" s="255">
        <v>23.4</v>
      </c>
      <c r="M95" s="255">
        <v>72.8</v>
      </c>
      <c r="N95" s="255">
        <v>9.8000000000000007</v>
      </c>
      <c r="O95" s="255">
        <v>24.8</v>
      </c>
      <c r="P95" s="255">
        <v>34.6</v>
      </c>
      <c r="Q95" s="255">
        <v>11.7</v>
      </c>
      <c r="R95" s="255">
        <v>5</v>
      </c>
      <c r="S95" s="255">
        <v>2.6</v>
      </c>
      <c r="T95" s="255">
        <v>11.7</v>
      </c>
      <c r="U95" s="255">
        <v>15.1</v>
      </c>
    </row>
    <row r="96" spans="1:21" ht="15.75" customHeight="1" thickBot="1" x14ac:dyDescent="0.3">
      <c r="A96" s="257">
        <v>95</v>
      </c>
      <c r="B96" s="259" t="s">
        <v>200</v>
      </c>
      <c r="C96" s="255">
        <v>30</v>
      </c>
      <c r="D96" s="255">
        <v>70.7</v>
      </c>
      <c r="E96" s="255">
        <v>25</v>
      </c>
      <c r="F96" s="255">
        <v>58.3</v>
      </c>
      <c r="G96" s="255">
        <v>42.9</v>
      </c>
      <c r="H96" s="255">
        <v>7.1</v>
      </c>
      <c r="I96" s="255">
        <v>22.4</v>
      </c>
      <c r="J96" s="255">
        <v>31.9</v>
      </c>
      <c r="K96" s="255">
        <v>13.5</v>
      </c>
      <c r="L96" s="255">
        <v>20.2</v>
      </c>
      <c r="M96" s="255">
        <v>67.099999999999994</v>
      </c>
      <c r="N96" s="255">
        <v>10.5</v>
      </c>
      <c r="O96" s="255">
        <v>27</v>
      </c>
      <c r="P96" s="255">
        <v>37.5</v>
      </c>
      <c r="Q96" s="255">
        <v>12.2</v>
      </c>
      <c r="R96" s="255">
        <v>6.3</v>
      </c>
      <c r="S96" s="255">
        <v>3.4</v>
      </c>
      <c r="T96" s="255">
        <v>10</v>
      </c>
      <c r="U96" s="255">
        <v>16.7</v>
      </c>
    </row>
    <row r="97" spans="1:21" ht="15.75" customHeight="1" thickBot="1" x14ac:dyDescent="0.3">
      <c r="A97" s="257">
        <v>95</v>
      </c>
      <c r="B97" s="259" t="s">
        <v>55</v>
      </c>
      <c r="C97" s="255">
        <v>30</v>
      </c>
      <c r="D97" s="255">
        <v>70.7</v>
      </c>
      <c r="E97" s="255">
        <v>25.3</v>
      </c>
      <c r="F97" s="255">
        <v>59.7</v>
      </c>
      <c r="G97" s="255">
        <v>42.3</v>
      </c>
      <c r="H97" s="255">
        <v>6.7</v>
      </c>
      <c r="I97" s="255">
        <v>20.6</v>
      </c>
      <c r="J97" s="255">
        <v>32.299999999999997</v>
      </c>
      <c r="K97" s="255">
        <v>13.5</v>
      </c>
      <c r="L97" s="255">
        <v>18.8</v>
      </c>
      <c r="M97" s="255">
        <v>71.900000000000006</v>
      </c>
      <c r="N97" s="255">
        <v>10.9</v>
      </c>
      <c r="O97" s="255">
        <v>23.6</v>
      </c>
      <c r="P97" s="255">
        <v>34.5</v>
      </c>
      <c r="Q97" s="255">
        <v>12.2</v>
      </c>
      <c r="R97" s="255">
        <v>6.2</v>
      </c>
      <c r="S97" s="255">
        <v>3.9</v>
      </c>
      <c r="T97" s="255">
        <v>14</v>
      </c>
      <c r="U97" s="255">
        <v>20.8</v>
      </c>
    </row>
    <row r="98" spans="1:21" ht="15.75" customHeight="1" thickBot="1" x14ac:dyDescent="0.3">
      <c r="A98" s="257">
        <v>97</v>
      </c>
      <c r="B98" s="259" t="s">
        <v>425</v>
      </c>
      <c r="C98" s="255">
        <v>30</v>
      </c>
      <c r="D98" s="255">
        <v>70.8</v>
      </c>
      <c r="E98" s="255">
        <v>25</v>
      </c>
      <c r="F98" s="255">
        <v>56.4</v>
      </c>
      <c r="G98" s="255">
        <v>44.4</v>
      </c>
      <c r="H98" s="255">
        <v>6.6</v>
      </c>
      <c r="I98" s="255">
        <v>20.6</v>
      </c>
      <c r="J98" s="255">
        <v>31.9</v>
      </c>
      <c r="K98" s="255">
        <v>14.1</v>
      </c>
      <c r="L98" s="255">
        <v>20</v>
      </c>
      <c r="M98" s="255">
        <v>70.8</v>
      </c>
      <c r="N98" s="255">
        <v>10</v>
      </c>
      <c r="O98" s="255">
        <v>23.4</v>
      </c>
      <c r="P98" s="255">
        <v>33.4</v>
      </c>
      <c r="Q98" s="255">
        <v>12.5</v>
      </c>
      <c r="R98" s="255">
        <v>5.4</v>
      </c>
      <c r="S98" s="255">
        <v>4.0999999999999996</v>
      </c>
      <c r="T98" s="255">
        <v>10.1</v>
      </c>
      <c r="U98" s="255">
        <v>18.600000000000001</v>
      </c>
    </row>
    <row r="99" spans="1:21" ht="15.75" customHeight="1" thickBot="1" x14ac:dyDescent="0.3">
      <c r="A99" s="257">
        <v>98</v>
      </c>
      <c r="B99" s="259" t="s">
        <v>271</v>
      </c>
      <c r="C99" s="255">
        <v>31</v>
      </c>
      <c r="D99" s="255">
        <v>70.8</v>
      </c>
      <c r="E99" s="255">
        <v>24.4</v>
      </c>
      <c r="F99" s="255">
        <v>55.3</v>
      </c>
      <c r="G99" s="255">
        <v>44.1</v>
      </c>
      <c r="H99" s="255">
        <v>6.3</v>
      </c>
      <c r="I99" s="255">
        <v>19.5</v>
      </c>
      <c r="J99" s="255">
        <v>32.299999999999997</v>
      </c>
      <c r="K99" s="255">
        <v>15.7</v>
      </c>
      <c r="L99" s="255">
        <v>21.8</v>
      </c>
      <c r="M99" s="255">
        <v>71.8</v>
      </c>
      <c r="N99" s="255">
        <v>10.4</v>
      </c>
      <c r="O99" s="255">
        <v>23.2</v>
      </c>
      <c r="P99" s="255">
        <v>33.6</v>
      </c>
      <c r="Q99" s="255">
        <v>12.6</v>
      </c>
      <c r="R99" s="255">
        <v>8.5</v>
      </c>
      <c r="S99" s="255">
        <v>4.3</v>
      </c>
      <c r="T99" s="255">
        <v>14.8</v>
      </c>
      <c r="U99" s="255">
        <v>18.100000000000001</v>
      </c>
    </row>
    <row r="100" spans="1:21" ht="15.75" customHeight="1" thickBot="1" x14ac:dyDescent="0.3">
      <c r="A100" s="257">
        <v>99</v>
      </c>
      <c r="B100" s="259" t="s">
        <v>411</v>
      </c>
      <c r="C100" s="255">
        <v>32</v>
      </c>
      <c r="D100" s="255">
        <v>70.8</v>
      </c>
      <c r="E100" s="255">
        <v>23.4</v>
      </c>
      <c r="F100" s="255">
        <v>54.9</v>
      </c>
      <c r="G100" s="255">
        <v>42.7</v>
      </c>
      <c r="H100" s="255">
        <v>5.9</v>
      </c>
      <c r="I100" s="255">
        <v>18.3</v>
      </c>
      <c r="J100" s="255">
        <v>32.299999999999997</v>
      </c>
      <c r="K100" s="255">
        <v>18</v>
      </c>
      <c r="L100" s="255">
        <v>24.5</v>
      </c>
      <c r="M100" s="255">
        <v>73.599999999999994</v>
      </c>
      <c r="N100" s="255">
        <v>9.1</v>
      </c>
      <c r="O100" s="255">
        <v>23.4</v>
      </c>
      <c r="P100" s="255">
        <v>32.5</v>
      </c>
      <c r="Q100" s="255">
        <v>10.199999999999999</v>
      </c>
      <c r="R100" s="255">
        <v>7.2</v>
      </c>
      <c r="S100" s="255">
        <v>3.4</v>
      </c>
      <c r="T100" s="255">
        <v>13.4</v>
      </c>
      <c r="U100" s="255">
        <v>18</v>
      </c>
    </row>
    <row r="101" spans="1:21" ht="15.75" customHeight="1" thickBot="1" x14ac:dyDescent="0.3">
      <c r="A101" s="257">
        <v>100</v>
      </c>
      <c r="B101" s="259" t="s">
        <v>71</v>
      </c>
      <c r="C101" s="255">
        <v>27</v>
      </c>
      <c r="D101" s="255">
        <v>70.8</v>
      </c>
      <c r="E101" s="255">
        <v>25.3</v>
      </c>
      <c r="F101" s="255">
        <v>58.3</v>
      </c>
      <c r="G101" s="255">
        <v>43.5</v>
      </c>
      <c r="H101" s="255">
        <v>9.1</v>
      </c>
      <c r="I101" s="255">
        <v>26.3</v>
      </c>
      <c r="J101" s="255">
        <v>34.799999999999997</v>
      </c>
      <c r="K101" s="255">
        <v>11</v>
      </c>
      <c r="L101" s="255">
        <v>15.3</v>
      </c>
      <c r="M101" s="255">
        <v>71.7</v>
      </c>
      <c r="N101" s="255">
        <v>9.6999999999999993</v>
      </c>
      <c r="O101" s="255">
        <v>20.9</v>
      </c>
      <c r="P101" s="255">
        <v>30.5</v>
      </c>
      <c r="Q101" s="255">
        <v>13.1</v>
      </c>
      <c r="R101" s="255">
        <v>5.3</v>
      </c>
      <c r="S101" s="255">
        <v>3.4</v>
      </c>
      <c r="T101" s="255">
        <v>11.2</v>
      </c>
      <c r="U101" s="255">
        <v>18</v>
      </c>
    </row>
    <row r="102" spans="1:21" ht="15.75" customHeight="1" thickBot="1" x14ac:dyDescent="0.3">
      <c r="A102" s="257">
        <v>101</v>
      </c>
      <c r="B102" s="259" t="s">
        <v>88</v>
      </c>
      <c r="C102" s="255">
        <v>30</v>
      </c>
      <c r="D102" s="255">
        <v>70.900000000000006</v>
      </c>
      <c r="E102" s="255">
        <v>26.3</v>
      </c>
      <c r="F102" s="255">
        <v>63.2</v>
      </c>
      <c r="G102" s="255">
        <v>41.6</v>
      </c>
      <c r="H102" s="255">
        <v>7.9</v>
      </c>
      <c r="I102" s="255">
        <v>23.2</v>
      </c>
      <c r="J102" s="255">
        <v>34.200000000000003</v>
      </c>
      <c r="K102" s="255">
        <v>10.4</v>
      </c>
      <c r="L102" s="255">
        <v>14.8</v>
      </c>
      <c r="M102" s="255">
        <v>70.400000000000006</v>
      </c>
      <c r="N102" s="255">
        <v>10.7</v>
      </c>
      <c r="O102" s="255">
        <v>23.5</v>
      </c>
      <c r="P102" s="255">
        <v>34.1</v>
      </c>
      <c r="Q102" s="255">
        <v>12.7</v>
      </c>
      <c r="R102" s="255">
        <v>5.6</v>
      </c>
      <c r="S102" s="255">
        <v>3</v>
      </c>
      <c r="T102" s="255">
        <v>9.5</v>
      </c>
      <c r="U102" s="255">
        <v>18.600000000000001</v>
      </c>
    </row>
    <row r="103" spans="1:21" ht="15.75" customHeight="1" thickBot="1" x14ac:dyDescent="0.3">
      <c r="A103" s="257">
        <v>102</v>
      </c>
      <c r="B103" s="259" t="s">
        <v>457</v>
      </c>
      <c r="C103" s="255">
        <v>32</v>
      </c>
      <c r="D103" s="255">
        <v>70.900000000000006</v>
      </c>
      <c r="E103" s="255">
        <v>25.2</v>
      </c>
      <c r="F103" s="255">
        <v>56.6</v>
      </c>
      <c r="G103" s="255">
        <v>44.5</v>
      </c>
      <c r="H103" s="255">
        <v>6.8</v>
      </c>
      <c r="I103" s="255">
        <v>20.9</v>
      </c>
      <c r="J103" s="255">
        <v>32.4</v>
      </c>
      <c r="K103" s="255">
        <v>13.7</v>
      </c>
      <c r="L103" s="255">
        <v>19.3</v>
      </c>
      <c r="M103" s="255">
        <v>71</v>
      </c>
      <c r="N103" s="255">
        <v>10.3</v>
      </c>
      <c r="O103" s="255">
        <v>24.7</v>
      </c>
      <c r="P103" s="255">
        <v>35</v>
      </c>
      <c r="Q103" s="255">
        <v>12.3</v>
      </c>
      <c r="R103" s="255">
        <v>4.8</v>
      </c>
      <c r="S103" s="255">
        <v>3.1</v>
      </c>
      <c r="T103" s="255">
        <v>11.6</v>
      </c>
      <c r="U103" s="255">
        <v>19</v>
      </c>
    </row>
    <row r="104" spans="1:21" ht="15.75" customHeight="1" thickBot="1" x14ac:dyDescent="0.3">
      <c r="A104" s="257">
        <v>103</v>
      </c>
      <c r="B104" s="259" t="s">
        <v>240</v>
      </c>
      <c r="C104" s="255">
        <v>29</v>
      </c>
      <c r="D104" s="255">
        <v>70.900000000000006</v>
      </c>
      <c r="E104" s="255">
        <v>25</v>
      </c>
      <c r="F104" s="255">
        <v>52.7</v>
      </c>
      <c r="G104" s="255">
        <v>47.4</v>
      </c>
      <c r="H104" s="255">
        <v>6.6</v>
      </c>
      <c r="I104" s="255">
        <v>18.600000000000001</v>
      </c>
      <c r="J104" s="255">
        <v>35.4</v>
      </c>
      <c r="K104" s="255">
        <v>14.4</v>
      </c>
      <c r="L104" s="255">
        <v>20.100000000000001</v>
      </c>
      <c r="M104" s="255">
        <v>71.599999999999994</v>
      </c>
      <c r="N104" s="255">
        <v>8.9</v>
      </c>
      <c r="O104" s="255">
        <v>25.5</v>
      </c>
      <c r="P104" s="255">
        <v>34.4</v>
      </c>
      <c r="Q104" s="255">
        <v>13.9</v>
      </c>
      <c r="R104" s="255">
        <v>6.7</v>
      </c>
      <c r="S104" s="255">
        <v>4</v>
      </c>
      <c r="T104" s="255">
        <v>13.6</v>
      </c>
      <c r="U104" s="255">
        <v>15.8</v>
      </c>
    </row>
    <row r="105" spans="1:21" ht="15.75" customHeight="1" thickBot="1" x14ac:dyDescent="0.3">
      <c r="A105" s="257">
        <v>104</v>
      </c>
      <c r="B105" s="259" t="s">
        <v>218</v>
      </c>
      <c r="C105" s="255">
        <v>30</v>
      </c>
      <c r="D105" s="255">
        <v>70.900000000000006</v>
      </c>
      <c r="E105" s="255">
        <v>25.7</v>
      </c>
      <c r="F105" s="255">
        <v>59.8</v>
      </c>
      <c r="G105" s="255">
        <v>43</v>
      </c>
      <c r="H105" s="255">
        <v>7.9</v>
      </c>
      <c r="I105" s="255">
        <v>23.9</v>
      </c>
      <c r="J105" s="255">
        <v>32.9</v>
      </c>
      <c r="K105" s="255">
        <v>11.6</v>
      </c>
      <c r="L105" s="255">
        <v>15.2</v>
      </c>
      <c r="M105" s="255">
        <v>76.400000000000006</v>
      </c>
      <c r="N105" s="255">
        <v>10.199999999999999</v>
      </c>
      <c r="O105" s="255">
        <v>22.8</v>
      </c>
      <c r="P105" s="255">
        <v>33</v>
      </c>
      <c r="Q105" s="255">
        <v>14</v>
      </c>
      <c r="R105" s="255">
        <v>6.3</v>
      </c>
      <c r="S105" s="255">
        <v>2.2999999999999998</v>
      </c>
      <c r="T105" s="255">
        <v>9.4</v>
      </c>
      <c r="U105" s="255">
        <v>15.9</v>
      </c>
    </row>
    <row r="106" spans="1:21" ht="15.75" customHeight="1" thickBot="1" x14ac:dyDescent="0.3">
      <c r="A106" s="257">
        <v>105</v>
      </c>
      <c r="B106" s="259" t="s">
        <v>37</v>
      </c>
      <c r="C106" s="255">
        <v>30</v>
      </c>
      <c r="D106" s="255">
        <v>71</v>
      </c>
      <c r="E106" s="255">
        <v>24.2</v>
      </c>
      <c r="F106" s="255">
        <v>55.7</v>
      </c>
      <c r="G106" s="255">
        <v>43.4</v>
      </c>
      <c r="H106" s="255">
        <v>7.9</v>
      </c>
      <c r="I106" s="255">
        <v>25.2</v>
      </c>
      <c r="J106" s="255">
        <v>31.3</v>
      </c>
      <c r="K106" s="255">
        <v>14.8</v>
      </c>
      <c r="L106" s="255">
        <v>19.7</v>
      </c>
      <c r="M106" s="255">
        <v>75</v>
      </c>
      <c r="N106" s="255">
        <v>10.7</v>
      </c>
      <c r="O106" s="255">
        <v>22.2</v>
      </c>
      <c r="P106" s="255">
        <v>32.9</v>
      </c>
      <c r="Q106" s="255">
        <v>14.7</v>
      </c>
      <c r="R106" s="255">
        <v>4.9000000000000004</v>
      </c>
      <c r="S106" s="255">
        <v>2.9</v>
      </c>
      <c r="T106" s="255">
        <v>12.3</v>
      </c>
      <c r="U106" s="255">
        <v>18</v>
      </c>
    </row>
    <row r="107" spans="1:21" ht="15.75" customHeight="1" thickBot="1" x14ac:dyDescent="0.3">
      <c r="A107" s="257">
        <v>105</v>
      </c>
      <c r="B107" s="259" t="s">
        <v>398</v>
      </c>
      <c r="C107" s="255">
        <v>29</v>
      </c>
      <c r="D107" s="255">
        <v>71</v>
      </c>
      <c r="E107" s="255">
        <v>22.7</v>
      </c>
      <c r="F107" s="255">
        <v>56.7</v>
      </c>
      <c r="G107" s="255">
        <v>39.9</v>
      </c>
      <c r="H107" s="255">
        <v>9.1</v>
      </c>
      <c r="I107" s="255">
        <v>27.5</v>
      </c>
      <c r="J107" s="255">
        <v>33.1</v>
      </c>
      <c r="K107" s="255">
        <v>16.5</v>
      </c>
      <c r="L107" s="255">
        <v>22.4</v>
      </c>
      <c r="M107" s="255">
        <v>73.8</v>
      </c>
      <c r="N107" s="255">
        <v>11.1</v>
      </c>
      <c r="O107" s="255">
        <v>22.7</v>
      </c>
      <c r="P107" s="255">
        <v>33.799999999999997</v>
      </c>
      <c r="Q107" s="255">
        <v>13.2</v>
      </c>
      <c r="R107" s="255">
        <v>6.7</v>
      </c>
      <c r="S107" s="255">
        <v>2.2999999999999998</v>
      </c>
      <c r="T107" s="255">
        <v>14.8</v>
      </c>
      <c r="U107" s="255">
        <v>17.7</v>
      </c>
    </row>
    <row r="108" spans="1:21" ht="15.75" customHeight="1" thickBot="1" x14ac:dyDescent="0.3">
      <c r="A108" s="257">
        <v>107</v>
      </c>
      <c r="B108" s="259" t="s">
        <v>230</v>
      </c>
      <c r="C108" s="255">
        <v>30</v>
      </c>
      <c r="D108" s="255">
        <v>71.2</v>
      </c>
      <c r="E108" s="255">
        <v>25.1</v>
      </c>
      <c r="F108" s="255">
        <v>55.7</v>
      </c>
      <c r="G108" s="255">
        <v>45.1</v>
      </c>
      <c r="H108" s="255">
        <v>8.4</v>
      </c>
      <c r="I108" s="255">
        <v>24.5</v>
      </c>
      <c r="J108" s="255">
        <v>34.5</v>
      </c>
      <c r="K108" s="255">
        <v>12.5</v>
      </c>
      <c r="L108" s="255">
        <v>18</v>
      </c>
      <c r="M108" s="255">
        <v>69.599999999999994</v>
      </c>
      <c r="N108" s="255">
        <v>9.4</v>
      </c>
      <c r="O108" s="255">
        <v>19.5</v>
      </c>
      <c r="P108" s="255">
        <v>28.9</v>
      </c>
      <c r="Q108" s="255">
        <v>12.1</v>
      </c>
      <c r="R108" s="255">
        <v>6.7</v>
      </c>
      <c r="S108" s="255">
        <v>2.1</v>
      </c>
      <c r="T108" s="255">
        <v>9.8000000000000007</v>
      </c>
      <c r="U108" s="255">
        <v>19.100000000000001</v>
      </c>
    </row>
    <row r="109" spans="1:21" ht="15.75" customHeight="1" thickBot="1" x14ac:dyDescent="0.3">
      <c r="A109" s="257">
        <v>108</v>
      </c>
      <c r="B109" s="259" t="s">
        <v>330</v>
      </c>
      <c r="C109" s="255">
        <v>31</v>
      </c>
      <c r="D109" s="255">
        <v>71.2</v>
      </c>
      <c r="E109" s="255">
        <v>26.1</v>
      </c>
      <c r="F109" s="255">
        <v>58.5</v>
      </c>
      <c r="G109" s="255">
        <v>44.6</v>
      </c>
      <c r="H109" s="255">
        <v>6.7</v>
      </c>
      <c r="I109" s="255">
        <v>19.899999999999999</v>
      </c>
      <c r="J109" s="255">
        <v>33.5</v>
      </c>
      <c r="K109" s="255">
        <v>12.3</v>
      </c>
      <c r="L109" s="255">
        <v>16.100000000000001</v>
      </c>
      <c r="M109" s="255">
        <v>76.599999999999994</v>
      </c>
      <c r="N109" s="255">
        <v>9.1</v>
      </c>
      <c r="O109" s="255">
        <v>23.5</v>
      </c>
      <c r="P109" s="255">
        <v>32.6</v>
      </c>
      <c r="Q109" s="255">
        <v>11.4</v>
      </c>
      <c r="R109" s="255">
        <v>5.5</v>
      </c>
      <c r="S109" s="255">
        <v>2.2999999999999998</v>
      </c>
      <c r="T109" s="255">
        <v>11.3</v>
      </c>
      <c r="U109" s="255">
        <v>16.5</v>
      </c>
    </row>
    <row r="110" spans="1:21" ht="15.75" customHeight="1" thickBot="1" x14ac:dyDescent="0.3">
      <c r="A110" s="257">
        <v>109</v>
      </c>
      <c r="B110" s="259" t="s">
        <v>341</v>
      </c>
      <c r="C110" s="255">
        <v>30</v>
      </c>
      <c r="D110" s="255">
        <v>71.2</v>
      </c>
      <c r="E110" s="255">
        <v>24.8</v>
      </c>
      <c r="F110" s="255">
        <v>54.3</v>
      </c>
      <c r="G110" s="255">
        <v>45.7</v>
      </c>
      <c r="H110" s="255">
        <v>7.6</v>
      </c>
      <c r="I110" s="255">
        <v>21.9</v>
      </c>
      <c r="J110" s="255">
        <v>34.799999999999997</v>
      </c>
      <c r="K110" s="255">
        <v>14</v>
      </c>
      <c r="L110" s="255">
        <v>18</v>
      </c>
      <c r="M110" s="255">
        <v>77.8</v>
      </c>
      <c r="N110" s="255">
        <v>10.199999999999999</v>
      </c>
      <c r="O110" s="255">
        <v>23.4</v>
      </c>
      <c r="P110" s="255">
        <v>33.6</v>
      </c>
      <c r="Q110" s="255">
        <v>13</v>
      </c>
      <c r="R110" s="255">
        <v>6.7</v>
      </c>
      <c r="S110" s="255">
        <v>2.9</v>
      </c>
      <c r="T110" s="255">
        <v>10.6</v>
      </c>
      <c r="U110" s="255">
        <v>15.2</v>
      </c>
    </row>
    <row r="111" spans="1:21" ht="15.75" customHeight="1" thickBot="1" x14ac:dyDescent="0.3">
      <c r="A111" s="257">
        <v>110</v>
      </c>
      <c r="B111" s="259" t="s">
        <v>373</v>
      </c>
      <c r="C111" s="255">
        <v>30</v>
      </c>
      <c r="D111" s="255">
        <v>71.3</v>
      </c>
      <c r="E111" s="255">
        <v>25.3</v>
      </c>
      <c r="F111" s="255">
        <v>55.1</v>
      </c>
      <c r="G111" s="255">
        <v>45.9</v>
      </c>
      <c r="H111" s="255">
        <v>7.8</v>
      </c>
      <c r="I111" s="255">
        <v>22.6</v>
      </c>
      <c r="J111" s="255">
        <v>34.6</v>
      </c>
      <c r="K111" s="255">
        <v>12.9</v>
      </c>
      <c r="L111" s="255">
        <v>17.100000000000001</v>
      </c>
      <c r="M111" s="255">
        <v>75.8</v>
      </c>
      <c r="N111" s="255">
        <v>9.1</v>
      </c>
      <c r="O111" s="255">
        <v>23.3</v>
      </c>
      <c r="P111" s="255">
        <v>32.4</v>
      </c>
      <c r="Q111" s="255">
        <v>13.3</v>
      </c>
      <c r="R111" s="255">
        <v>6.3</v>
      </c>
      <c r="S111" s="255">
        <v>2.9</v>
      </c>
      <c r="T111" s="255">
        <v>10.7</v>
      </c>
      <c r="U111" s="255">
        <v>15.7</v>
      </c>
    </row>
    <row r="112" spans="1:21" ht="15.75" customHeight="1" thickBot="1" x14ac:dyDescent="0.3">
      <c r="A112" s="257">
        <v>110</v>
      </c>
      <c r="B112" s="259" t="s">
        <v>231</v>
      </c>
      <c r="C112" s="255">
        <v>27</v>
      </c>
      <c r="D112" s="255">
        <v>71.3</v>
      </c>
      <c r="E112" s="255">
        <v>25.1</v>
      </c>
      <c r="F112" s="255">
        <v>58.3</v>
      </c>
      <c r="G112" s="255">
        <v>43</v>
      </c>
      <c r="H112" s="255">
        <v>7</v>
      </c>
      <c r="I112" s="255">
        <v>21</v>
      </c>
      <c r="J112" s="255">
        <v>33.5</v>
      </c>
      <c r="K112" s="255">
        <v>14.1</v>
      </c>
      <c r="L112" s="255">
        <v>19.100000000000001</v>
      </c>
      <c r="M112" s="255">
        <v>73.8</v>
      </c>
      <c r="N112" s="255">
        <v>9.4</v>
      </c>
      <c r="O112" s="255">
        <v>21.1</v>
      </c>
      <c r="P112" s="255">
        <v>30.5</v>
      </c>
      <c r="Q112" s="255">
        <v>14.6</v>
      </c>
      <c r="R112" s="255">
        <v>6.9</v>
      </c>
      <c r="S112" s="255">
        <v>3.8</v>
      </c>
      <c r="T112" s="255">
        <v>10.1</v>
      </c>
      <c r="U112" s="255">
        <v>15.8</v>
      </c>
    </row>
    <row r="113" spans="1:21" ht="15.75" customHeight="1" thickBot="1" x14ac:dyDescent="0.3">
      <c r="A113" s="257">
        <v>112</v>
      </c>
      <c r="B113" s="259" t="s">
        <v>188</v>
      </c>
      <c r="C113" s="255">
        <v>32</v>
      </c>
      <c r="D113" s="255">
        <v>71.3</v>
      </c>
      <c r="E113" s="255">
        <v>24.6</v>
      </c>
      <c r="F113" s="255">
        <v>52.8</v>
      </c>
      <c r="G113" s="255">
        <v>46.5</v>
      </c>
      <c r="H113" s="255">
        <v>6.7</v>
      </c>
      <c r="I113" s="255">
        <v>19.600000000000001</v>
      </c>
      <c r="J113" s="255">
        <v>34</v>
      </c>
      <c r="K113" s="255">
        <v>15.6</v>
      </c>
      <c r="L113" s="255">
        <v>21.5</v>
      </c>
      <c r="M113" s="255">
        <v>72.400000000000006</v>
      </c>
      <c r="N113" s="255">
        <v>9</v>
      </c>
      <c r="O113" s="255">
        <v>24.5</v>
      </c>
      <c r="P113" s="255">
        <v>33.4</v>
      </c>
      <c r="Q113" s="255">
        <v>13.1</v>
      </c>
      <c r="R113" s="255">
        <v>6.2</v>
      </c>
      <c r="S113" s="255">
        <v>2.9</v>
      </c>
      <c r="T113" s="255">
        <v>13.2</v>
      </c>
      <c r="U113" s="255">
        <v>17</v>
      </c>
    </row>
    <row r="114" spans="1:21" ht="15.75" customHeight="1" thickBot="1" x14ac:dyDescent="0.3">
      <c r="A114" s="257">
        <v>113</v>
      </c>
      <c r="B114" s="259" t="s">
        <v>328</v>
      </c>
      <c r="C114" s="255">
        <v>31</v>
      </c>
      <c r="D114" s="255">
        <v>71.400000000000006</v>
      </c>
      <c r="E114" s="255">
        <v>25.3</v>
      </c>
      <c r="F114" s="255">
        <v>57.9</v>
      </c>
      <c r="G114" s="255">
        <v>43.7</v>
      </c>
      <c r="H114" s="255">
        <v>7.7</v>
      </c>
      <c r="I114" s="255">
        <v>22.3</v>
      </c>
      <c r="J114" s="255">
        <v>34.5</v>
      </c>
      <c r="K114" s="255">
        <v>13.1</v>
      </c>
      <c r="L114" s="255">
        <v>18.2</v>
      </c>
      <c r="M114" s="255">
        <v>72</v>
      </c>
      <c r="N114" s="255">
        <v>11.1</v>
      </c>
      <c r="O114" s="255">
        <v>24</v>
      </c>
      <c r="P114" s="255">
        <v>35.1</v>
      </c>
      <c r="Q114" s="255">
        <v>12.9</v>
      </c>
      <c r="R114" s="255">
        <v>6.3</v>
      </c>
      <c r="S114" s="255">
        <v>3.5</v>
      </c>
      <c r="T114" s="255">
        <v>13.4</v>
      </c>
      <c r="U114" s="255">
        <v>16.8</v>
      </c>
    </row>
    <row r="115" spans="1:21" ht="15.75" customHeight="1" thickBot="1" x14ac:dyDescent="0.3">
      <c r="A115" s="257">
        <v>114</v>
      </c>
      <c r="B115" s="259" t="s">
        <v>93</v>
      </c>
      <c r="C115" s="255">
        <v>30</v>
      </c>
      <c r="D115" s="255">
        <v>71.5</v>
      </c>
      <c r="E115" s="255">
        <v>24.4</v>
      </c>
      <c r="F115" s="255">
        <v>57.6</v>
      </c>
      <c r="G115" s="255">
        <v>42.3</v>
      </c>
      <c r="H115" s="255">
        <v>6.9</v>
      </c>
      <c r="I115" s="255">
        <v>21.2</v>
      </c>
      <c r="J115" s="255">
        <v>32.4</v>
      </c>
      <c r="K115" s="255">
        <v>15.9</v>
      </c>
      <c r="L115" s="255">
        <v>21.1</v>
      </c>
      <c r="M115" s="255">
        <v>75.3</v>
      </c>
      <c r="N115" s="255">
        <v>10.3</v>
      </c>
      <c r="O115" s="255">
        <v>22.6</v>
      </c>
      <c r="P115" s="255">
        <v>32.799999999999997</v>
      </c>
      <c r="Q115" s="255">
        <v>11.9</v>
      </c>
      <c r="R115" s="255">
        <v>5.5</v>
      </c>
      <c r="S115" s="255">
        <v>2.9</v>
      </c>
      <c r="T115" s="255">
        <v>10.3</v>
      </c>
      <c r="U115" s="255">
        <v>17.3</v>
      </c>
    </row>
    <row r="116" spans="1:21" ht="15.75" customHeight="1" thickBot="1" x14ac:dyDescent="0.3">
      <c r="A116" s="257">
        <v>114</v>
      </c>
      <c r="B116" s="259" t="s">
        <v>202</v>
      </c>
      <c r="C116" s="255">
        <v>30</v>
      </c>
      <c r="D116" s="255">
        <v>71.5</v>
      </c>
      <c r="E116" s="255">
        <v>24.3</v>
      </c>
      <c r="F116" s="255">
        <v>56.1</v>
      </c>
      <c r="G116" s="255">
        <v>43.3</v>
      </c>
      <c r="H116" s="255">
        <v>8.1999999999999993</v>
      </c>
      <c r="I116" s="255">
        <v>24</v>
      </c>
      <c r="J116" s="255">
        <v>34</v>
      </c>
      <c r="K116" s="255">
        <v>14.8</v>
      </c>
      <c r="L116" s="255">
        <v>20.5</v>
      </c>
      <c r="M116" s="255">
        <v>72</v>
      </c>
      <c r="N116" s="255">
        <v>8.8000000000000007</v>
      </c>
      <c r="O116" s="255">
        <v>24.6</v>
      </c>
      <c r="P116" s="255">
        <v>33.299999999999997</v>
      </c>
      <c r="Q116" s="255">
        <v>13.1</v>
      </c>
      <c r="R116" s="255">
        <v>6.5</v>
      </c>
      <c r="S116" s="255">
        <v>3.6</v>
      </c>
      <c r="T116" s="255">
        <v>14.9</v>
      </c>
      <c r="U116" s="255">
        <v>19.100000000000001</v>
      </c>
    </row>
    <row r="117" spans="1:21" ht="15.75" customHeight="1" thickBot="1" x14ac:dyDescent="0.3">
      <c r="A117" s="257">
        <v>116</v>
      </c>
      <c r="B117" s="259" t="s">
        <v>61</v>
      </c>
      <c r="C117" s="255">
        <v>30</v>
      </c>
      <c r="D117" s="255">
        <v>71.5</v>
      </c>
      <c r="E117" s="255">
        <v>25</v>
      </c>
      <c r="F117" s="255">
        <v>61.5</v>
      </c>
      <c r="G117" s="255">
        <v>40.700000000000003</v>
      </c>
      <c r="H117" s="255">
        <v>6.6</v>
      </c>
      <c r="I117" s="255">
        <v>20.5</v>
      </c>
      <c r="J117" s="255">
        <v>32.1</v>
      </c>
      <c r="K117" s="255">
        <v>14.9</v>
      </c>
      <c r="L117" s="255">
        <v>20.8</v>
      </c>
      <c r="M117" s="255">
        <v>71.5</v>
      </c>
      <c r="N117" s="255">
        <v>9.6</v>
      </c>
      <c r="O117" s="255">
        <v>21.3</v>
      </c>
      <c r="P117" s="255">
        <v>30.9</v>
      </c>
      <c r="Q117" s="255">
        <v>10.7</v>
      </c>
      <c r="R117" s="255">
        <v>6.5</v>
      </c>
      <c r="S117" s="255">
        <v>2.8</v>
      </c>
      <c r="T117" s="255">
        <v>11.3</v>
      </c>
      <c r="U117" s="255">
        <v>19.600000000000001</v>
      </c>
    </row>
    <row r="118" spans="1:21" ht="15.75" customHeight="1" thickBot="1" x14ac:dyDescent="0.3">
      <c r="A118" s="257">
        <v>117</v>
      </c>
      <c r="B118" s="259" t="s">
        <v>65</v>
      </c>
      <c r="C118" s="255">
        <v>32</v>
      </c>
      <c r="D118" s="255">
        <v>71.599999999999994</v>
      </c>
      <c r="E118" s="255">
        <v>25.9</v>
      </c>
      <c r="F118" s="255">
        <v>57.9</v>
      </c>
      <c r="G118" s="255">
        <v>44.8</v>
      </c>
      <c r="H118" s="255">
        <v>6.2</v>
      </c>
      <c r="I118" s="255">
        <v>19.3</v>
      </c>
      <c r="J118" s="255">
        <v>32.1</v>
      </c>
      <c r="K118" s="255">
        <v>13.6</v>
      </c>
      <c r="L118" s="255">
        <v>19.899999999999999</v>
      </c>
      <c r="M118" s="255">
        <v>68.400000000000006</v>
      </c>
      <c r="N118" s="255">
        <v>11.6</v>
      </c>
      <c r="O118" s="255">
        <v>21.6</v>
      </c>
      <c r="P118" s="255">
        <v>33.200000000000003</v>
      </c>
      <c r="Q118" s="255">
        <v>12.7</v>
      </c>
      <c r="R118" s="255">
        <v>7.3</v>
      </c>
      <c r="S118" s="255">
        <v>3.3</v>
      </c>
      <c r="T118" s="255">
        <v>13.1</v>
      </c>
      <c r="U118" s="255">
        <v>17.3</v>
      </c>
    </row>
    <row r="119" spans="1:21" ht="15.75" customHeight="1" thickBot="1" x14ac:dyDescent="0.3">
      <c r="A119" s="257">
        <v>118</v>
      </c>
      <c r="B119" s="259" t="s">
        <v>92</v>
      </c>
      <c r="C119" s="255">
        <v>30</v>
      </c>
      <c r="D119" s="255">
        <v>71.599999999999994</v>
      </c>
      <c r="E119" s="255">
        <v>25.9</v>
      </c>
      <c r="F119" s="255">
        <v>58</v>
      </c>
      <c r="G119" s="255">
        <v>44.6</v>
      </c>
      <c r="H119" s="255">
        <v>7.5</v>
      </c>
      <c r="I119" s="255">
        <v>22.2</v>
      </c>
      <c r="J119" s="255">
        <v>34</v>
      </c>
      <c r="K119" s="255">
        <v>12.3</v>
      </c>
      <c r="L119" s="255">
        <v>17.399999999999999</v>
      </c>
      <c r="M119" s="255">
        <v>70.599999999999994</v>
      </c>
      <c r="N119" s="255">
        <v>9.5</v>
      </c>
      <c r="O119" s="255">
        <v>23.5</v>
      </c>
      <c r="P119" s="255">
        <v>33.1</v>
      </c>
      <c r="Q119" s="255">
        <v>16.100000000000001</v>
      </c>
      <c r="R119" s="255">
        <v>6.3</v>
      </c>
      <c r="S119" s="255">
        <v>3.8</v>
      </c>
      <c r="T119" s="255">
        <v>14</v>
      </c>
      <c r="U119" s="255">
        <v>19.3</v>
      </c>
    </row>
    <row r="120" spans="1:21" ht="15.75" customHeight="1" thickBot="1" x14ac:dyDescent="0.3">
      <c r="A120" s="257">
        <v>119</v>
      </c>
      <c r="B120" s="259" t="s">
        <v>376</v>
      </c>
      <c r="C120" s="255">
        <v>31</v>
      </c>
      <c r="D120" s="255">
        <v>71.7</v>
      </c>
      <c r="E120" s="255">
        <v>25.2</v>
      </c>
      <c r="F120" s="255">
        <v>56.5</v>
      </c>
      <c r="G120" s="255">
        <v>44.6</v>
      </c>
      <c r="H120" s="255">
        <v>7.2</v>
      </c>
      <c r="I120" s="255">
        <v>20.3</v>
      </c>
      <c r="J120" s="255">
        <v>35.700000000000003</v>
      </c>
      <c r="K120" s="255">
        <v>14.1</v>
      </c>
      <c r="L120" s="255">
        <v>20.3</v>
      </c>
      <c r="M120" s="255">
        <v>69.5</v>
      </c>
      <c r="N120" s="255">
        <v>9.8000000000000007</v>
      </c>
      <c r="O120" s="255">
        <v>21.3</v>
      </c>
      <c r="P120" s="255">
        <v>31.1</v>
      </c>
      <c r="Q120" s="255">
        <v>12.4</v>
      </c>
      <c r="R120" s="255">
        <v>6.7</v>
      </c>
      <c r="S120" s="255">
        <v>3.2</v>
      </c>
      <c r="T120" s="255">
        <v>10.7</v>
      </c>
      <c r="U120" s="255">
        <v>17.7</v>
      </c>
    </row>
    <row r="121" spans="1:21" ht="15.75" customHeight="1" thickBot="1" x14ac:dyDescent="0.3">
      <c r="A121" s="257">
        <v>120</v>
      </c>
      <c r="B121" s="259" t="s">
        <v>377</v>
      </c>
      <c r="C121" s="255">
        <v>28</v>
      </c>
      <c r="D121" s="255">
        <v>71.8</v>
      </c>
      <c r="E121" s="255">
        <v>25.4</v>
      </c>
      <c r="F121" s="255">
        <v>56.4</v>
      </c>
      <c r="G121" s="255">
        <v>45.1</v>
      </c>
      <c r="H121" s="255">
        <v>7.4</v>
      </c>
      <c r="I121" s="255">
        <v>23.6</v>
      </c>
      <c r="J121" s="255">
        <v>31.3</v>
      </c>
      <c r="K121" s="255">
        <v>13.5</v>
      </c>
      <c r="L121" s="255">
        <v>18.7</v>
      </c>
      <c r="M121" s="255">
        <v>72.3</v>
      </c>
      <c r="N121" s="255">
        <v>9.3000000000000007</v>
      </c>
      <c r="O121" s="255">
        <v>24.1</v>
      </c>
      <c r="P121" s="255">
        <v>33.4</v>
      </c>
      <c r="Q121" s="255">
        <v>12.7</v>
      </c>
      <c r="R121" s="255">
        <v>6.5</v>
      </c>
      <c r="S121" s="255">
        <v>3.1</v>
      </c>
      <c r="T121" s="255">
        <v>9.5</v>
      </c>
      <c r="U121" s="255">
        <v>16.399999999999999</v>
      </c>
    </row>
    <row r="122" spans="1:21" ht="15.75" customHeight="1" thickBot="1" x14ac:dyDescent="0.3">
      <c r="A122" s="257">
        <v>121</v>
      </c>
      <c r="B122" s="259" t="s">
        <v>381</v>
      </c>
      <c r="C122" s="255">
        <v>31</v>
      </c>
      <c r="D122" s="255">
        <v>71.8</v>
      </c>
      <c r="E122" s="255">
        <v>25.6</v>
      </c>
      <c r="F122" s="255">
        <v>60.2</v>
      </c>
      <c r="G122" s="255">
        <v>42.6</v>
      </c>
      <c r="H122" s="255">
        <v>7.3</v>
      </c>
      <c r="I122" s="255">
        <v>21.7</v>
      </c>
      <c r="J122" s="255">
        <v>33.6</v>
      </c>
      <c r="K122" s="255">
        <v>13.3</v>
      </c>
      <c r="L122" s="255">
        <v>18.100000000000001</v>
      </c>
      <c r="M122" s="255">
        <v>73.599999999999994</v>
      </c>
      <c r="N122" s="255">
        <v>10.9</v>
      </c>
      <c r="O122" s="255">
        <v>24</v>
      </c>
      <c r="P122" s="255">
        <v>35</v>
      </c>
      <c r="Q122" s="255">
        <v>13.4</v>
      </c>
      <c r="R122" s="255">
        <v>6.4</v>
      </c>
      <c r="S122" s="255">
        <v>4.5</v>
      </c>
      <c r="T122" s="255">
        <v>12.4</v>
      </c>
      <c r="U122" s="255">
        <v>16.100000000000001</v>
      </c>
    </row>
    <row r="123" spans="1:21" ht="15.75" customHeight="1" thickBot="1" x14ac:dyDescent="0.3">
      <c r="A123" s="257">
        <v>122</v>
      </c>
      <c r="B123" s="259" t="s">
        <v>227</v>
      </c>
      <c r="C123" s="255">
        <v>31</v>
      </c>
      <c r="D123" s="255">
        <v>71.8</v>
      </c>
      <c r="E123" s="255">
        <v>24.8</v>
      </c>
      <c r="F123" s="255">
        <v>62.6</v>
      </c>
      <c r="G123" s="255">
        <v>39.6</v>
      </c>
      <c r="H123" s="255">
        <v>7.1</v>
      </c>
      <c r="I123" s="255">
        <v>22.7</v>
      </c>
      <c r="J123" s="255">
        <v>31.4</v>
      </c>
      <c r="K123" s="255">
        <v>15.2</v>
      </c>
      <c r="L123" s="255">
        <v>21.4</v>
      </c>
      <c r="M123" s="255">
        <v>70.900000000000006</v>
      </c>
      <c r="N123" s="255">
        <v>10.7</v>
      </c>
      <c r="O123" s="255">
        <v>27.8</v>
      </c>
      <c r="P123" s="255">
        <v>38.5</v>
      </c>
      <c r="Q123" s="255">
        <v>9.5</v>
      </c>
      <c r="R123" s="255">
        <v>5.5</v>
      </c>
      <c r="S123" s="255">
        <v>2.5</v>
      </c>
      <c r="T123" s="255">
        <v>8.8000000000000007</v>
      </c>
      <c r="U123" s="255">
        <v>16.7</v>
      </c>
    </row>
    <row r="124" spans="1:21" ht="15.75" customHeight="1" thickBot="1" x14ac:dyDescent="0.3">
      <c r="A124" s="257">
        <v>123</v>
      </c>
      <c r="B124" s="259" t="s">
        <v>418</v>
      </c>
      <c r="C124" s="255">
        <v>32</v>
      </c>
      <c r="D124" s="255">
        <v>71.8</v>
      </c>
      <c r="E124" s="255">
        <v>25.8</v>
      </c>
      <c r="F124" s="255">
        <v>59.9</v>
      </c>
      <c r="G124" s="255">
        <v>43</v>
      </c>
      <c r="H124" s="255">
        <v>7.6</v>
      </c>
      <c r="I124" s="255">
        <v>24.9</v>
      </c>
      <c r="J124" s="255">
        <v>30.5</v>
      </c>
      <c r="K124" s="255">
        <v>12.7</v>
      </c>
      <c r="L124" s="255">
        <v>16.899999999999999</v>
      </c>
      <c r="M124" s="255">
        <v>75.2</v>
      </c>
      <c r="N124" s="255">
        <v>9.6</v>
      </c>
      <c r="O124" s="255">
        <v>24.5</v>
      </c>
      <c r="P124" s="255">
        <v>34.1</v>
      </c>
      <c r="Q124" s="255">
        <v>13.9</v>
      </c>
      <c r="R124" s="255">
        <v>5.0999999999999996</v>
      </c>
      <c r="S124" s="255">
        <v>2.6</v>
      </c>
      <c r="T124" s="255">
        <v>12</v>
      </c>
      <c r="U124" s="255">
        <v>17.8</v>
      </c>
    </row>
    <row r="125" spans="1:21" ht="15.75" customHeight="1" thickBot="1" x14ac:dyDescent="0.3">
      <c r="A125" s="257">
        <v>124</v>
      </c>
      <c r="B125" s="259" t="s">
        <v>30</v>
      </c>
      <c r="C125" s="255">
        <v>30</v>
      </c>
      <c r="D125" s="255">
        <v>71.900000000000006</v>
      </c>
      <c r="E125" s="255">
        <v>25</v>
      </c>
      <c r="F125" s="255">
        <v>59.8</v>
      </c>
      <c r="G125" s="255">
        <v>41.8</v>
      </c>
      <c r="H125" s="255">
        <v>7.6</v>
      </c>
      <c r="I125" s="255">
        <v>23.6</v>
      </c>
      <c r="J125" s="255">
        <v>32.299999999999997</v>
      </c>
      <c r="K125" s="255">
        <v>14.3</v>
      </c>
      <c r="L125" s="255">
        <v>20</v>
      </c>
      <c r="M125" s="255">
        <v>71.2</v>
      </c>
      <c r="N125" s="255">
        <v>9.9</v>
      </c>
      <c r="O125" s="255">
        <v>23.4</v>
      </c>
      <c r="P125" s="255">
        <v>33.299999999999997</v>
      </c>
      <c r="Q125" s="255">
        <v>12</v>
      </c>
      <c r="R125" s="255">
        <v>6.6</v>
      </c>
      <c r="S125" s="255">
        <v>3.5</v>
      </c>
      <c r="T125" s="255">
        <v>12</v>
      </c>
      <c r="U125" s="255">
        <v>17.8</v>
      </c>
    </row>
    <row r="126" spans="1:21" ht="15.75" customHeight="1" thickBot="1" x14ac:dyDescent="0.3">
      <c r="A126" s="257">
        <v>125</v>
      </c>
      <c r="B126" s="259" t="s">
        <v>254</v>
      </c>
      <c r="C126" s="255">
        <v>32</v>
      </c>
      <c r="D126" s="255">
        <v>71.900000000000006</v>
      </c>
      <c r="E126" s="255">
        <v>26.1</v>
      </c>
      <c r="F126" s="255">
        <v>58.3</v>
      </c>
      <c r="G126" s="255">
        <v>44.8</v>
      </c>
      <c r="H126" s="255">
        <v>7</v>
      </c>
      <c r="I126" s="255">
        <v>20.9</v>
      </c>
      <c r="J126" s="255">
        <v>33.6</v>
      </c>
      <c r="K126" s="255">
        <v>12.7</v>
      </c>
      <c r="L126" s="255">
        <v>17</v>
      </c>
      <c r="M126" s="255">
        <v>74.599999999999994</v>
      </c>
      <c r="N126" s="255">
        <v>9.6999999999999993</v>
      </c>
      <c r="O126" s="255">
        <v>24.6</v>
      </c>
      <c r="P126" s="255">
        <v>34.299999999999997</v>
      </c>
      <c r="Q126" s="255">
        <v>13.4</v>
      </c>
      <c r="R126" s="255">
        <v>5.8</v>
      </c>
      <c r="S126" s="255">
        <v>4.2</v>
      </c>
      <c r="T126" s="255">
        <v>11.7</v>
      </c>
      <c r="U126" s="255">
        <v>15.9</v>
      </c>
    </row>
    <row r="127" spans="1:21" ht="15.75" customHeight="1" thickBot="1" x14ac:dyDescent="0.3">
      <c r="A127" s="257">
        <v>126</v>
      </c>
      <c r="B127" s="259" t="s">
        <v>460</v>
      </c>
      <c r="C127" s="255">
        <v>30</v>
      </c>
      <c r="D127" s="255">
        <v>71.900000000000006</v>
      </c>
      <c r="E127" s="255">
        <v>24.7</v>
      </c>
      <c r="F127" s="255">
        <v>57.2</v>
      </c>
      <c r="G127" s="255">
        <v>43.2</v>
      </c>
      <c r="H127" s="255">
        <v>7.1</v>
      </c>
      <c r="I127" s="255">
        <v>21.1</v>
      </c>
      <c r="J127" s="255">
        <v>33.799999999999997</v>
      </c>
      <c r="K127" s="255">
        <v>15.3</v>
      </c>
      <c r="L127" s="255">
        <v>21.4</v>
      </c>
      <c r="M127" s="255">
        <v>71.5</v>
      </c>
      <c r="N127" s="255">
        <v>10.1</v>
      </c>
      <c r="O127" s="255">
        <v>23.1</v>
      </c>
      <c r="P127" s="255">
        <v>33.200000000000003</v>
      </c>
      <c r="Q127" s="255">
        <v>13.6</v>
      </c>
      <c r="R127" s="255">
        <v>7.3</v>
      </c>
      <c r="S127" s="255">
        <v>3.6</v>
      </c>
      <c r="T127" s="255">
        <v>10.5</v>
      </c>
      <c r="U127" s="255">
        <v>16.100000000000001</v>
      </c>
    </row>
    <row r="128" spans="1:21" ht="15.75" customHeight="1" thickBot="1" x14ac:dyDescent="0.3">
      <c r="A128" s="257">
        <v>127</v>
      </c>
      <c r="B128" s="259" t="s">
        <v>309</v>
      </c>
      <c r="C128" s="255">
        <v>32</v>
      </c>
      <c r="D128" s="255">
        <v>72.099999999999994</v>
      </c>
      <c r="E128" s="255">
        <v>25.1</v>
      </c>
      <c r="F128" s="255">
        <v>59.6</v>
      </c>
      <c r="G128" s="255">
        <v>42.2</v>
      </c>
      <c r="H128" s="255">
        <v>7.4</v>
      </c>
      <c r="I128" s="255">
        <v>22</v>
      </c>
      <c r="J128" s="255">
        <v>33.9</v>
      </c>
      <c r="K128" s="255">
        <v>14.4</v>
      </c>
      <c r="L128" s="255">
        <v>19.2</v>
      </c>
      <c r="M128" s="255">
        <v>74.900000000000006</v>
      </c>
      <c r="N128" s="255">
        <v>11.3</v>
      </c>
      <c r="O128" s="255">
        <v>24.4</v>
      </c>
      <c r="P128" s="255">
        <v>35.700000000000003</v>
      </c>
      <c r="Q128" s="255">
        <v>12.8</v>
      </c>
      <c r="R128" s="255">
        <v>6.1</v>
      </c>
      <c r="S128" s="255">
        <v>2.5</v>
      </c>
      <c r="T128" s="255">
        <v>11.7</v>
      </c>
      <c r="U128" s="255">
        <v>17.399999999999999</v>
      </c>
    </row>
    <row r="129" spans="1:21" ht="15.75" customHeight="1" thickBot="1" x14ac:dyDescent="0.3">
      <c r="A129" s="257">
        <v>128</v>
      </c>
      <c r="B129" s="259" t="s">
        <v>278</v>
      </c>
      <c r="C129" s="255">
        <v>31</v>
      </c>
      <c r="D129" s="255">
        <v>72.099999999999994</v>
      </c>
      <c r="E129" s="255">
        <v>26.5</v>
      </c>
      <c r="F129" s="255">
        <v>56</v>
      </c>
      <c r="G129" s="255">
        <v>47.3</v>
      </c>
      <c r="H129" s="255">
        <v>7.4</v>
      </c>
      <c r="I129" s="255">
        <v>21.3</v>
      </c>
      <c r="J129" s="255">
        <v>34.700000000000003</v>
      </c>
      <c r="K129" s="255">
        <v>11.7</v>
      </c>
      <c r="L129" s="255">
        <v>16.399999999999999</v>
      </c>
      <c r="M129" s="255">
        <v>71.3</v>
      </c>
      <c r="N129" s="255">
        <v>10.199999999999999</v>
      </c>
      <c r="O129" s="255">
        <v>23</v>
      </c>
      <c r="P129" s="255">
        <v>33.200000000000003</v>
      </c>
      <c r="Q129" s="255">
        <v>14</v>
      </c>
      <c r="R129" s="255">
        <v>7.1</v>
      </c>
      <c r="S129" s="255">
        <v>3.2</v>
      </c>
      <c r="T129" s="255">
        <v>11.8</v>
      </c>
      <c r="U129" s="255">
        <v>15.8</v>
      </c>
    </row>
    <row r="130" spans="1:21" ht="15.75" customHeight="1" thickBot="1" x14ac:dyDescent="0.3">
      <c r="A130" s="257">
        <v>129</v>
      </c>
      <c r="B130" s="259" t="s">
        <v>387</v>
      </c>
      <c r="C130" s="255">
        <v>32</v>
      </c>
      <c r="D130" s="255">
        <v>72.2</v>
      </c>
      <c r="E130" s="255">
        <v>24.3</v>
      </c>
      <c r="F130" s="255">
        <v>55.7</v>
      </c>
      <c r="G130" s="255">
        <v>43.6</v>
      </c>
      <c r="H130" s="255">
        <v>6.8</v>
      </c>
      <c r="I130" s="255">
        <v>20.5</v>
      </c>
      <c r="J130" s="255">
        <v>33</v>
      </c>
      <c r="K130" s="255">
        <v>16.8</v>
      </c>
      <c r="L130" s="255">
        <v>22</v>
      </c>
      <c r="M130" s="255">
        <v>76</v>
      </c>
      <c r="N130" s="255">
        <v>9.5</v>
      </c>
      <c r="O130" s="255">
        <v>21</v>
      </c>
      <c r="P130" s="255">
        <v>30.4</v>
      </c>
      <c r="Q130" s="255">
        <v>12.8</v>
      </c>
      <c r="R130" s="255">
        <v>7</v>
      </c>
      <c r="S130" s="255">
        <v>3.4</v>
      </c>
      <c r="T130" s="255">
        <v>11.4</v>
      </c>
      <c r="U130" s="255">
        <v>16.5</v>
      </c>
    </row>
    <row r="131" spans="1:21" ht="15.75" customHeight="1" thickBot="1" x14ac:dyDescent="0.3">
      <c r="A131" s="257">
        <v>130</v>
      </c>
      <c r="B131" s="259" t="s">
        <v>182</v>
      </c>
      <c r="C131" s="255">
        <v>30</v>
      </c>
      <c r="D131" s="255">
        <v>72.2</v>
      </c>
      <c r="E131" s="255">
        <v>24.2</v>
      </c>
      <c r="F131" s="255">
        <v>48.9</v>
      </c>
      <c r="G131" s="255">
        <v>49.4</v>
      </c>
      <c r="H131" s="255">
        <v>6</v>
      </c>
      <c r="I131" s="255">
        <v>15.4</v>
      </c>
      <c r="J131" s="255">
        <v>38.9</v>
      </c>
      <c r="K131" s="255">
        <v>17.899999999999999</v>
      </c>
      <c r="L131" s="255">
        <v>25.1</v>
      </c>
      <c r="M131" s="255">
        <v>71.3</v>
      </c>
      <c r="N131" s="255">
        <v>7.9</v>
      </c>
      <c r="O131" s="255">
        <v>23.1</v>
      </c>
      <c r="P131" s="255">
        <v>31</v>
      </c>
      <c r="Q131" s="255">
        <v>11.8</v>
      </c>
      <c r="R131" s="255">
        <v>8.5</v>
      </c>
      <c r="S131" s="255">
        <v>4.7</v>
      </c>
      <c r="T131" s="255">
        <v>16.5</v>
      </c>
      <c r="U131" s="255">
        <v>18</v>
      </c>
    </row>
    <row r="132" spans="1:21" ht="15.75" customHeight="1" thickBot="1" x14ac:dyDescent="0.3">
      <c r="A132" s="257">
        <v>130</v>
      </c>
      <c r="B132" s="259" t="s">
        <v>95</v>
      </c>
      <c r="C132" s="255">
        <v>30</v>
      </c>
      <c r="D132" s="255">
        <v>72.2</v>
      </c>
      <c r="E132" s="255">
        <v>26.1</v>
      </c>
      <c r="F132" s="255">
        <v>59.9</v>
      </c>
      <c r="G132" s="255">
        <v>43.6</v>
      </c>
      <c r="H132" s="255">
        <v>6.6</v>
      </c>
      <c r="I132" s="255">
        <v>21</v>
      </c>
      <c r="J132" s="255">
        <v>31.5</v>
      </c>
      <c r="K132" s="255">
        <v>13.3</v>
      </c>
      <c r="L132" s="255">
        <v>19.2</v>
      </c>
      <c r="M132" s="255">
        <v>69.599999999999994</v>
      </c>
      <c r="N132" s="255">
        <v>10.8</v>
      </c>
      <c r="O132" s="255">
        <v>22.9</v>
      </c>
      <c r="P132" s="255">
        <v>33.700000000000003</v>
      </c>
      <c r="Q132" s="255">
        <v>10.9</v>
      </c>
      <c r="R132" s="255">
        <v>6.1</v>
      </c>
      <c r="S132" s="255">
        <v>2.4</v>
      </c>
      <c r="T132" s="255">
        <v>10.3</v>
      </c>
      <c r="U132" s="255">
        <v>16.3</v>
      </c>
    </row>
    <row r="133" spans="1:21" ht="15.75" customHeight="1" thickBot="1" x14ac:dyDescent="0.3">
      <c r="A133" s="257">
        <v>132</v>
      </c>
      <c r="B133" s="259" t="s">
        <v>339</v>
      </c>
      <c r="C133" s="255">
        <v>29</v>
      </c>
      <c r="D133" s="255">
        <v>72.2</v>
      </c>
      <c r="E133" s="255">
        <v>23.4</v>
      </c>
      <c r="F133" s="255">
        <v>56.9</v>
      </c>
      <c r="G133" s="255">
        <v>41.2</v>
      </c>
      <c r="H133" s="255">
        <v>7.4</v>
      </c>
      <c r="I133" s="255">
        <v>23.9</v>
      </c>
      <c r="J133" s="255">
        <v>31.2</v>
      </c>
      <c r="K133" s="255">
        <v>18</v>
      </c>
      <c r="L133" s="255">
        <v>24.6</v>
      </c>
      <c r="M133" s="255">
        <v>73</v>
      </c>
      <c r="N133" s="255">
        <v>10.8</v>
      </c>
      <c r="O133" s="255">
        <v>24.8</v>
      </c>
      <c r="P133" s="255">
        <v>35.6</v>
      </c>
      <c r="Q133" s="255">
        <v>11.2</v>
      </c>
      <c r="R133" s="255">
        <v>5.9</v>
      </c>
      <c r="S133" s="255">
        <v>3.4</v>
      </c>
      <c r="T133" s="255">
        <v>11.2</v>
      </c>
      <c r="U133" s="255">
        <v>16.899999999999999</v>
      </c>
    </row>
    <row r="134" spans="1:21" ht="15.75" customHeight="1" thickBot="1" x14ac:dyDescent="0.3">
      <c r="A134" s="257">
        <v>133</v>
      </c>
      <c r="B134" s="259" t="s">
        <v>434</v>
      </c>
      <c r="C134" s="255">
        <v>30</v>
      </c>
      <c r="D134" s="255">
        <v>72.3</v>
      </c>
      <c r="E134" s="255">
        <v>25.6</v>
      </c>
      <c r="F134" s="255">
        <v>60</v>
      </c>
      <c r="G134" s="255">
        <v>42.6</v>
      </c>
      <c r="H134" s="255">
        <v>8</v>
      </c>
      <c r="I134" s="255">
        <v>24.2</v>
      </c>
      <c r="J134" s="255">
        <v>33</v>
      </c>
      <c r="K134" s="255">
        <v>13.1</v>
      </c>
      <c r="L134" s="255">
        <v>18.399999999999999</v>
      </c>
      <c r="M134" s="255">
        <v>71.099999999999994</v>
      </c>
      <c r="N134" s="255">
        <v>10.3</v>
      </c>
      <c r="O134" s="255">
        <v>21.3</v>
      </c>
      <c r="P134" s="255">
        <v>31.7</v>
      </c>
      <c r="Q134" s="255">
        <v>12.6</v>
      </c>
      <c r="R134" s="255">
        <v>6.1</v>
      </c>
      <c r="S134" s="255">
        <v>3</v>
      </c>
      <c r="T134" s="255">
        <v>10.7</v>
      </c>
      <c r="U134" s="255">
        <v>18.399999999999999</v>
      </c>
    </row>
    <row r="135" spans="1:21" ht="15.75" customHeight="1" thickBot="1" x14ac:dyDescent="0.3">
      <c r="A135" s="257">
        <v>134</v>
      </c>
      <c r="B135" s="259" t="s">
        <v>205</v>
      </c>
      <c r="C135" s="255">
        <v>30</v>
      </c>
      <c r="D135" s="255">
        <v>72.3</v>
      </c>
      <c r="E135" s="255">
        <v>25.9</v>
      </c>
      <c r="F135" s="255">
        <v>57.6</v>
      </c>
      <c r="G135" s="255">
        <v>45</v>
      </c>
      <c r="H135" s="255">
        <v>7.2</v>
      </c>
      <c r="I135" s="255">
        <v>20.399999999999999</v>
      </c>
      <c r="J135" s="255">
        <v>35.1</v>
      </c>
      <c r="K135" s="255">
        <v>13.3</v>
      </c>
      <c r="L135" s="255">
        <v>18.5</v>
      </c>
      <c r="M135" s="255">
        <v>71.900000000000006</v>
      </c>
      <c r="N135" s="255">
        <v>10.5</v>
      </c>
      <c r="O135" s="255">
        <v>24.8</v>
      </c>
      <c r="P135" s="255">
        <v>35.299999999999997</v>
      </c>
      <c r="Q135" s="255">
        <v>13.2</v>
      </c>
      <c r="R135" s="255">
        <v>8</v>
      </c>
      <c r="S135" s="255">
        <v>2.4</v>
      </c>
      <c r="T135" s="255">
        <v>9.8000000000000007</v>
      </c>
      <c r="U135" s="255">
        <v>15.1</v>
      </c>
    </row>
    <row r="136" spans="1:21" ht="15.75" customHeight="1" thickBot="1" x14ac:dyDescent="0.3">
      <c r="A136" s="257">
        <v>134</v>
      </c>
      <c r="B136" s="259" t="s">
        <v>214</v>
      </c>
      <c r="C136" s="255">
        <v>30</v>
      </c>
      <c r="D136" s="255">
        <v>72.3</v>
      </c>
      <c r="E136" s="255">
        <v>25.4</v>
      </c>
      <c r="F136" s="255">
        <v>59.1</v>
      </c>
      <c r="G136" s="255">
        <v>42.9</v>
      </c>
      <c r="H136" s="255">
        <v>7.5</v>
      </c>
      <c r="I136" s="255">
        <v>24.4</v>
      </c>
      <c r="J136" s="255">
        <v>30.7</v>
      </c>
      <c r="K136" s="255">
        <v>14.1</v>
      </c>
      <c r="L136" s="255">
        <v>21.5</v>
      </c>
      <c r="M136" s="255">
        <v>65.400000000000006</v>
      </c>
      <c r="N136" s="255">
        <v>11.2</v>
      </c>
      <c r="O136" s="255">
        <v>25.5</v>
      </c>
      <c r="P136" s="255">
        <v>36.700000000000003</v>
      </c>
      <c r="Q136" s="255">
        <v>14.2</v>
      </c>
      <c r="R136" s="255">
        <v>5.2</v>
      </c>
      <c r="S136" s="255">
        <v>3.7</v>
      </c>
      <c r="T136" s="255">
        <v>11.6</v>
      </c>
      <c r="U136" s="255">
        <v>18.2</v>
      </c>
    </row>
    <row r="137" spans="1:21" ht="15.75" customHeight="1" thickBot="1" x14ac:dyDescent="0.3">
      <c r="A137" s="257">
        <v>136</v>
      </c>
      <c r="B137" s="259" t="s">
        <v>336</v>
      </c>
      <c r="C137" s="255">
        <v>30</v>
      </c>
      <c r="D137" s="255">
        <v>72.400000000000006</v>
      </c>
      <c r="E137" s="255">
        <v>24.3</v>
      </c>
      <c r="F137" s="255">
        <v>55.1</v>
      </c>
      <c r="G137" s="255">
        <v>44</v>
      </c>
      <c r="H137" s="255">
        <v>8.5</v>
      </c>
      <c r="I137" s="255">
        <v>24</v>
      </c>
      <c r="J137" s="255">
        <v>35.200000000000003</v>
      </c>
      <c r="K137" s="255">
        <v>15.4</v>
      </c>
      <c r="L137" s="255">
        <v>21.5</v>
      </c>
      <c r="M137" s="255">
        <v>71.400000000000006</v>
      </c>
      <c r="N137" s="255">
        <v>9.5</v>
      </c>
      <c r="O137" s="255">
        <v>24.1</v>
      </c>
      <c r="P137" s="255">
        <v>33.6</v>
      </c>
      <c r="Q137" s="255">
        <v>13.9</v>
      </c>
      <c r="R137" s="255">
        <v>5.6</v>
      </c>
      <c r="S137" s="255">
        <v>3.8</v>
      </c>
      <c r="T137" s="255">
        <v>11.7</v>
      </c>
      <c r="U137" s="255">
        <v>20.6</v>
      </c>
    </row>
    <row r="138" spans="1:21" ht="15.75" customHeight="1" thickBot="1" x14ac:dyDescent="0.3">
      <c r="A138" s="257">
        <v>137</v>
      </c>
      <c r="B138" s="259" t="s">
        <v>357</v>
      </c>
      <c r="C138" s="255">
        <v>30</v>
      </c>
      <c r="D138" s="255">
        <v>72.400000000000006</v>
      </c>
      <c r="E138" s="255">
        <v>25</v>
      </c>
      <c r="F138" s="255">
        <v>57.3</v>
      </c>
      <c r="G138" s="255">
        <v>43.6</v>
      </c>
      <c r="H138" s="255">
        <v>7.7</v>
      </c>
      <c r="I138" s="255">
        <v>23.2</v>
      </c>
      <c r="J138" s="255">
        <v>33</v>
      </c>
      <c r="K138" s="255">
        <v>14.7</v>
      </c>
      <c r="L138" s="255">
        <v>19.899999999999999</v>
      </c>
      <c r="M138" s="255">
        <v>73.900000000000006</v>
      </c>
      <c r="N138" s="255">
        <v>11.7</v>
      </c>
      <c r="O138" s="255">
        <v>23.8</v>
      </c>
      <c r="P138" s="255">
        <v>35.5</v>
      </c>
      <c r="Q138" s="255">
        <v>15.7</v>
      </c>
      <c r="R138" s="255">
        <v>4.9000000000000004</v>
      </c>
      <c r="S138" s="255">
        <v>2.6</v>
      </c>
      <c r="T138" s="255">
        <v>11.5</v>
      </c>
      <c r="U138" s="255">
        <v>16.7</v>
      </c>
    </row>
    <row r="139" spans="1:21" ht="15.75" customHeight="1" thickBot="1" x14ac:dyDescent="0.3">
      <c r="A139" s="257">
        <v>138</v>
      </c>
      <c r="B139" s="259" t="s">
        <v>185</v>
      </c>
      <c r="C139" s="255">
        <v>31</v>
      </c>
      <c r="D139" s="255">
        <v>72.400000000000006</v>
      </c>
      <c r="E139" s="255">
        <v>24.9</v>
      </c>
      <c r="F139" s="255">
        <v>56.4</v>
      </c>
      <c r="G139" s="255">
        <v>44.2</v>
      </c>
      <c r="H139" s="255">
        <v>7.2</v>
      </c>
      <c r="I139" s="255">
        <v>21</v>
      </c>
      <c r="J139" s="255">
        <v>34.299999999999997</v>
      </c>
      <c r="K139" s="255">
        <v>15.4</v>
      </c>
      <c r="L139" s="255">
        <v>21.3</v>
      </c>
      <c r="M139" s="255">
        <v>72.400000000000006</v>
      </c>
      <c r="N139" s="255">
        <v>10</v>
      </c>
      <c r="O139" s="255">
        <v>24.1</v>
      </c>
      <c r="P139" s="255">
        <v>34.1</v>
      </c>
      <c r="Q139" s="255">
        <v>14</v>
      </c>
      <c r="R139" s="255">
        <v>6.2</v>
      </c>
      <c r="S139" s="255">
        <v>2.9</v>
      </c>
      <c r="T139" s="255">
        <v>11.3</v>
      </c>
      <c r="U139" s="255">
        <v>19</v>
      </c>
    </row>
    <row r="140" spans="1:21" ht="15.75" customHeight="1" thickBot="1" x14ac:dyDescent="0.3">
      <c r="A140" s="257">
        <v>138</v>
      </c>
      <c r="B140" s="259" t="s">
        <v>44</v>
      </c>
      <c r="C140" s="255">
        <v>31</v>
      </c>
      <c r="D140" s="255">
        <v>72.400000000000006</v>
      </c>
      <c r="E140" s="255">
        <v>25</v>
      </c>
      <c r="F140" s="255">
        <v>55.6</v>
      </c>
      <c r="G140" s="255">
        <v>45</v>
      </c>
      <c r="H140" s="255">
        <v>6.9</v>
      </c>
      <c r="I140" s="255">
        <v>21.1</v>
      </c>
      <c r="J140" s="255">
        <v>32.6</v>
      </c>
      <c r="K140" s="255">
        <v>15.5</v>
      </c>
      <c r="L140" s="255">
        <v>21.1</v>
      </c>
      <c r="M140" s="255">
        <v>73.3</v>
      </c>
      <c r="N140" s="255">
        <v>10.3</v>
      </c>
      <c r="O140" s="255">
        <v>22.5</v>
      </c>
      <c r="P140" s="255">
        <v>32.9</v>
      </c>
      <c r="Q140" s="255">
        <v>14.9</v>
      </c>
      <c r="R140" s="255">
        <v>6.8</v>
      </c>
      <c r="S140" s="255">
        <v>2.9</v>
      </c>
      <c r="T140" s="255">
        <v>14.5</v>
      </c>
      <c r="U140" s="255">
        <v>15.8</v>
      </c>
    </row>
    <row r="141" spans="1:21" ht="15.75" customHeight="1" thickBot="1" x14ac:dyDescent="0.3">
      <c r="A141" s="257">
        <v>140</v>
      </c>
      <c r="B141" s="259" t="s">
        <v>89</v>
      </c>
      <c r="C141" s="255">
        <v>31</v>
      </c>
      <c r="D141" s="255">
        <v>72.5</v>
      </c>
      <c r="E141" s="255">
        <v>24.6</v>
      </c>
      <c r="F141" s="255">
        <v>60.7</v>
      </c>
      <c r="G141" s="255">
        <v>40.5</v>
      </c>
      <c r="H141" s="255">
        <v>9.9</v>
      </c>
      <c r="I141" s="255">
        <v>29.8</v>
      </c>
      <c r="J141" s="255">
        <v>33.4</v>
      </c>
      <c r="K141" s="255">
        <v>13.4</v>
      </c>
      <c r="L141" s="255">
        <v>17.899999999999999</v>
      </c>
      <c r="M141" s="255">
        <v>74.8</v>
      </c>
      <c r="N141" s="255">
        <v>11.1</v>
      </c>
      <c r="O141" s="255">
        <v>21.9</v>
      </c>
      <c r="P141" s="255">
        <v>33</v>
      </c>
      <c r="Q141" s="255">
        <v>13.1</v>
      </c>
      <c r="R141" s="255">
        <v>6.8</v>
      </c>
      <c r="S141" s="255">
        <v>2.9</v>
      </c>
      <c r="T141" s="255">
        <v>12.5</v>
      </c>
      <c r="U141" s="255">
        <v>17.5</v>
      </c>
    </row>
    <row r="142" spans="1:21" ht="15.75" customHeight="1" thickBot="1" x14ac:dyDescent="0.3">
      <c r="A142" s="257">
        <v>141</v>
      </c>
      <c r="B142" s="259" t="s">
        <v>455</v>
      </c>
      <c r="C142" s="255">
        <v>30</v>
      </c>
      <c r="D142" s="255">
        <v>72.5</v>
      </c>
      <c r="E142" s="255">
        <v>25.5</v>
      </c>
      <c r="F142" s="255">
        <v>59.1</v>
      </c>
      <c r="G142" s="255">
        <v>43.2</v>
      </c>
      <c r="H142" s="255">
        <v>6.7</v>
      </c>
      <c r="I142" s="255">
        <v>20</v>
      </c>
      <c r="J142" s="255">
        <v>33.6</v>
      </c>
      <c r="K142" s="255">
        <v>14.8</v>
      </c>
      <c r="L142" s="255">
        <v>20.5</v>
      </c>
      <c r="M142" s="255">
        <v>72.099999999999994</v>
      </c>
      <c r="N142" s="255">
        <v>11</v>
      </c>
      <c r="O142" s="255">
        <v>23.1</v>
      </c>
      <c r="P142" s="255">
        <v>34</v>
      </c>
      <c r="Q142" s="255">
        <v>12.4</v>
      </c>
      <c r="R142" s="255">
        <v>6.5</v>
      </c>
      <c r="S142" s="255">
        <v>2.9</v>
      </c>
      <c r="T142" s="255">
        <v>12</v>
      </c>
      <c r="U142" s="255">
        <v>20.7</v>
      </c>
    </row>
    <row r="143" spans="1:21" ht="15.75" customHeight="1" thickBot="1" x14ac:dyDescent="0.3">
      <c r="A143" s="257">
        <v>142</v>
      </c>
      <c r="B143" s="259" t="s">
        <v>444</v>
      </c>
      <c r="C143" s="255">
        <v>30</v>
      </c>
      <c r="D143" s="255">
        <v>72.599999999999994</v>
      </c>
      <c r="E143" s="255">
        <v>25.5</v>
      </c>
      <c r="F143" s="255">
        <v>57.3</v>
      </c>
      <c r="G143" s="255">
        <v>44.5</v>
      </c>
      <c r="H143" s="255">
        <v>7.1</v>
      </c>
      <c r="I143" s="255">
        <v>21.3</v>
      </c>
      <c r="J143" s="255">
        <v>33.4</v>
      </c>
      <c r="K143" s="255">
        <v>14.5</v>
      </c>
      <c r="L143" s="255">
        <v>21.2</v>
      </c>
      <c r="M143" s="255">
        <v>68.2</v>
      </c>
      <c r="N143" s="255">
        <v>10.3</v>
      </c>
      <c r="O143" s="255">
        <v>22.9</v>
      </c>
      <c r="P143" s="255">
        <v>33.200000000000003</v>
      </c>
      <c r="Q143" s="255">
        <v>12.4</v>
      </c>
      <c r="R143" s="255">
        <v>6.2</v>
      </c>
      <c r="S143" s="255">
        <v>2.8</v>
      </c>
      <c r="T143" s="255">
        <v>11</v>
      </c>
      <c r="U143" s="255">
        <v>18.5</v>
      </c>
    </row>
    <row r="144" spans="1:21" ht="15.75" customHeight="1" thickBot="1" x14ac:dyDescent="0.3">
      <c r="A144" s="257">
        <v>143</v>
      </c>
      <c r="B144" s="259" t="s">
        <v>262</v>
      </c>
      <c r="C144" s="255">
        <v>30</v>
      </c>
      <c r="D144" s="255">
        <v>72.599999999999994</v>
      </c>
      <c r="E144" s="255">
        <v>26.2</v>
      </c>
      <c r="F144" s="255">
        <v>59.3</v>
      </c>
      <c r="G144" s="255">
        <v>44.2</v>
      </c>
      <c r="H144" s="255">
        <v>7.8</v>
      </c>
      <c r="I144" s="255">
        <v>26.2</v>
      </c>
      <c r="J144" s="255">
        <v>29.8</v>
      </c>
      <c r="K144" s="255">
        <v>12.5</v>
      </c>
      <c r="L144" s="255">
        <v>17.3</v>
      </c>
      <c r="M144" s="255">
        <v>72.099999999999994</v>
      </c>
      <c r="N144" s="255">
        <v>10.8</v>
      </c>
      <c r="O144" s="255">
        <v>24.2</v>
      </c>
      <c r="P144" s="255">
        <v>35</v>
      </c>
      <c r="Q144" s="255">
        <v>12.9</v>
      </c>
      <c r="R144" s="255">
        <v>7.2</v>
      </c>
      <c r="S144" s="255">
        <v>3.2</v>
      </c>
      <c r="T144" s="255">
        <v>12.9</v>
      </c>
      <c r="U144" s="255">
        <v>18.5</v>
      </c>
    </row>
    <row r="145" spans="1:21" ht="15.75" customHeight="1" thickBot="1" x14ac:dyDescent="0.3">
      <c r="A145" s="257">
        <v>143</v>
      </c>
      <c r="B145" s="259" t="s">
        <v>419</v>
      </c>
      <c r="C145" s="255">
        <v>30</v>
      </c>
      <c r="D145" s="255">
        <v>72.599999999999994</v>
      </c>
      <c r="E145" s="255">
        <v>24.8</v>
      </c>
      <c r="F145" s="255">
        <v>54.4</v>
      </c>
      <c r="G145" s="255">
        <v>45.6</v>
      </c>
      <c r="H145" s="255">
        <v>6.3</v>
      </c>
      <c r="I145" s="255">
        <v>18.3</v>
      </c>
      <c r="J145" s="255">
        <v>34.200000000000003</v>
      </c>
      <c r="K145" s="255">
        <v>16.8</v>
      </c>
      <c r="L145" s="255">
        <v>22.1</v>
      </c>
      <c r="M145" s="255">
        <v>76</v>
      </c>
      <c r="N145" s="255">
        <v>9.3000000000000007</v>
      </c>
      <c r="O145" s="255">
        <v>23.7</v>
      </c>
      <c r="P145" s="255">
        <v>33</v>
      </c>
      <c r="Q145" s="255">
        <v>10.7</v>
      </c>
      <c r="R145" s="255">
        <v>4.8</v>
      </c>
      <c r="S145" s="255">
        <v>3.1</v>
      </c>
      <c r="T145" s="255">
        <v>12.6</v>
      </c>
      <c r="U145" s="255">
        <v>18.7</v>
      </c>
    </row>
    <row r="146" spans="1:21" ht="15.75" customHeight="1" thickBot="1" x14ac:dyDescent="0.3">
      <c r="A146" s="257">
        <v>145</v>
      </c>
      <c r="B146" s="259" t="s">
        <v>436</v>
      </c>
      <c r="C146" s="255">
        <v>31</v>
      </c>
      <c r="D146" s="255">
        <v>72.599999999999994</v>
      </c>
      <c r="E146" s="255">
        <v>25.3</v>
      </c>
      <c r="F146" s="255">
        <v>56.7</v>
      </c>
      <c r="G146" s="255">
        <v>44.7</v>
      </c>
      <c r="H146" s="255">
        <v>7.8</v>
      </c>
      <c r="I146" s="255">
        <v>22.5</v>
      </c>
      <c r="J146" s="255">
        <v>34.799999999999997</v>
      </c>
      <c r="K146" s="255">
        <v>14.1</v>
      </c>
      <c r="L146" s="255">
        <v>19.5</v>
      </c>
      <c r="M146" s="255">
        <v>72.400000000000006</v>
      </c>
      <c r="N146" s="255">
        <v>10.3</v>
      </c>
      <c r="O146" s="255">
        <v>22</v>
      </c>
      <c r="P146" s="255">
        <v>32.200000000000003</v>
      </c>
      <c r="Q146" s="255">
        <v>13.8</v>
      </c>
      <c r="R146" s="255">
        <v>6.8</v>
      </c>
      <c r="S146" s="255">
        <v>3.1</v>
      </c>
      <c r="T146" s="255">
        <v>10.8</v>
      </c>
      <c r="U146" s="255">
        <v>13.5</v>
      </c>
    </row>
    <row r="147" spans="1:21" ht="15.75" customHeight="1" thickBot="1" x14ac:dyDescent="0.3">
      <c r="A147" s="257">
        <v>146</v>
      </c>
      <c r="B147" s="259" t="s">
        <v>451</v>
      </c>
      <c r="C147" s="255">
        <v>30</v>
      </c>
      <c r="D147" s="255">
        <v>72.7</v>
      </c>
      <c r="E147" s="255">
        <v>24.5</v>
      </c>
      <c r="F147" s="255">
        <v>54.7</v>
      </c>
      <c r="G147" s="255">
        <v>44.7</v>
      </c>
      <c r="H147" s="255">
        <v>7</v>
      </c>
      <c r="I147" s="255">
        <v>20.6</v>
      </c>
      <c r="J147" s="255">
        <v>34</v>
      </c>
      <c r="K147" s="255">
        <v>16.7</v>
      </c>
      <c r="L147" s="255">
        <v>23.6</v>
      </c>
      <c r="M147" s="255">
        <v>70.900000000000006</v>
      </c>
      <c r="N147" s="255">
        <v>11</v>
      </c>
      <c r="O147" s="255">
        <v>25.4</v>
      </c>
      <c r="P147" s="255">
        <v>36.4</v>
      </c>
      <c r="Q147" s="255">
        <v>13.2</v>
      </c>
      <c r="R147" s="255">
        <v>6.6</v>
      </c>
      <c r="S147" s="255">
        <v>2.9</v>
      </c>
      <c r="T147" s="255">
        <v>12.6</v>
      </c>
      <c r="U147" s="255">
        <v>16.3</v>
      </c>
    </row>
    <row r="148" spans="1:21" ht="15.75" customHeight="1" thickBot="1" x14ac:dyDescent="0.3">
      <c r="A148" s="257">
        <v>146</v>
      </c>
      <c r="B148" s="259" t="s">
        <v>300</v>
      </c>
      <c r="C148" s="255">
        <v>33</v>
      </c>
      <c r="D148" s="255">
        <v>72.7</v>
      </c>
      <c r="E148" s="255">
        <v>25.9</v>
      </c>
      <c r="F148" s="255">
        <v>61.2</v>
      </c>
      <c r="G148" s="255">
        <v>42.4</v>
      </c>
      <c r="H148" s="255">
        <v>6.2</v>
      </c>
      <c r="I148" s="255">
        <v>20.2</v>
      </c>
      <c r="J148" s="255">
        <v>30.5</v>
      </c>
      <c r="K148" s="255">
        <v>14.6</v>
      </c>
      <c r="L148" s="255">
        <v>21.7</v>
      </c>
      <c r="M148" s="255">
        <v>67.400000000000006</v>
      </c>
      <c r="N148" s="255">
        <v>12</v>
      </c>
      <c r="O148" s="255">
        <v>24.9</v>
      </c>
      <c r="P148" s="255">
        <v>36.799999999999997</v>
      </c>
      <c r="Q148" s="255">
        <v>12.4</v>
      </c>
      <c r="R148" s="255">
        <v>8.3000000000000007</v>
      </c>
      <c r="S148" s="255">
        <v>3.8</v>
      </c>
      <c r="T148" s="255">
        <v>14.2</v>
      </c>
      <c r="U148" s="255">
        <v>17.8</v>
      </c>
    </row>
    <row r="149" spans="1:21" ht="15.75" customHeight="1" thickBot="1" x14ac:dyDescent="0.3">
      <c r="A149" s="257">
        <v>148</v>
      </c>
      <c r="B149" s="259" t="s">
        <v>462</v>
      </c>
      <c r="C149" s="255">
        <v>30</v>
      </c>
      <c r="D149" s="255">
        <v>72.7</v>
      </c>
      <c r="E149" s="255">
        <v>25.8</v>
      </c>
      <c r="F149" s="255">
        <v>59.5</v>
      </c>
      <c r="G149" s="255">
        <v>43.4</v>
      </c>
      <c r="H149" s="255">
        <v>7.4</v>
      </c>
      <c r="I149" s="255">
        <v>22.4</v>
      </c>
      <c r="J149" s="255">
        <v>32.9</v>
      </c>
      <c r="K149" s="255">
        <v>13.7</v>
      </c>
      <c r="L149" s="255">
        <v>18.899999999999999</v>
      </c>
      <c r="M149" s="255">
        <v>72.5</v>
      </c>
      <c r="N149" s="255">
        <v>10.1</v>
      </c>
      <c r="O149" s="255">
        <v>22.4</v>
      </c>
      <c r="P149" s="255">
        <v>32.5</v>
      </c>
      <c r="Q149" s="255">
        <v>12.1</v>
      </c>
      <c r="R149" s="255">
        <v>5.7</v>
      </c>
      <c r="S149" s="255">
        <v>3.4</v>
      </c>
      <c r="T149" s="255">
        <v>9.9</v>
      </c>
      <c r="U149" s="255">
        <v>16.399999999999999</v>
      </c>
    </row>
    <row r="150" spans="1:21" ht="15.75" customHeight="1" thickBot="1" x14ac:dyDescent="0.3">
      <c r="A150" s="257">
        <v>149</v>
      </c>
      <c r="B150" s="259" t="s">
        <v>295</v>
      </c>
      <c r="C150" s="255">
        <v>30</v>
      </c>
      <c r="D150" s="255">
        <v>72.8</v>
      </c>
      <c r="E150" s="255">
        <v>26.2</v>
      </c>
      <c r="F150" s="255">
        <v>57.1</v>
      </c>
      <c r="G150" s="255">
        <v>45.9</v>
      </c>
      <c r="H150" s="255">
        <v>8.6</v>
      </c>
      <c r="I150" s="255">
        <v>24.2</v>
      </c>
      <c r="J150" s="255">
        <v>35.5</v>
      </c>
      <c r="K150" s="255">
        <v>11.7</v>
      </c>
      <c r="L150" s="255">
        <v>16.899999999999999</v>
      </c>
      <c r="M150" s="255">
        <v>69.099999999999994</v>
      </c>
      <c r="N150" s="255">
        <v>10.4</v>
      </c>
      <c r="O150" s="255">
        <v>23.9</v>
      </c>
      <c r="P150" s="255">
        <v>34.299999999999997</v>
      </c>
      <c r="Q150" s="255">
        <v>16</v>
      </c>
      <c r="R150" s="255">
        <v>6.7</v>
      </c>
      <c r="S150" s="255">
        <v>4.7</v>
      </c>
      <c r="T150" s="255">
        <v>11.4</v>
      </c>
      <c r="U150" s="255">
        <v>17.3</v>
      </c>
    </row>
    <row r="151" spans="1:21" ht="15.75" customHeight="1" thickBot="1" x14ac:dyDescent="0.3">
      <c r="A151" s="257">
        <v>150</v>
      </c>
      <c r="B151" s="259" t="s">
        <v>356</v>
      </c>
      <c r="C151" s="255">
        <v>31</v>
      </c>
      <c r="D151" s="255">
        <v>72.8</v>
      </c>
      <c r="E151" s="255">
        <v>25.6</v>
      </c>
      <c r="F151" s="255">
        <v>55.7</v>
      </c>
      <c r="G151" s="255">
        <v>45.9</v>
      </c>
      <c r="H151" s="255">
        <v>7.5</v>
      </c>
      <c r="I151" s="255">
        <v>21.1</v>
      </c>
      <c r="J151" s="255">
        <v>35.799999999999997</v>
      </c>
      <c r="K151" s="255">
        <v>14.1</v>
      </c>
      <c r="L151" s="255">
        <v>20.2</v>
      </c>
      <c r="M151" s="255">
        <v>69.8</v>
      </c>
      <c r="N151" s="255">
        <v>10.6</v>
      </c>
      <c r="O151" s="255">
        <v>23.8</v>
      </c>
      <c r="P151" s="255">
        <v>34.4</v>
      </c>
      <c r="Q151" s="255">
        <v>13.2</v>
      </c>
      <c r="R151" s="255">
        <v>6.7</v>
      </c>
      <c r="S151" s="255">
        <v>3.3</v>
      </c>
      <c r="T151" s="255">
        <v>11.3</v>
      </c>
      <c r="U151" s="255">
        <v>18.8</v>
      </c>
    </row>
    <row r="152" spans="1:21" ht="15.75" customHeight="1" thickBot="1" x14ac:dyDescent="0.3">
      <c r="A152" s="257">
        <v>151</v>
      </c>
      <c r="B152" s="259" t="s">
        <v>475</v>
      </c>
      <c r="C152" s="255">
        <v>30</v>
      </c>
      <c r="D152" s="255">
        <v>72.8</v>
      </c>
      <c r="E152" s="255">
        <v>24.3</v>
      </c>
      <c r="F152" s="255">
        <v>53.1</v>
      </c>
      <c r="G152" s="255">
        <v>45.8</v>
      </c>
      <c r="H152" s="255">
        <v>6.6</v>
      </c>
      <c r="I152" s="255">
        <v>20</v>
      </c>
      <c r="J152" s="255">
        <v>32.799999999999997</v>
      </c>
      <c r="K152" s="255">
        <v>17.600000000000001</v>
      </c>
      <c r="L152" s="255">
        <v>25</v>
      </c>
      <c r="M152" s="255">
        <v>70.599999999999994</v>
      </c>
      <c r="N152" s="255">
        <v>8.6999999999999993</v>
      </c>
      <c r="O152" s="255">
        <v>22.6</v>
      </c>
      <c r="P152" s="255">
        <v>31.3</v>
      </c>
      <c r="Q152" s="255">
        <v>11.1</v>
      </c>
      <c r="R152" s="255">
        <v>5.7</v>
      </c>
      <c r="S152" s="255">
        <v>3.3</v>
      </c>
      <c r="T152" s="255">
        <v>11.5</v>
      </c>
      <c r="U152" s="255">
        <v>18.600000000000001</v>
      </c>
    </row>
    <row r="153" spans="1:21" ht="15.75" customHeight="1" thickBot="1" x14ac:dyDescent="0.3">
      <c r="A153" s="257">
        <v>151</v>
      </c>
      <c r="B153" s="259" t="s">
        <v>75</v>
      </c>
      <c r="C153" s="255">
        <v>30</v>
      </c>
      <c r="D153" s="255">
        <v>72.8</v>
      </c>
      <c r="E153" s="255">
        <v>25.3</v>
      </c>
      <c r="F153" s="255">
        <v>58.3</v>
      </c>
      <c r="G153" s="255">
        <v>43.4</v>
      </c>
      <c r="H153" s="255">
        <v>7.4</v>
      </c>
      <c r="I153" s="255">
        <v>23.6</v>
      </c>
      <c r="J153" s="255">
        <v>31.3</v>
      </c>
      <c r="K153" s="255">
        <v>14.8</v>
      </c>
      <c r="L153" s="255">
        <v>20</v>
      </c>
      <c r="M153" s="255">
        <v>73.900000000000006</v>
      </c>
      <c r="N153" s="255">
        <v>10.7</v>
      </c>
      <c r="O153" s="255">
        <v>21</v>
      </c>
      <c r="P153" s="255">
        <v>31.7</v>
      </c>
      <c r="Q153" s="255">
        <v>13.2</v>
      </c>
      <c r="R153" s="255">
        <v>5.4</v>
      </c>
      <c r="S153" s="255">
        <v>3</v>
      </c>
      <c r="T153" s="255">
        <v>10.6</v>
      </c>
      <c r="U153" s="255">
        <v>19</v>
      </c>
    </row>
    <row r="154" spans="1:21" ht="15.75" customHeight="1" thickBot="1" x14ac:dyDescent="0.3">
      <c r="A154" s="257">
        <v>153</v>
      </c>
      <c r="B154" s="259" t="s">
        <v>440</v>
      </c>
      <c r="C154" s="255">
        <v>30</v>
      </c>
      <c r="D154" s="255">
        <v>72.8</v>
      </c>
      <c r="E154" s="255">
        <v>25.1</v>
      </c>
      <c r="F154" s="255">
        <v>54.3</v>
      </c>
      <c r="G154" s="255">
        <v>46.1</v>
      </c>
      <c r="H154" s="255">
        <v>6.6</v>
      </c>
      <c r="I154" s="255">
        <v>19.3</v>
      </c>
      <c r="J154" s="255">
        <v>34.299999999999997</v>
      </c>
      <c r="K154" s="255">
        <v>16.100000000000001</v>
      </c>
      <c r="L154" s="255">
        <v>22.2</v>
      </c>
      <c r="M154" s="255">
        <v>72.3</v>
      </c>
      <c r="N154" s="255">
        <v>8.1999999999999993</v>
      </c>
      <c r="O154" s="255">
        <v>22</v>
      </c>
      <c r="P154" s="255">
        <v>30.2</v>
      </c>
      <c r="Q154" s="255">
        <v>12.4</v>
      </c>
      <c r="R154" s="255">
        <v>6.8</v>
      </c>
      <c r="S154" s="255">
        <v>3.1</v>
      </c>
      <c r="T154" s="255">
        <v>12.1</v>
      </c>
      <c r="U154" s="255">
        <v>18.5</v>
      </c>
    </row>
    <row r="155" spans="1:21" ht="15.75" customHeight="1" thickBot="1" x14ac:dyDescent="0.3">
      <c r="A155" s="257">
        <v>154</v>
      </c>
      <c r="B155" s="259" t="s">
        <v>410</v>
      </c>
      <c r="C155" s="255">
        <v>32</v>
      </c>
      <c r="D155" s="255">
        <v>72.8</v>
      </c>
      <c r="E155" s="255">
        <v>24.9</v>
      </c>
      <c r="F155" s="255">
        <v>57.6</v>
      </c>
      <c r="G155" s="255">
        <v>43.2</v>
      </c>
      <c r="H155" s="255">
        <v>9.1999999999999993</v>
      </c>
      <c r="I155" s="255">
        <v>27.2</v>
      </c>
      <c r="J155" s="255">
        <v>33.9</v>
      </c>
      <c r="K155" s="255">
        <v>13.9</v>
      </c>
      <c r="L155" s="255">
        <v>18.8</v>
      </c>
      <c r="M155" s="255">
        <v>73.599999999999994</v>
      </c>
      <c r="N155" s="255">
        <v>8.5</v>
      </c>
      <c r="O155" s="255">
        <v>23.9</v>
      </c>
      <c r="P155" s="255">
        <v>32.4</v>
      </c>
      <c r="Q155" s="255">
        <v>13.3</v>
      </c>
      <c r="R155" s="255">
        <v>6.5</v>
      </c>
      <c r="S155" s="255">
        <v>2.7</v>
      </c>
      <c r="T155" s="255">
        <v>10.199999999999999</v>
      </c>
      <c r="U155" s="255">
        <v>17</v>
      </c>
    </row>
    <row r="156" spans="1:21" ht="15.75" customHeight="1" thickBot="1" x14ac:dyDescent="0.3">
      <c r="A156" s="257">
        <v>155</v>
      </c>
      <c r="B156" s="259" t="s">
        <v>322</v>
      </c>
      <c r="C156" s="255">
        <v>30</v>
      </c>
      <c r="D156" s="255">
        <v>72.900000000000006</v>
      </c>
      <c r="E156" s="255">
        <v>25.6</v>
      </c>
      <c r="F156" s="255">
        <v>58.2</v>
      </c>
      <c r="G156" s="255">
        <v>44</v>
      </c>
      <c r="H156" s="255">
        <v>6.7</v>
      </c>
      <c r="I156" s="255">
        <v>20.399999999999999</v>
      </c>
      <c r="J156" s="255">
        <v>32.700000000000003</v>
      </c>
      <c r="K156" s="255">
        <v>14.9</v>
      </c>
      <c r="L156" s="255">
        <v>20.2</v>
      </c>
      <c r="M156" s="255">
        <v>73.8</v>
      </c>
      <c r="N156" s="255">
        <v>9.9</v>
      </c>
      <c r="O156" s="255">
        <v>24.4</v>
      </c>
      <c r="P156" s="255">
        <v>34.299999999999997</v>
      </c>
      <c r="Q156" s="255">
        <v>11.8</v>
      </c>
      <c r="R156" s="255">
        <v>6.4</v>
      </c>
      <c r="S156" s="255">
        <v>2.6</v>
      </c>
      <c r="T156" s="255">
        <v>11.2</v>
      </c>
      <c r="U156" s="255">
        <v>15.7</v>
      </c>
    </row>
    <row r="157" spans="1:21" ht="15.75" customHeight="1" thickBot="1" x14ac:dyDescent="0.3">
      <c r="A157" s="257">
        <v>156</v>
      </c>
      <c r="B157" s="259" t="s">
        <v>424</v>
      </c>
      <c r="C157" s="255">
        <v>31</v>
      </c>
      <c r="D157" s="255">
        <v>73.099999999999994</v>
      </c>
      <c r="E157" s="255">
        <v>24</v>
      </c>
      <c r="F157" s="255">
        <v>53.6</v>
      </c>
      <c r="G157" s="255">
        <v>44.7</v>
      </c>
      <c r="H157" s="255">
        <v>7.4</v>
      </c>
      <c r="I157" s="255">
        <v>21.7</v>
      </c>
      <c r="J157" s="255">
        <v>34.1</v>
      </c>
      <c r="K157" s="255">
        <v>17.600000000000001</v>
      </c>
      <c r="L157" s="255">
        <v>24.3</v>
      </c>
      <c r="M157" s="255">
        <v>72.599999999999994</v>
      </c>
      <c r="N157" s="255">
        <v>11</v>
      </c>
      <c r="O157" s="255">
        <v>23.5</v>
      </c>
      <c r="P157" s="255">
        <v>34.5</v>
      </c>
      <c r="Q157" s="255">
        <v>13.1</v>
      </c>
      <c r="R157" s="255">
        <v>7.3</v>
      </c>
      <c r="S157" s="255">
        <v>4.0999999999999996</v>
      </c>
      <c r="T157" s="255">
        <v>17.600000000000001</v>
      </c>
      <c r="U157" s="255">
        <v>19.600000000000001</v>
      </c>
    </row>
    <row r="158" spans="1:21" ht="15.75" customHeight="1" thickBot="1" x14ac:dyDescent="0.3">
      <c r="A158" s="257">
        <v>156</v>
      </c>
      <c r="B158" s="259" t="s">
        <v>203</v>
      </c>
      <c r="C158" s="255">
        <v>31</v>
      </c>
      <c r="D158" s="255">
        <v>73.099999999999994</v>
      </c>
      <c r="E158" s="255">
        <v>25</v>
      </c>
      <c r="F158" s="255">
        <v>55.9</v>
      </c>
      <c r="G158" s="255">
        <v>44.7</v>
      </c>
      <c r="H158" s="255">
        <v>8.1999999999999993</v>
      </c>
      <c r="I158" s="255">
        <v>22.9</v>
      </c>
      <c r="J158" s="255">
        <v>35.799999999999997</v>
      </c>
      <c r="K158" s="255">
        <v>14.9</v>
      </c>
      <c r="L158" s="255">
        <v>20.9</v>
      </c>
      <c r="M158" s="255">
        <v>71</v>
      </c>
      <c r="N158" s="255">
        <v>9.6999999999999993</v>
      </c>
      <c r="O158" s="255">
        <v>26.5</v>
      </c>
      <c r="P158" s="255">
        <v>36.200000000000003</v>
      </c>
      <c r="Q158" s="255">
        <v>13.4</v>
      </c>
      <c r="R158" s="255">
        <v>4.8</v>
      </c>
      <c r="S158" s="255">
        <v>3.1</v>
      </c>
      <c r="T158" s="255">
        <v>13.7</v>
      </c>
      <c r="U158" s="255">
        <v>18</v>
      </c>
    </row>
    <row r="159" spans="1:21" ht="15.75" customHeight="1" thickBot="1" x14ac:dyDescent="0.3">
      <c r="A159" s="257">
        <v>158</v>
      </c>
      <c r="B159" s="259" t="s">
        <v>81</v>
      </c>
      <c r="C159" s="255">
        <v>29</v>
      </c>
      <c r="D159" s="255">
        <v>73.099999999999994</v>
      </c>
      <c r="E159" s="255">
        <v>25.8</v>
      </c>
      <c r="F159" s="255">
        <v>58</v>
      </c>
      <c r="G159" s="255">
        <v>44.6</v>
      </c>
      <c r="H159" s="255">
        <v>7.6</v>
      </c>
      <c r="I159" s="255">
        <v>23.7</v>
      </c>
      <c r="J159" s="255">
        <v>32.1</v>
      </c>
      <c r="K159" s="255">
        <v>13.8</v>
      </c>
      <c r="L159" s="255">
        <v>19.399999999999999</v>
      </c>
      <c r="M159" s="255">
        <v>71.2</v>
      </c>
      <c r="N159" s="255">
        <v>10.199999999999999</v>
      </c>
      <c r="O159" s="255">
        <v>24.4</v>
      </c>
      <c r="P159" s="255">
        <v>34.6</v>
      </c>
      <c r="Q159" s="255">
        <v>13.7</v>
      </c>
      <c r="R159" s="255">
        <v>6.5</v>
      </c>
      <c r="S159" s="255">
        <v>3.2</v>
      </c>
      <c r="T159" s="255">
        <v>14.1</v>
      </c>
      <c r="U159" s="255">
        <v>18.100000000000001</v>
      </c>
    </row>
    <row r="160" spans="1:21" ht="15.75" customHeight="1" thickBot="1" x14ac:dyDescent="0.3">
      <c r="A160" s="257">
        <v>159</v>
      </c>
      <c r="B160" s="259" t="s">
        <v>285</v>
      </c>
      <c r="C160" s="255">
        <v>32</v>
      </c>
      <c r="D160" s="255">
        <v>73.099999999999994</v>
      </c>
      <c r="E160" s="255">
        <v>26.3</v>
      </c>
      <c r="F160" s="255">
        <v>61.5</v>
      </c>
      <c r="G160" s="255">
        <v>42.7</v>
      </c>
      <c r="H160" s="255">
        <v>7.7</v>
      </c>
      <c r="I160" s="255">
        <v>25</v>
      </c>
      <c r="J160" s="255">
        <v>30.6</v>
      </c>
      <c r="K160" s="255">
        <v>13</v>
      </c>
      <c r="L160" s="255">
        <v>17.7</v>
      </c>
      <c r="M160" s="255">
        <v>73.3</v>
      </c>
      <c r="N160" s="255">
        <v>11.7</v>
      </c>
      <c r="O160" s="255">
        <v>25.8</v>
      </c>
      <c r="P160" s="255">
        <v>37.4</v>
      </c>
      <c r="Q160" s="255">
        <v>14.8</v>
      </c>
      <c r="R160" s="255">
        <v>7.4</v>
      </c>
      <c r="S160" s="255">
        <v>3.6</v>
      </c>
      <c r="T160" s="255">
        <v>11.6</v>
      </c>
      <c r="U160" s="255">
        <v>16</v>
      </c>
    </row>
    <row r="161" spans="1:21" ht="15.75" customHeight="1" thickBot="1" x14ac:dyDescent="0.3">
      <c r="A161" s="257">
        <v>160</v>
      </c>
      <c r="B161" s="259" t="s">
        <v>220</v>
      </c>
      <c r="C161" s="255">
        <v>31</v>
      </c>
      <c r="D161" s="255">
        <v>73.099999999999994</v>
      </c>
      <c r="E161" s="255">
        <v>26.4</v>
      </c>
      <c r="F161" s="255">
        <v>63.5</v>
      </c>
      <c r="G161" s="255">
        <v>41.5</v>
      </c>
      <c r="H161" s="255">
        <v>8.9</v>
      </c>
      <c r="I161" s="255">
        <v>27.7</v>
      </c>
      <c r="J161" s="255">
        <v>32</v>
      </c>
      <c r="K161" s="255">
        <v>11.5</v>
      </c>
      <c r="L161" s="255">
        <v>16.600000000000001</v>
      </c>
      <c r="M161" s="255">
        <v>69.5</v>
      </c>
      <c r="N161" s="255">
        <v>12.5</v>
      </c>
      <c r="O161" s="255">
        <v>24.5</v>
      </c>
      <c r="P161" s="255">
        <v>37</v>
      </c>
      <c r="Q161" s="255">
        <v>13.9</v>
      </c>
      <c r="R161" s="255">
        <v>6.4</v>
      </c>
      <c r="S161" s="255">
        <v>3.1</v>
      </c>
      <c r="T161" s="255">
        <v>10.4</v>
      </c>
      <c r="U161" s="255">
        <v>19.5</v>
      </c>
    </row>
    <row r="162" spans="1:21" ht="15.75" customHeight="1" thickBot="1" x14ac:dyDescent="0.3">
      <c r="A162" s="257">
        <v>161</v>
      </c>
      <c r="B162" s="259" t="s">
        <v>298</v>
      </c>
      <c r="C162" s="255">
        <v>32</v>
      </c>
      <c r="D162" s="255">
        <v>73.2</v>
      </c>
      <c r="E162" s="255">
        <v>25.2</v>
      </c>
      <c r="F162" s="255">
        <v>60.2</v>
      </c>
      <c r="G162" s="255">
        <v>41.9</v>
      </c>
      <c r="H162" s="255">
        <v>8.5</v>
      </c>
      <c r="I162" s="255">
        <v>23.7</v>
      </c>
      <c r="J162" s="255">
        <v>35.799999999999997</v>
      </c>
      <c r="K162" s="255">
        <v>14.2</v>
      </c>
      <c r="L162" s="255">
        <v>19.3</v>
      </c>
      <c r="M162" s="255">
        <v>73.5</v>
      </c>
      <c r="N162" s="255">
        <v>10.8</v>
      </c>
      <c r="O162" s="255">
        <v>24.3</v>
      </c>
      <c r="P162" s="255">
        <v>35.200000000000003</v>
      </c>
      <c r="Q162" s="255">
        <v>13.8</v>
      </c>
      <c r="R162" s="255">
        <v>7.6</v>
      </c>
      <c r="S162" s="255">
        <v>3</v>
      </c>
      <c r="T162" s="255">
        <v>10.8</v>
      </c>
      <c r="U162" s="255">
        <v>17.600000000000001</v>
      </c>
    </row>
    <row r="163" spans="1:21" ht="15.75" customHeight="1" thickBot="1" x14ac:dyDescent="0.3">
      <c r="A163" s="257">
        <v>162</v>
      </c>
      <c r="B163" s="259" t="s">
        <v>435</v>
      </c>
      <c r="C163" s="255">
        <v>30</v>
      </c>
      <c r="D163" s="255">
        <v>73.2</v>
      </c>
      <c r="E163" s="255">
        <v>26.5</v>
      </c>
      <c r="F163" s="255">
        <v>61.6</v>
      </c>
      <c r="G163" s="255">
        <v>43</v>
      </c>
      <c r="H163" s="255">
        <v>7.8</v>
      </c>
      <c r="I163" s="255">
        <v>24.5</v>
      </c>
      <c r="J163" s="255">
        <v>31.7</v>
      </c>
      <c r="K163" s="255">
        <v>12.5</v>
      </c>
      <c r="L163" s="255">
        <v>17.2</v>
      </c>
      <c r="M163" s="255">
        <v>72.599999999999994</v>
      </c>
      <c r="N163" s="255">
        <v>9.9</v>
      </c>
      <c r="O163" s="255">
        <v>26.2</v>
      </c>
      <c r="P163" s="255">
        <v>36.1</v>
      </c>
      <c r="Q163" s="255">
        <v>13.1</v>
      </c>
      <c r="R163" s="255">
        <v>5.8</v>
      </c>
      <c r="S163" s="255">
        <v>4.5</v>
      </c>
      <c r="T163" s="255">
        <v>11.9</v>
      </c>
      <c r="U163" s="255">
        <v>17.600000000000001</v>
      </c>
    </row>
    <row r="164" spans="1:21" ht="15.75" customHeight="1" thickBot="1" x14ac:dyDescent="0.3">
      <c r="A164" s="257">
        <v>163</v>
      </c>
      <c r="B164" s="259" t="s">
        <v>62</v>
      </c>
      <c r="C164" s="255">
        <v>32</v>
      </c>
      <c r="D164" s="255">
        <v>73.3</v>
      </c>
      <c r="E164" s="255">
        <v>26.5</v>
      </c>
      <c r="F164" s="255">
        <v>57.5</v>
      </c>
      <c r="G164" s="255">
        <v>46.1</v>
      </c>
      <c r="H164" s="255">
        <v>6.6</v>
      </c>
      <c r="I164" s="255">
        <v>20.2</v>
      </c>
      <c r="J164" s="255">
        <v>32.700000000000003</v>
      </c>
      <c r="K164" s="255">
        <v>13.7</v>
      </c>
      <c r="L164" s="255">
        <v>19</v>
      </c>
      <c r="M164" s="255">
        <v>72.099999999999994</v>
      </c>
      <c r="N164" s="255">
        <v>9.3000000000000007</v>
      </c>
      <c r="O164" s="255">
        <v>21.6</v>
      </c>
      <c r="P164" s="255">
        <v>30.9</v>
      </c>
      <c r="Q164" s="255">
        <v>11.7</v>
      </c>
      <c r="R164" s="255">
        <v>7</v>
      </c>
      <c r="S164" s="255">
        <v>3.4</v>
      </c>
      <c r="T164" s="255">
        <v>11.9</v>
      </c>
      <c r="U164" s="255">
        <v>18.3</v>
      </c>
    </row>
    <row r="165" spans="1:21" ht="15.75" customHeight="1" thickBot="1" x14ac:dyDescent="0.3">
      <c r="A165" s="257">
        <v>164</v>
      </c>
      <c r="B165" s="259" t="s">
        <v>400</v>
      </c>
      <c r="C165" s="255">
        <v>31</v>
      </c>
      <c r="D165" s="255">
        <v>73.3</v>
      </c>
      <c r="E165" s="255">
        <v>26.5</v>
      </c>
      <c r="F165" s="255">
        <v>59.8</v>
      </c>
      <c r="G165" s="255">
        <v>44.2</v>
      </c>
      <c r="H165" s="255">
        <v>7.2</v>
      </c>
      <c r="I165" s="255">
        <v>21.3</v>
      </c>
      <c r="J165" s="255">
        <v>33.799999999999997</v>
      </c>
      <c r="K165" s="255">
        <v>13.2</v>
      </c>
      <c r="L165" s="255">
        <v>17.8</v>
      </c>
      <c r="M165" s="255">
        <v>73.900000000000006</v>
      </c>
      <c r="N165" s="255">
        <v>9.9</v>
      </c>
      <c r="O165" s="255">
        <v>23.6</v>
      </c>
      <c r="P165" s="255">
        <v>33.5</v>
      </c>
      <c r="Q165" s="255">
        <v>13.9</v>
      </c>
      <c r="R165" s="255">
        <v>6.4</v>
      </c>
      <c r="S165" s="255">
        <v>2.7</v>
      </c>
      <c r="T165" s="255">
        <v>9.5</v>
      </c>
      <c r="U165" s="255">
        <v>19.100000000000001</v>
      </c>
    </row>
    <row r="166" spans="1:21" ht="15.75" customHeight="1" thickBot="1" x14ac:dyDescent="0.3">
      <c r="A166" s="257">
        <v>165</v>
      </c>
      <c r="B166" s="259" t="s">
        <v>277</v>
      </c>
      <c r="C166" s="255">
        <v>33</v>
      </c>
      <c r="D166" s="255">
        <v>73.3</v>
      </c>
      <c r="E166" s="255">
        <v>27.3</v>
      </c>
      <c r="F166" s="255">
        <v>57.5</v>
      </c>
      <c r="G166" s="255">
        <v>47.5</v>
      </c>
      <c r="H166" s="255">
        <v>7.3</v>
      </c>
      <c r="I166" s="255">
        <v>22.2</v>
      </c>
      <c r="J166" s="255">
        <v>33.1</v>
      </c>
      <c r="K166" s="255">
        <v>11.4</v>
      </c>
      <c r="L166" s="255">
        <v>15.4</v>
      </c>
      <c r="M166" s="255">
        <v>73.900000000000006</v>
      </c>
      <c r="N166" s="255">
        <v>8.6999999999999993</v>
      </c>
      <c r="O166" s="255">
        <v>25.5</v>
      </c>
      <c r="P166" s="255">
        <v>34.200000000000003</v>
      </c>
      <c r="Q166" s="255">
        <v>13.6</v>
      </c>
      <c r="R166" s="255">
        <v>6.3</v>
      </c>
      <c r="S166" s="255">
        <v>3</v>
      </c>
      <c r="T166" s="255">
        <v>9.8000000000000007</v>
      </c>
      <c r="U166" s="255">
        <v>15.5</v>
      </c>
    </row>
    <row r="167" spans="1:21" ht="15.75" customHeight="1" thickBot="1" x14ac:dyDescent="0.3">
      <c r="A167" s="257">
        <v>166</v>
      </c>
      <c r="B167" s="259" t="s">
        <v>199</v>
      </c>
      <c r="C167" s="255">
        <v>30</v>
      </c>
      <c r="D167" s="255">
        <v>73.3</v>
      </c>
      <c r="E167" s="255">
        <v>26.5</v>
      </c>
      <c r="F167" s="255">
        <v>57.6</v>
      </c>
      <c r="G167" s="255">
        <v>46</v>
      </c>
      <c r="H167" s="255">
        <v>7.4</v>
      </c>
      <c r="I167" s="255">
        <v>21.3</v>
      </c>
      <c r="J167" s="255">
        <v>34.799999999999997</v>
      </c>
      <c r="K167" s="255">
        <v>12.9</v>
      </c>
      <c r="L167" s="255">
        <v>18</v>
      </c>
      <c r="M167" s="255">
        <v>71.7</v>
      </c>
      <c r="N167" s="255">
        <v>7.5</v>
      </c>
      <c r="O167" s="255">
        <v>21.3</v>
      </c>
      <c r="P167" s="255">
        <v>28.8</v>
      </c>
      <c r="Q167" s="255">
        <v>12.1</v>
      </c>
      <c r="R167" s="255">
        <v>5.8</v>
      </c>
      <c r="S167" s="255">
        <v>2.9</v>
      </c>
      <c r="T167" s="255">
        <v>10</v>
      </c>
      <c r="U167" s="255">
        <v>19.899999999999999</v>
      </c>
    </row>
    <row r="168" spans="1:21" ht="15.75" customHeight="1" thickBot="1" x14ac:dyDescent="0.3">
      <c r="A168" s="257">
        <v>167</v>
      </c>
      <c r="B168" s="259" t="s">
        <v>343</v>
      </c>
      <c r="C168" s="255">
        <v>31</v>
      </c>
      <c r="D168" s="255">
        <v>73.400000000000006</v>
      </c>
      <c r="E168" s="255">
        <v>24.3</v>
      </c>
      <c r="F168" s="255">
        <v>55.2</v>
      </c>
      <c r="G168" s="255">
        <v>44</v>
      </c>
      <c r="H168" s="255">
        <v>7.7</v>
      </c>
      <c r="I168" s="255">
        <v>23.6</v>
      </c>
      <c r="J168" s="255">
        <v>32.6</v>
      </c>
      <c r="K168" s="255">
        <v>17.100000000000001</v>
      </c>
      <c r="L168" s="255">
        <v>23.7</v>
      </c>
      <c r="M168" s="255">
        <v>72.099999999999994</v>
      </c>
      <c r="N168" s="255">
        <v>10</v>
      </c>
      <c r="O168" s="255">
        <v>22.8</v>
      </c>
      <c r="P168" s="255">
        <v>32.799999999999997</v>
      </c>
      <c r="Q168" s="255">
        <v>14.2</v>
      </c>
      <c r="R168" s="255">
        <v>7</v>
      </c>
      <c r="S168" s="255">
        <v>3.7</v>
      </c>
      <c r="T168" s="255">
        <v>13.6</v>
      </c>
      <c r="U168" s="255">
        <v>18.7</v>
      </c>
    </row>
    <row r="169" spans="1:21" ht="15.75" customHeight="1" thickBot="1" x14ac:dyDescent="0.3">
      <c r="A169" s="257">
        <v>168</v>
      </c>
      <c r="B169" s="259" t="s">
        <v>94</v>
      </c>
      <c r="C169" s="255">
        <v>30</v>
      </c>
      <c r="D169" s="255">
        <v>73.400000000000006</v>
      </c>
      <c r="E169" s="255">
        <v>25</v>
      </c>
      <c r="F169" s="255">
        <v>59.3</v>
      </c>
      <c r="G169" s="255">
        <v>42.1</v>
      </c>
      <c r="H169" s="255">
        <v>7.7</v>
      </c>
      <c r="I169" s="255">
        <v>24.2</v>
      </c>
      <c r="J169" s="255">
        <v>31.8</v>
      </c>
      <c r="K169" s="255">
        <v>15.7</v>
      </c>
      <c r="L169" s="255">
        <v>21.2</v>
      </c>
      <c r="M169" s="255">
        <v>74.099999999999994</v>
      </c>
      <c r="N169" s="255">
        <v>10.7</v>
      </c>
      <c r="O169" s="255">
        <v>23</v>
      </c>
      <c r="P169" s="255">
        <v>33.700000000000003</v>
      </c>
      <c r="Q169" s="255">
        <v>14</v>
      </c>
      <c r="R169" s="255">
        <v>6.7</v>
      </c>
      <c r="S169" s="255">
        <v>3.1</v>
      </c>
      <c r="T169" s="255">
        <v>10.8</v>
      </c>
      <c r="U169" s="255">
        <v>18.100000000000001</v>
      </c>
    </row>
    <row r="170" spans="1:21" ht="15.75" customHeight="1" thickBot="1" x14ac:dyDescent="0.3">
      <c r="A170" s="257">
        <v>169</v>
      </c>
      <c r="B170" s="259" t="s">
        <v>250</v>
      </c>
      <c r="C170" s="255">
        <v>30</v>
      </c>
      <c r="D170" s="255">
        <v>73.400000000000006</v>
      </c>
      <c r="E170" s="255">
        <v>25.9</v>
      </c>
      <c r="F170" s="255">
        <v>58.6</v>
      </c>
      <c r="G170" s="255">
        <v>44.3</v>
      </c>
      <c r="H170" s="255">
        <v>6.7</v>
      </c>
      <c r="I170" s="255">
        <v>20.8</v>
      </c>
      <c r="J170" s="255">
        <v>32.4</v>
      </c>
      <c r="K170" s="255">
        <v>14.8</v>
      </c>
      <c r="L170" s="255">
        <v>20.6</v>
      </c>
      <c r="M170" s="255">
        <v>71.8</v>
      </c>
      <c r="N170" s="255">
        <v>10.199999999999999</v>
      </c>
      <c r="O170" s="255">
        <v>25.2</v>
      </c>
      <c r="P170" s="255">
        <v>35.4</v>
      </c>
      <c r="Q170" s="255">
        <v>13.3</v>
      </c>
      <c r="R170" s="255">
        <v>6.6</v>
      </c>
      <c r="S170" s="255">
        <v>3.8</v>
      </c>
      <c r="T170" s="255">
        <v>11.1</v>
      </c>
      <c r="U170" s="255">
        <v>16.100000000000001</v>
      </c>
    </row>
    <row r="171" spans="1:21" ht="15.75" customHeight="1" thickBot="1" x14ac:dyDescent="0.3">
      <c r="A171" s="257">
        <v>170</v>
      </c>
      <c r="B171" s="259" t="s">
        <v>287</v>
      </c>
      <c r="C171" s="255">
        <v>32</v>
      </c>
      <c r="D171" s="255">
        <v>73.400000000000006</v>
      </c>
      <c r="E171" s="255">
        <v>25.4</v>
      </c>
      <c r="F171" s="255">
        <v>54.1</v>
      </c>
      <c r="G171" s="255">
        <v>46.9</v>
      </c>
      <c r="H171" s="255">
        <v>6.6</v>
      </c>
      <c r="I171" s="255">
        <v>19.100000000000001</v>
      </c>
      <c r="J171" s="255">
        <v>34.299999999999997</v>
      </c>
      <c r="K171" s="255">
        <v>16.100000000000001</v>
      </c>
      <c r="L171" s="255">
        <v>22.9</v>
      </c>
      <c r="M171" s="255">
        <v>70.3</v>
      </c>
      <c r="N171" s="255">
        <v>8.9</v>
      </c>
      <c r="O171" s="255">
        <v>21.9</v>
      </c>
      <c r="P171" s="255">
        <v>30.8</v>
      </c>
      <c r="Q171" s="255">
        <v>12.7</v>
      </c>
      <c r="R171" s="255">
        <v>6.7</v>
      </c>
      <c r="S171" s="255">
        <v>2.6</v>
      </c>
      <c r="T171" s="255">
        <v>10.3</v>
      </c>
      <c r="U171" s="255">
        <v>16.3</v>
      </c>
    </row>
    <row r="172" spans="1:21" ht="15.75" customHeight="1" thickBot="1" x14ac:dyDescent="0.3">
      <c r="A172" s="257">
        <v>171</v>
      </c>
      <c r="B172" s="259" t="s">
        <v>77</v>
      </c>
      <c r="C172" s="255">
        <v>31</v>
      </c>
      <c r="D172" s="255">
        <v>73.599999999999994</v>
      </c>
      <c r="E172" s="255">
        <v>26.4</v>
      </c>
      <c r="F172" s="255">
        <v>60.6</v>
      </c>
      <c r="G172" s="255">
        <v>43.5</v>
      </c>
      <c r="H172" s="255">
        <v>7.4</v>
      </c>
      <c r="I172" s="255">
        <v>23.1</v>
      </c>
      <c r="J172" s="255">
        <v>31.9</v>
      </c>
      <c r="K172" s="255">
        <v>13.4</v>
      </c>
      <c r="L172" s="255">
        <v>19.3</v>
      </c>
      <c r="M172" s="255">
        <v>69.599999999999994</v>
      </c>
      <c r="N172" s="255">
        <v>11.4</v>
      </c>
      <c r="O172" s="255">
        <v>23.8</v>
      </c>
      <c r="P172" s="255">
        <v>35.200000000000003</v>
      </c>
      <c r="Q172" s="255">
        <v>13.2</v>
      </c>
      <c r="R172" s="255">
        <v>6.8</v>
      </c>
      <c r="S172" s="255">
        <v>3.7</v>
      </c>
      <c r="T172" s="255">
        <v>12.8</v>
      </c>
      <c r="U172" s="255">
        <v>16.600000000000001</v>
      </c>
    </row>
    <row r="173" spans="1:21" ht="15.75" customHeight="1" thickBot="1" x14ac:dyDescent="0.3">
      <c r="A173" s="257">
        <v>172</v>
      </c>
      <c r="B173" s="259" t="s">
        <v>408</v>
      </c>
      <c r="C173" s="255">
        <v>32</v>
      </c>
      <c r="D173" s="255">
        <v>73.7</v>
      </c>
      <c r="E173" s="255">
        <v>25.9</v>
      </c>
      <c r="F173" s="255">
        <v>59.8</v>
      </c>
      <c r="G173" s="255">
        <v>43.3</v>
      </c>
      <c r="H173" s="255">
        <v>7.4</v>
      </c>
      <c r="I173" s="255">
        <v>21.8</v>
      </c>
      <c r="J173" s="255">
        <v>34.1</v>
      </c>
      <c r="K173" s="255">
        <v>14.5</v>
      </c>
      <c r="L173" s="255">
        <v>20.8</v>
      </c>
      <c r="M173" s="255">
        <v>69.599999999999994</v>
      </c>
      <c r="N173" s="255">
        <v>11.2</v>
      </c>
      <c r="O173" s="255">
        <v>25.9</v>
      </c>
      <c r="P173" s="255">
        <v>37.1</v>
      </c>
      <c r="Q173" s="255">
        <v>11.5</v>
      </c>
      <c r="R173" s="255">
        <v>7.3</v>
      </c>
      <c r="S173" s="255">
        <v>4.0999999999999996</v>
      </c>
      <c r="T173" s="255">
        <v>12.2</v>
      </c>
      <c r="U173" s="255">
        <v>17.399999999999999</v>
      </c>
    </row>
    <row r="174" spans="1:21" ht="15.75" customHeight="1" thickBot="1" x14ac:dyDescent="0.3">
      <c r="A174" s="257">
        <v>172</v>
      </c>
      <c r="B174" s="259" t="s">
        <v>415</v>
      </c>
      <c r="C174" s="255">
        <v>32</v>
      </c>
      <c r="D174" s="255">
        <v>73.7</v>
      </c>
      <c r="E174" s="255">
        <v>24.6</v>
      </c>
      <c r="F174" s="255">
        <v>56.8</v>
      </c>
      <c r="G174" s="255">
        <v>43.3</v>
      </c>
      <c r="H174" s="255">
        <v>7.9</v>
      </c>
      <c r="I174" s="255">
        <v>23</v>
      </c>
      <c r="J174" s="255">
        <v>34.6</v>
      </c>
      <c r="K174" s="255">
        <v>16.5</v>
      </c>
      <c r="L174" s="255">
        <v>23.7</v>
      </c>
      <c r="M174" s="255">
        <v>69.900000000000006</v>
      </c>
      <c r="N174" s="255">
        <v>9.9</v>
      </c>
      <c r="O174" s="255">
        <v>23.4</v>
      </c>
      <c r="P174" s="255">
        <v>33.4</v>
      </c>
      <c r="Q174" s="255">
        <v>11.8</v>
      </c>
      <c r="R174" s="255">
        <v>7.1</v>
      </c>
      <c r="S174" s="255">
        <v>4.2</v>
      </c>
      <c r="T174" s="255">
        <v>12.4</v>
      </c>
      <c r="U174" s="255">
        <v>19.100000000000001</v>
      </c>
    </row>
    <row r="175" spans="1:21" ht="15.75" customHeight="1" thickBot="1" x14ac:dyDescent="0.3">
      <c r="A175" s="257">
        <v>174</v>
      </c>
      <c r="B175" s="259" t="s">
        <v>413</v>
      </c>
      <c r="C175" s="255">
        <v>30</v>
      </c>
      <c r="D175" s="255">
        <v>73.7</v>
      </c>
      <c r="E175" s="255">
        <v>26.3</v>
      </c>
      <c r="F175" s="255">
        <v>59.7</v>
      </c>
      <c r="G175" s="255">
        <v>44.1</v>
      </c>
      <c r="H175" s="255">
        <v>5.6</v>
      </c>
      <c r="I175" s="255">
        <v>16.399999999999999</v>
      </c>
      <c r="J175" s="255">
        <v>34</v>
      </c>
      <c r="K175" s="255">
        <v>15.4</v>
      </c>
      <c r="L175" s="255">
        <v>21.1</v>
      </c>
      <c r="M175" s="255">
        <v>73</v>
      </c>
      <c r="N175" s="255">
        <v>12.1</v>
      </c>
      <c r="O175" s="255">
        <v>27.8</v>
      </c>
      <c r="P175" s="255">
        <v>39.9</v>
      </c>
      <c r="Q175" s="255">
        <v>10.6</v>
      </c>
      <c r="R175" s="255">
        <v>6.7</v>
      </c>
      <c r="S175" s="255">
        <v>4.9000000000000004</v>
      </c>
      <c r="T175" s="255">
        <v>11.4</v>
      </c>
      <c r="U175" s="255">
        <v>17.600000000000001</v>
      </c>
    </row>
    <row r="176" spans="1:21" ht="15.75" customHeight="1" thickBot="1" x14ac:dyDescent="0.3">
      <c r="A176" s="257">
        <v>175</v>
      </c>
      <c r="B176" s="259" t="s">
        <v>453</v>
      </c>
      <c r="C176" s="255">
        <v>31</v>
      </c>
      <c r="D176" s="255">
        <v>73.7</v>
      </c>
      <c r="E176" s="255">
        <v>26.7</v>
      </c>
      <c r="F176" s="255">
        <v>60.9</v>
      </c>
      <c r="G176" s="255">
        <v>43.8</v>
      </c>
      <c r="H176" s="255">
        <v>6</v>
      </c>
      <c r="I176" s="255">
        <v>20.6</v>
      </c>
      <c r="J176" s="255">
        <v>29</v>
      </c>
      <c r="K176" s="255">
        <v>14.4</v>
      </c>
      <c r="L176" s="255">
        <v>19.899999999999999</v>
      </c>
      <c r="M176" s="255">
        <v>72</v>
      </c>
      <c r="N176" s="255">
        <v>12.1</v>
      </c>
      <c r="O176" s="255">
        <v>23.9</v>
      </c>
      <c r="P176" s="255">
        <v>35.9</v>
      </c>
      <c r="Q176" s="255">
        <v>12.6</v>
      </c>
      <c r="R176" s="255">
        <v>6.8</v>
      </c>
      <c r="S176" s="255">
        <v>2.6</v>
      </c>
      <c r="T176" s="255">
        <v>12.4</v>
      </c>
      <c r="U176" s="255">
        <v>16.5</v>
      </c>
    </row>
    <row r="177" spans="1:21" ht="15.75" customHeight="1" thickBot="1" x14ac:dyDescent="0.3">
      <c r="A177" s="257">
        <v>176</v>
      </c>
      <c r="B177" s="259" t="s">
        <v>283</v>
      </c>
      <c r="C177" s="255">
        <v>31</v>
      </c>
      <c r="D177" s="255">
        <v>73.7</v>
      </c>
      <c r="E177" s="255">
        <v>25.7</v>
      </c>
      <c r="F177" s="255">
        <v>54.8</v>
      </c>
      <c r="G177" s="255">
        <v>46.9</v>
      </c>
      <c r="H177" s="255">
        <v>6.6</v>
      </c>
      <c r="I177" s="255">
        <v>19.399999999999999</v>
      </c>
      <c r="J177" s="255">
        <v>34.299999999999997</v>
      </c>
      <c r="K177" s="255">
        <v>15.6</v>
      </c>
      <c r="L177" s="255">
        <v>21.8</v>
      </c>
      <c r="M177" s="255">
        <v>71.599999999999994</v>
      </c>
      <c r="N177" s="255">
        <v>9.8000000000000007</v>
      </c>
      <c r="O177" s="255">
        <v>22.8</v>
      </c>
      <c r="P177" s="255">
        <v>32.5</v>
      </c>
      <c r="Q177" s="255">
        <v>13.1</v>
      </c>
      <c r="R177" s="255">
        <v>6</v>
      </c>
      <c r="S177" s="255">
        <v>3.3</v>
      </c>
      <c r="T177" s="255">
        <v>10.6</v>
      </c>
      <c r="U177" s="255">
        <v>16.600000000000001</v>
      </c>
    </row>
    <row r="178" spans="1:21" ht="15.75" customHeight="1" thickBot="1" x14ac:dyDescent="0.3">
      <c r="A178" s="257">
        <v>176</v>
      </c>
      <c r="B178" s="259" t="s">
        <v>477</v>
      </c>
      <c r="C178" s="255">
        <v>31</v>
      </c>
      <c r="D178" s="255">
        <v>73.7</v>
      </c>
      <c r="E178" s="255">
        <v>26.2</v>
      </c>
      <c r="F178" s="255">
        <v>57.5</v>
      </c>
      <c r="G178" s="255">
        <v>45.5</v>
      </c>
      <c r="H178" s="255">
        <v>6.7</v>
      </c>
      <c r="I178" s="255">
        <v>19.2</v>
      </c>
      <c r="J178" s="255">
        <v>35.200000000000003</v>
      </c>
      <c r="K178" s="255">
        <v>14.6</v>
      </c>
      <c r="L178" s="255">
        <v>19.600000000000001</v>
      </c>
      <c r="M178" s="255">
        <v>74.2</v>
      </c>
      <c r="N178" s="255">
        <v>10.3</v>
      </c>
      <c r="O178" s="255">
        <v>23</v>
      </c>
      <c r="P178" s="255">
        <v>33.4</v>
      </c>
      <c r="Q178" s="255">
        <v>12.2</v>
      </c>
      <c r="R178" s="255">
        <v>7.2</v>
      </c>
      <c r="S178" s="255">
        <v>2.8</v>
      </c>
      <c r="T178" s="255">
        <v>12.2</v>
      </c>
      <c r="U178" s="255">
        <v>16.600000000000001</v>
      </c>
    </row>
    <row r="179" spans="1:21" ht="15.75" customHeight="1" thickBot="1" x14ac:dyDescent="0.3">
      <c r="A179" s="257">
        <v>176</v>
      </c>
      <c r="B179" s="259" t="s">
        <v>304</v>
      </c>
      <c r="C179" s="255">
        <v>31</v>
      </c>
      <c r="D179" s="255">
        <v>73.7</v>
      </c>
      <c r="E179" s="255">
        <v>25.5</v>
      </c>
      <c r="F179" s="255">
        <v>56.5</v>
      </c>
      <c r="G179" s="255">
        <v>45.1</v>
      </c>
      <c r="H179" s="255">
        <v>7.8</v>
      </c>
      <c r="I179" s="255">
        <v>24.2</v>
      </c>
      <c r="J179" s="255">
        <v>32.299999999999997</v>
      </c>
      <c r="K179" s="255">
        <v>15</v>
      </c>
      <c r="L179" s="255">
        <v>21.6</v>
      </c>
      <c r="M179" s="255">
        <v>69.400000000000006</v>
      </c>
      <c r="N179" s="255">
        <v>9.6</v>
      </c>
      <c r="O179" s="255">
        <v>22.3</v>
      </c>
      <c r="P179" s="255">
        <v>31.8</v>
      </c>
      <c r="Q179" s="255">
        <v>12.7</v>
      </c>
      <c r="R179" s="255">
        <v>8</v>
      </c>
      <c r="S179" s="255">
        <v>3.5</v>
      </c>
      <c r="T179" s="255">
        <v>14.8</v>
      </c>
      <c r="U179" s="255">
        <v>18.8</v>
      </c>
    </row>
    <row r="180" spans="1:21" ht="15.75" customHeight="1" thickBot="1" x14ac:dyDescent="0.3">
      <c r="A180" s="257">
        <v>179</v>
      </c>
      <c r="B180" s="259" t="s">
        <v>239</v>
      </c>
      <c r="C180" s="255">
        <v>30</v>
      </c>
      <c r="D180" s="255">
        <v>73.7</v>
      </c>
      <c r="E180" s="255">
        <v>25.5</v>
      </c>
      <c r="F180" s="255">
        <v>58.8</v>
      </c>
      <c r="G180" s="255">
        <v>43.3</v>
      </c>
      <c r="H180" s="255">
        <v>8.8000000000000007</v>
      </c>
      <c r="I180" s="255">
        <v>25.4</v>
      </c>
      <c r="J180" s="255">
        <v>34.6</v>
      </c>
      <c r="K180" s="255">
        <v>14</v>
      </c>
      <c r="L180" s="255">
        <v>18.2</v>
      </c>
      <c r="M180" s="255">
        <v>77.2</v>
      </c>
      <c r="N180" s="255">
        <v>10.8</v>
      </c>
      <c r="O180" s="255">
        <v>23.7</v>
      </c>
      <c r="P180" s="255">
        <v>34.5</v>
      </c>
      <c r="Q180" s="255">
        <v>15.1</v>
      </c>
      <c r="R180" s="255">
        <v>7.3</v>
      </c>
      <c r="S180" s="255">
        <v>2.8</v>
      </c>
      <c r="T180" s="255">
        <v>9.1</v>
      </c>
      <c r="U180" s="255">
        <v>14.6</v>
      </c>
    </row>
    <row r="181" spans="1:21" ht="15.75" customHeight="1" thickBot="1" x14ac:dyDescent="0.3">
      <c r="A181" s="257">
        <v>179</v>
      </c>
      <c r="B181" s="259" t="s">
        <v>385</v>
      </c>
      <c r="C181" s="255">
        <v>30</v>
      </c>
      <c r="D181" s="255">
        <v>73.7</v>
      </c>
      <c r="E181" s="255">
        <v>25.4</v>
      </c>
      <c r="F181" s="255">
        <v>57.6</v>
      </c>
      <c r="G181" s="255">
        <v>44</v>
      </c>
      <c r="H181" s="255">
        <v>8.5</v>
      </c>
      <c r="I181" s="255">
        <v>26.1</v>
      </c>
      <c r="J181" s="255">
        <v>32.6</v>
      </c>
      <c r="K181" s="255">
        <v>14.5</v>
      </c>
      <c r="L181" s="255">
        <v>20.5</v>
      </c>
      <c r="M181" s="255">
        <v>70.7</v>
      </c>
      <c r="N181" s="255">
        <v>10.7</v>
      </c>
      <c r="O181" s="255">
        <v>25.7</v>
      </c>
      <c r="P181" s="255">
        <v>36.4</v>
      </c>
      <c r="Q181" s="255">
        <v>12.2</v>
      </c>
      <c r="R181" s="255">
        <v>5.2</v>
      </c>
      <c r="S181" s="255">
        <v>2.6</v>
      </c>
      <c r="T181" s="255">
        <v>12.4</v>
      </c>
      <c r="U181" s="255">
        <v>18.2</v>
      </c>
    </row>
    <row r="182" spans="1:21" ht="15.75" customHeight="1" thickBot="1" x14ac:dyDescent="0.3">
      <c r="A182" s="257">
        <v>181</v>
      </c>
      <c r="B182" s="259" t="s">
        <v>267</v>
      </c>
      <c r="C182" s="255">
        <v>30</v>
      </c>
      <c r="D182" s="255">
        <v>73.8</v>
      </c>
      <c r="E182" s="255">
        <v>25.3</v>
      </c>
      <c r="F182" s="255">
        <v>58.6</v>
      </c>
      <c r="G182" s="255">
        <v>43.3</v>
      </c>
      <c r="H182" s="255">
        <v>7.9</v>
      </c>
      <c r="I182" s="255">
        <v>23.9</v>
      </c>
      <c r="J182" s="255">
        <v>33</v>
      </c>
      <c r="K182" s="255">
        <v>15.2</v>
      </c>
      <c r="L182" s="255">
        <v>20.9</v>
      </c>
      <c r="M182" s="255">
        <v>72.8</v>
      </c>
      <c r="N182" s="255">
        <v>11.2</v>
      </c>
      <c r="O182" s="255">
        <v>23.7</v>
      </c>
      <c r="P182" s="255">
        <v>34.9</v>
      </c>
      <c r="Q182" s="255">
        <v>13.7</v>
      </c>
      <c r="R182" s="255">
        <v>6.3</v>
      </c>
      <c r="S182" s="255">
        <v>3.4</v>
      </c>
      <c r="T182" s="255">
        <v>10.8</v>
      </c>
      <c r="U182" s="255">
        <v>17.8</v>
      </c>
    </row>
    <row r="183" spans="1:21" ht="15.75" customHeight="1" thickBot="1" x14ac:dyDescent="0.3">
      <c r="A183" s="257">
        <v>182</v>
      </c>
      <c r="B183" s="259" t="s">
        <v>281</v>
      </c>
      <c r="C183" s="255">
        <v>31</v>
      </c>
      <c r="D183" s="255">
        <v>73.8</v>
      </c>
      <c r="E183" s="255">
        <v>25</v>
      </c>
      <c r="F183" s="255">
        <v>57</v>
      </c>
      <c r="G183" s="255">
        <v>43.9</v>
      </c>
      <c r="H183" s="255">
        <v>7.5</v>
      </c>
      <c r="I183" s="255">
        <v>21.1</v>
      </c>
      <c r="J183" s="255">
        <v>35.299999999999997</v>
      </c>
      <c r="K183" s="255">
        <v>16.3</v>
      </c>
      <c r="L183" s="255">
        <v>22</v>
      </c>
      <c r="M183" s="255">
        <v>74.2</v>
      </c>
      <c r="N183" s="255">
        <v>8.4</v>
      </c>
      <c r="O183" s="255">
        <v>24.8</v>
      </c>
      <c r="P183" s="255">
        <v>33.200000000000003</v>
      </c>
      <c r="Q183" s="255">
        <v>11.8</v>
      </c>
      <c r="R183" s="255">
        <v>6.5</v>
      </c>
      <c r="S183" s="255">
        <v>2.7</v>
      </c>
      <c r="T183" s="255">
        <v>11</v>
      </c>
      <c r="U183" s="255">
        <v>18.399999999999999</v>
      </c>
    </row>
    <row r="184" spans="1:21" ht="15.75" customHeight="1" thickBot="1" x14ac:dyDescent="0.3">
      <c r="A184" s="257">
        <v>183</v>
      </c>
      <c r="B184" s="259" t="s">
        <v>31</v>
      </c>
      <c r="C184" s="255">
        <v>30</v>
      </c>
      <c r="D184" s="255">
        <v>73.8</v>
      </c>
      <c r="E184" s="255">
        <v>26.6</v>
      </c>
      <c r="F184" s="255">
        <v>61.7</v>
      </c>
      <c r="G184" s="255">
        <v>43.1</v>
      </c>
      <c r="H184" s="255">
        <v>7.5</v>
      </c>
      <c r="I184" s="255">
        <v>23.4</v>
      </c>
      <c r="J184" s="255">
        <v>32.200000000000003</v>
      </c>
      <c r="K184" s="255">
        <v>13.1</v>
      </c>
      <c r="L184" s="255">
        <v>17.899999999999999</v>
      </c>
      <c r="M184" s="255">
        <v>73.400000000000006</v>
      </c>
      <c r="N184" s="255">
        <v>10.199999999999999</v>
      </c>
      <c r="O184" s="255">
        <v>23.1</v>
      </c>
      <c r="P184" s="255">
        <v>33.299999999999997</v>
      </c>
      <c r="Q184" s="255">
        <v>12.7</v>
      </c>
      <c r="R184" s="255">
        <v>6.4</v>
      </c>
      <c r="S184" s="255">
        <v>2.4</v>
      </c>
      <c r="T184" s="255">
        <v>13.1</v>
      </c>
      <c r="U184" s="255">
        <v>19.399999999999999</v>
      </c>
    </row>
    <row r="185" spans="1:21" ht="15.75" customHeight="1" thickBot="1" x14ac:dyDescent="0.3">
      <c r="A185" s="257">
        <v>184</v>
      </c>
      <c r="B185" s="259" t="s">
        <v>266</v>
      </c>
      <c r="C185" s="255">
        <v>30</v>
      </c>
      <c r="D185" s="255">
        <v>73.8</v>
      </c>
      <c r="E185" s="255">
        <v>25.7</v>
      </c>
      <c r="F185" s="255">
        <v>58</v>
      </c>
      <c r="G185" s="255">
        <v>44.3</v>
      </c>
      <c r="H185" s="255">
        <v>8.1</v>
      </c>
      <c r="I185" s="255">
        <v>24.5</v>
      </c>
      <c r="J185" s="255">
        <v>33.200000000000003</v>
      </c>
      <c r="K185" s="255">
        <v>14.3</v>
      </c>
      <c r="L185" s="255">
        <v>19.8</v>
      </c>
      <c r="M185" s="255">
        <v>72.2</v>
      </c>
      <c r="N185" s="255">
        <v>9.8000000000000007</v>
      </c>
      <c r="O185" s="255">
        <v>22.1</v>
      </c>
      <c r="P185" s="255">
        <v>31.9</v>
      </c>
      <c r="Q185" s="255">
        <v>15.3</v>
      </c>
      <c r="R185" s="255">
        <v>7.9</v>
      </c>
      <c r="S185" s="255">
        <v>3.4</v>
      </c>
      <c r="T185" s="255">
        <v>13</v>
      </c>
      <c r="U185" s="255">
        <v>17.399999999999999</v>
      </c>
    </row>
    <row r="186" spans="1:21" ht="15.75" customHeight="1" thickBot="1" x14ac:dyDescent="0.3">
      <c r="A186" s="257">
        <v>185</v>
      </c>
      <c r="B186" s="259" t="s">
        <v>289</v>
      </c>
      <c r="C186" s="255">
        <v>33</v>
      </c>
      <c r="D186" s="255">
        <v>73.8</v>
      </c>
      <c r="E186" s="255">
        <v>24.9</v>
      </c>
      <c r="F186" s="255">
        <v>58.5</v>
      </c>
      <c r="G186" s="255">
        <v>42.6</v>
      </c>
      <c r="H186" s="255">
        <v>7.2</v>
      </c>
      <c r="I186" s="255">
        <v>22.3</v>
      </c>
      <c r="J186" s="255">
        <v>32.5</v>
      </c>
      <c r="K186" s="255">
        <v>16.8</v>
      </c>
      <c r="L186" s="255">
        <v>23.2</v>
      </c>
      <c r="M186" s="255">
        <v>72.400000000000006</v>
      </c>
      <c r="N186" s="255">
        <v>10.8</v>
      </c>
      <c r="O186" s="255">
        <v>23.8</v>
      </c>
      <c r="P186" s="255">
        <v>34.5</v>
      </c>
      <c r="Q186" s="255">
        <v>11.2</v>
      </c>
      <c r="R186" s="255">
        <v>6.4</v>
      </c>
      <c r="S186" s="255">
        <v>3.5</v>
      </c>
      <c r="T186" s="255">
        <v>8.6999999999999993</v>
      </c>
      <c r="U186" s="255">
        <v>16.7</v>
      </c>
    </row>
    <row r="187" spans="1:21" ht="15.75" customHeight="1" thickBot="1" x14ac:dyDescent="0.3">
      <c r="A187" s="257">
        <v>186</v>
      </c>
      <c r="B187" s="259" t="s">
        <v>371</v>
      </c>
      <c r="C187" s="255">
        <v>26</v>
      </c>
      <c r="D187" s="255">
        <v>73.900000000000006</v>
      </c>
      <c r="E187" s="255">
        <v>27.3</v>
      </c>
      <c r="F187" s="255">
        <v>60.3</v>
      </c>
      <c r="G187" s="255">
        <v>45.3</v>
      </c>
      <c r="H187" s="255">
        <v>7.6</v>
      </c>
      <c r="I187" s="255">
        <v>23.8</v>
      </c>
      <c r="J187" s="255">
        <v>32</v>
      </c>
      <c r="K187" s="255">
        <v>11.6</v>
      </c>
      <c r="L187" s="255">
        <v>17.3</v>
      </c>
      <c r="M187" s="255">
        <v>67</v>
      </c>
      <c r="N187" s="255">
        <v>10.5</v>
      </c>
      <c r="O187" s="255">
        <v>25.1</v>
      </c>
      <c r="P187" s="255">
        <v>35.6</v>
      </c>
      <c r="Q187" s="255">
        <v>14.3</v>
      </c>
      <c r="R187" s="255">
        <v>6</v>
      </c>
      <c r="S187" s="255">
        <v>3.7</v>
      </c>
      <c r="T187" s="255">
        <v>12.1</v>
      </c>
      <c r="U187" s="255">
        <v>19.5</v>
      </c>
    </row>
    <row r="188" spans="1:21" ht="15.75" customHeight="1" thickBot="1" x14ac:dyDescent="0.3">
      <c r="A188" s="257">
        <v>187</v>
      </c>
      <c r="B188" s="259" t="s">
        <v>367</v>
      </c>
      <c r="C188" s="255">
        <v>30</v>
      </c>
      <c r="D188" s="255">
        <v>73.900000000000006</v>
      </c>
      <c r="E188" s="255">
        <v>25.6</v>
      </c>
      <c r="F188" s="255">
        <v>58.3</v>
      </c>
      <c r="G188" s="255">
        <v>43.9</v>
      </c>
      <c r="H188" s="255">
        <v>8.1</v>
      </c>
      <c r="I188" s="255">
        <v>24.2</v>
      </c>
      <c r="J188" s="255">
        <v>33.6</v>
      </c>
      <c r="K188" s="255">
        <v>14.6</v>
      </c>
      <c r="L188" s="255">
        <v>18.8</v>
      </c>
      <c r="M188" s="255">
        <v>78</v>
      </c>
      <c r="N188" s="255">
        <v>11</v>
      </c>
      <c r="O188" s="255">
        <v>23.4</v>
      </c>
      <c r="P188" s="255">
        <v>34.4</v>
      </c>
      <c r="Q188" s="255">
        <v>13.6</v>
      </c>
      <c r="R188" s="255">
        <v>7</v>
      </c>
      <c r="S188" s="255">
        <v>3.1</v>
      </c>
      <c r="T188" s="255">
        <v>10.6</v>
      </c>
      <c r="U188" s="255">
        <v>16.8</v>
      </c>
    </row>
    <row r="189" spans="1:21" ht="15.75" customHeight="1" thickBot="1" x14ac:dyDescent="0.3">
      <c r="A189" s="257">
        <v>187</v>
      </c>
      <c r="B189" s="259" t="s">
        <v>327</v>
      </c>
      <c r="C189" s="255">
        <v>30</v>
      </c>
      <c r="D189" s="255">
        <v>73.900000000000006</v>
      </c>
      <c r="E189" s="255">
        <v>25.6</v>
      </c>
      <c r="F189" s="255">
        <v>56.6</v>
      </c>
      <c r="G189" s="255">
        <v>45.3</v>
      </c>
      <c r="H189" s="255">
        <v>6.8</v>
      </c>
      <c r="I189" s="255">
        <v>19.899999999999999</v>
      </c>
      <c r="J189" s="255">
        <v>34.200000000000003</v>
      </c>
      <c r="K189" s="255">
        <v>15.8</v>
      </c>
      <c r="L189" s="255">
        <v>22.3</v>
      </c>
      <c r="M189" s="255">
        <v>70.900000000000006</v>
      </c>
      <c r="N189" s="255">
        <v>10.4</v>
      </c>
      <c r="O189" s="255">
        <v>23.3</v>
      </c>
      <c r="P189" s="255">
        <v>33.700000000000003</v>
      </c>
      <c r="Q189" s="255">
        <v>12.8</v>
      </c>
      <c r="R189" s="255">
        <v>6.7</v>
      </c>
      <c r="S189" s="255">
        <v>4.7</v>
      </c>
      <c r="T189" s="255">
        <v>11.7</v>
      </c>
      <c r="U189" s="255">
        <v>18.8</v>
      </c>
    </row>
    <row r="190" spans="1:21" ht="15.75" customHeight="1" thickBot="1" x14ac:dyDescent="0.3">
      <c r="A190" s="257">
        <v>189</v>
      </c>
      <c r="B190" s="259" t="s">
        <v>423</v>
      </c>
      <c r="C190" s="255">
        <v>30</v>
      </c>
      <c r="D190" s="255">
        <v>74</v>
      </c>
      <c r="E190" s="255">
        <v>26.2</v>
      </c>
      <c r="F190" s="255">
        <v>59.5</v>
      </c>
      <c r="G190" s="255">
        <v>44.1</v>
      </c>
      <c r="H190" s="255">
        <v>7.2</v>
      </c>
      <c r="I190" s="255">
        <v>20.9</v>
      </c>
      <c r="J190" s="255">
        <v>34.6</v>
      </c>
      <c r="K190" s="255">
        <v>14.3</v>
      </c>
      <c r="L190" s="255">
        <v>19.899999999999999</v>
      </c>
      <c r="M190" s="255">
        <v>72.099999999999994</v>
      </c>
      <c r="N190" s="255">
        <v>11.9</v>
      </c>
      <c r="O190" s="255">
        <v>24.8</v>
      </c>
      <c r="P190" s="255">
        <v>36.700000000000003</v>
      </c>
      <c r="Q190" s="255">
        <v>14</v>
      </c>
      <c r="R190" s="255">
        <v>6.8</v>
      </c>
      <c r="S190" s="255">
        <v>3</v>
      </c>
      <c r="T190" s="255">
        <v>12.2</v>
      </c>
      <c r="U190" s="255">
        <v>18.399999999999999</v>
      </c>
    </row>
    <row r="191" spans="1:21" ht="15.75" customHeight="1" thickBot="1" x14ac:dyDescent="0.3">
      <c r="A191" s="257">
        <v>190</v>
      </c>
      <c r="B191" s="259" t="s">
        <v>201</v>
      </c>
      <c r="C191" s="255">
        <v>32</v>
      </c>
      <c r="D191" s="255">
        <v>74</v>
      </c>
      <c r="E191" s="255">
        <v>26.4</v>
      </c>
      <c r="F191" s="255">
        <v>57.4</v>
      </c>
      <c r="G191" s="255">
        <v>46.1</v>
      </c>
      <c r="H191" s="255">
        <v>8.6999999999999993</v>
      </c>
      <c r="I191" s="255">
        <v>23.9</v>
      </c>
      <c r="J191" s="255">
        <v>36.5</v>
      </c>
      <c r="K191" s="255">
        <v>12.4</v>
      </c>
      <c r="L191" s="255">
        <v>17.100000000000001</v>
      </c>
      <c r="M191" s="255">
        <v>72.7</v>
      </c>
      <c r="N191" s="255">
        <v>8.8000000000000007</v>
      </c>
      <c r="O191" s="255">
        <v>21.3</v>
      </c>
      <c r="P191" s="255">
        <v>30.2</v>
      </c>
      <c r="Q191" s="255">
        <v>12.9</v>
      </c>
      <c r="R191" s="255">
        <v>7</v>
      </c>
      <c r="S191" s="255">
        <v>2.5</v>
      </c>
      <c r="T191" s="255">
        <v>8.8000000000000007</v>
      </c>
      <c r="U191" s="255">
        <v>15.4</v>
      </c>
    </row>
    <row r="192" spans="1:21" ht="15.75" customHeight="1" thickBot="1" x14ac:dyDescent="0.3">
      <c r="A192" s="257">
        <v>191</v>
      </c>
      <c r="B192" s="259" t="s">
        <v>335</v>
      </c>
      <c r="C192" s="255">
        <v>31</v>
      </c>
      <c r="D192" s="255">
        <v>74.099999999999994</v>
      </c>
      <c r="E192" s="255">
        <v>25.5</v>
      </c>
      <c r="F192" s="255">
        <v>58.7</v>
      </c>
      <c r="G192" s="255">
        <v>43.4</v>
      </c>
      <c r="H192" s="255">
        <v>7.8</v>
      </c>
      <c r="I192" s="255">
        <v>23.9</v>
      </c>
      <c r="J192" s="255">
        <v>32.700000000000003</v>
      </c>
      <c r="K192" s="255">
        <v>15.3</v>
      </c>
      <c r="L192" s="255">
        <v>22</v>
      </c>
      <c r="M192" s="255">
        <v>69.599999999999994</v>
      </c>
      <c r="N192" s="255">
        <v>11.7</v>
      </c>
      <c r="O192" s="255">
        <v>26.6</v>
      </c>
      <c r="P192" s="255">
        <v>38.4</v>
      </c>
      <c r="Q192" s="255">
        <v>13.4</v>
      </c>
      <c r="R192" s="255">
        <v>6.3</v>
      </c>
      <c r="S192" s="255">
        <v>3</v>
      </c>
      <c r="T192" s="255">
        <v>11.4</v>
      </c>
      <c r="U192" s="255">
        <v>16.899999999999999</v>
      </c>
    </row>
    <row r="193" spans="1:21" ht="15.75" customHeight="1" thickBot="1" x14ac:dyDescent="0.3">
      <c r="A193" s="257">
        <v>192</v>
      </c>
      <c r="B193" s="259" t="s">
        <v>329</v>
      </c>
      <c r="C193" s="255">
        <v>31</v>
      </c>
      <c r="D193" s="255">
        <v>74.099999999999994</v>
      </c>
      <c r="E193" s="255">
        <v>26.6</v>
      </c>
      <c r="F193" s="255">
        <v>61.3</v>
      </c>
      <c r="G193" s="255">
        <v>43.5</v>
      </c>
      <c r="H193" s="255">
        <v>7.7</v>
      </c>
      <c r="I193" s="255">
        <v>23.6</v>
      </c>
      <c r="J193" s="255">
        <v>32.6</v>
      </c>
      <c r="K193" s="255">
        <v>13.1</v>
      </c>
      <c r="L193" s="255">
        <v>18.8</v>
      </c>
      <c r="M193" s="255">
        <v>69.599999999999994</v>
      </c>
      <c r="N193" s="255">
        <v>10.199999999999999</v>
      </c>
      <c r="O193" s="255">
        <v>23.3</v>
      </c>
      <c r="P193" s="255">
        <v>33.5</v>
      </c>
      <c r="Q193" s="255">
        <v>13.1</v>
      </c>
      <c r="R193" s="255">
        <v>7.9</v>
      </c>
      <c r="S193" s="255">
        <v>2.8</v>
      </c>
      <c r="T193" s="255">
        <v>10.7</v>
      </c>
      <c r="U193" s="255">
        <v>17.100000000000001</v>
      </c>
    </row>
    <row r="194" spans="1:21" ht="15.75" customHeight="1" thickBot="1" x14ac:dyDescent="0.3">
      <c r="A194" s="257">
        <v>193</v>
      </c>
      <c r="B194" s="259" t="s">
        <v>222</v>
      </c>
      <c r="C194" s="255">
        <v>30</v>
      </c>
      <c r="D194" s="255">
        <v>74.099999999999994</v>
      </c>
      <c r="E194" s="255">
        <v>25.6</v>
      </c>
      <c r="F194" s="255">
        <v>57.4</v>
      </c>
      <c r="G194" s="255">
        <v>44.5</v>
      </c>
      <c r="H194" s="255">
        <v>7.9</v>
      </c>
      <c r="I194" s="255">
        <v>23</v>
      </c>
      <c r="J194" s="255">
        <v>34.299999999999997</v>
      </c>
      <c r="K194" s="255">
        <v>15.1</v>
      </c>
      <c r="L194" s="255">
        <v>21.4</v>
      </c>
      <c r="M194" s="255">
        <v>70.599999999999994</v>
      </c>
      <c r="N194" s="255">
        <v>10.9</v>
      </c>
      <c r="O194" s="255">
        <v>21.1</v>
      </c>
      <c r="P194" s="255">
        <v>32</v>
      </c>
      <c r="Q194" s="255">
        <v>12.5</v>
      </c>
      <c r="R194" s="255">
        <v>6.4</v>
      </c>
      <c r="S194" s="255">
        <v>2.9</v>
      </c>
      <c r="T194" s="255">
        <v>9.3000000000000007</v>
      </c>
      <c r="U194" s="255">
        <v>17</v>
      </c>
    </row>
    <row r="195" spans="1:21" ht="15.75" customHeight="1" thickBot="1" x14ac:dyDescent="0.3">
      <c r="A195" s="257">
        <v>194</v>
      </c>
      <c r="B195" s="259" t="s">
        <v>302</v>
      </c>
      <c r="C195" s="255">
        <v>32</v>
      </c>
      <c r="D195" s="255">
        <v>74.099999999999994</v>
      </c>
      <c r="E195" s="255">
        <v>26.3</v>
      </c>
      <c r="F195" s="255">
        <v>59</v>
      </c>
      <c r="G195" s="255">
        <v>44.7</v>
      </c>
      <c r="H195" s="255">
        <v>8.1999999999999993</v>
      </c>
      <c r="I195" s="255">
        <v>23.7</v>
      </c>
      <c r="J195" s="255">
        <v>34.6</v>
      </c>
      <c r="K195" s="255">
        <v>13.3</v>
      </c>
      <c r="L195" s="255">
        <v>19</v>
      </c>
      <c r="M195" s="255">
        <v>69.599999999999994</v>
      </c>
      <c r="N195" s="255">
        <v>12.6</v>
      </c>
      <c r="O195" s="255">
        <v>23.9</v>
      </c>
      <c r="P195" s="255">
        <v>36.5</v>
      </c>
      <c r="Q195" s="255">
        <v>13.9</v>
      </c>
      <c r="R195" s="255">
        <v>7.5</v>
      </c>
      <c r="S195" s="255">
        <v>2.2999999999999998</v>
      </c>
      <c r="T195" s="255">
        <v>13</v>
      </c>
      <c r="U195" s="255">
        <v>14.9</v>
      </c>
    </row>
    <row r="196" spans="1:21" ht="15.75" customHeight="1" thickBot="1" x14ac:dyDescent="0.3">
      <c r="A196" s="257">
        <v>195</v>
      </c>
      <c r="B196" s="259" t="s">
        <v>459</v>
      </c>
      <c r="C196" s="255">
        <v>30</v>
      </c>
      <c r="D196" s="255">
        <v>74.2</v>
      </c>
      <c r="E196" s="255">
        <v>27.2</v>
      </c>
      <c r="F196" s="255">
        <v>61</v>
      </c>
      <c r="G196" s="255">
        <v>44.6</v>
      </c>
      <c r="H196" s="255">
        <v>7.3</v>
      </c>
      <c r="I196" s="255">
        <v>24.1</v>
      </c>
      <c r="J196" s="255">
        <v>30.2</v>
      </c>
      <c r="K196" s="255">
        <v>12.5</v>
      </c>
      <c r="L196" s="255">
        <v>17.100000000000001</v>
      </c>
      <c r="M196" s="255">
        <v>72.900000000000006</v>
      </c>
      <c r="N196" s="255">
        <v>11.6</v>
      </c>
      <c r="O196" s="255">
        <v>23.6</v>
      </c>
      <c r="P196" s="255">
        <v>35.200000000000003</v>
      </c>
      <c r="Q196" s="255">
        <v>12.5</v>
      </c>
      <c r="R196" s="255">
        <v>5.3</v>
      </c>
      <c r="S196" s="255">
        <v>3.2</v>
      </c>
      <c r="T196" s="255">
        <v>12.1</v>
      </c>
      <c r="U196" s="255">
        <v>18.2</v>
      </c>
    </row>
    <row r="197" spans="1:21" ht="15.75" customHeight="1" thickBot="1" x14ac:dyDescent="0.3">
      <c r="A197" s="257">
        <v>195</v>
      </c>
      <c r="B197" s="259" t="s">
        <v>85</v>
      </c>
      <c r="C197" s="255">
        <v>30</v>
      </c>
      <c r="D197" s="255">
        <v>74.2</v>
      </c>
      <c r="E197" s="255">
        <v>25.6</v>
      </c>
      <c r="F197" s="255">
        <v>57</v>
      </c>
      <c r="G197" s="255">
        <v>44.9</v>
      </c>
      <c r="H197" s="255">
        <v>6.9</v>
      </c>
      <c r="I197" s="255">
        <v>20.9</v>
      </c>
      <c r="J197" s="255">
        <v>33.1</v>
      </c>
      <c r="K197" s="255">
        <v>16.100000000000001</v>
      </c>
      <c r="L197" s="255">
        <v>22.7</v>
      </c>
      <c r="M197" s="255">
        <v>71.099999999999994</v>
      </c>
      <c r="N197" s="255">
        <v>9.9</v>
      </c>
      <c r="O197" s="255">
        <v>24.1</v>
      </c>
      <c r="P197" s="255">
        <v>34</v>
      </c>
      <c r="Q197" s="255">
        <v>12.7</v>
      </c>
      <c r="R197" s="255">
        <v>7.4</v>
      </c>
      <c r="S197" s="255">
        <v>3.2</v>
      </c>
      <c r="T197" s="255">
        <v>14.8</v>
      </c>
      <c r="U197" s="255">
        <v>17.100000000000001</v>
      </c>
    </row>
    <row r="198" spans="1:21" ht="15.75" customHeight="1" thickBot="1" x14ac:dyDescent="0.3">
      <c r="A198" s="257">
        <v>197</v>
      </c>
      <c r="B198" s="259" t="s">
        <v>273</v>
      </c>
      <c r="C198" s="255">
        <v>32</v>
      </c>
      <c r="D198" s="255">
        <v>74.2</v>
      </c>
      <c r="E198" s="255">
        <v>25.1</v>
      </c>
      <c r="F198" s="255">
        <v>56</v>
      </c>
      <c r="G198" s="255">
        <v>44.8</v>
      </c>
      <c r="H198" s="255">
        <v>8.6999999999999993</v>
      </c>
      <c r="I198" s="255">
        <v>24.5</v>
      </c>
      <c r="J198" s="255">
        <v>35.6</v>
      </c>
      <c r="K198" s="255">
        <v>15.3</v>
      </c>
      <c r="L198" s="255">
        <v>20.6</v>
      </c>
      <c r="M198" s="255">
        <v>74.2</v>
      </c>
      <c r="N198" s="255">
        <v>9.4</v>
      </c>
      <c r="O198" s="255">
        <v>21.9</v>
      </c>
      <c r="P198" s="255">
        <v>31.3</v>
      </c>
      <c r="Q198" s="255">
        <v>14.5</v>
      </c>
      <c r="R198" s="255">
        <v>6.1</v>
      </c>
      <c r="S198" s="255">
        <v>3</v>
      </c>
      <c r="T198" s="255">
        <v>9.1</v>
      </c>
      <c r="U198" s="255">
        <v>17.8</v>
      </c>
    </row>
    <row r="199" spans="1:21" ht="15.75" customHeight="1" thickBot="1" x14ac:dyDescent="0.3">
      <c r="A199" s="257">
        <v>198</v>
      </c>
      <c r="B199" s="259" t="s">
        <v>396</v>
      </c>
      <c r="C199" s="255">
        <v>30</v>
      </c>
      <c r="D199" s="255">
        <v>74.3</v>
      </c>
      <c r="E199" s="255">
        <v>25.7</v>
      </c>
      <c r="F199" s="255">
        <v>61</v>
      </c>
      <c r="G199" s="255">
        <v>42.1</v>
      </c>
      <c r="H199" s="255">
        <v>7.9</v>
      </c>
      <c r="I199" s="255">
        <v>25.5</v>
      </c>
      <c r="J199" s="255">
        <v>31</v>
      </c>
      <c r="K199" s="255">
        <v>15</v>
      </c>
      <c r="L199" s="255">
        <v>21.4</v>
      </c>
      <c r="M199" s="255">
        <v>70</v>
      </c>
      <c r="N199" s="255">
        <v>11.2</v>
      </c>
      <c r="O199" s="255">
        <v>22.7</v>
      </c>
      <c r="P199" s="255">
        <v>33.9</v>
      </c>
      <c r="Q199" s="255">
        <v>12.9</v>
      </c>
      <c r="R199" s="255">
        <v>6.6</v>
      </c>
      <c r="S199" s="255">
        <v>3.2</v>
      </c>
      <c r="T199" s="255">
        <v>11.5</v>
      </c>
      <c r="U199" s="255">
        <v>17</v>
      </c>
    </row>
    <row r="200" spans="1:21" ht="15.75" customHeight="1" thickBot="1" x14ac:dyDescent="0.3">
      <c r="A200" s="257">
        <v>199</v>
      </c>
      <c r="B200" s="259" t="s">
        <v>337</v>
      </c>
      <c r="C200" s="255">
        <v>29</v>
      </c>
      <c r="D200" s="255">
        <v>74.3</v>
      </c>
      <c r="E200" s="255">
        <v>26.2</v>
      </c>
      <c r="F200" s="255">
        <v>57.2</v>
      </c>
      <c r="G200" s="255">
        <v>45.9</v>
      </c>
      <c r="H200" s="255">
        <v>6.8</v>
      </c>
      <c r="I200" s="255">
        <v>20.6</v>
      </c>
      <c r="J200" s="255">
        <v>33.200000000000003</v>
      </c>
      <c r="K200" s="255">
        <v>15</v>
      </c>
      <c r="L200" s="255">
        <v>20.5</v>
      </c>
      <c r="M200" s="255">
        <v>73.099999999999994</v>
      </c>
      <c r="N200" s="255">
        <v>8.9</v>
      </c>
      <c r="O200" s="255">
        <v>28.3</v>
      </c>
      <c r="P200" s="255">
        <v>37.200000000000003</v>
      </c>
      <c r="Q200" s="255">
        <v>12.7</v>
      </c>
      <c r="R200" s="255">
        <v>6.1</v>
      </c>
      <c r="S200" s="255">
        <v>3.9</v>
      </c>
      <c r="T200" s="255">
        <v>11.4</v>
      </c>
      <c r="U200" s="255">
        <v>16.399999999999999</v>
      </c>
    </row>
    <row r="201" spans="1:21" ht="15.75" customHeight="1" thickBot="1" x14ac:dyDescent="0.3">
      <c r="A201" s="257">
        <v>200</v>
      </c>
      <c r="B201" s="259" t="s">
        <v>184</v>
      </c>
      <c r="C201" s="255">
        <v>30</v>
      </c>
      <c r="D201" s="255">
        <v>74.3</v>
      </c>
      <c r="E201" s="255">
        <v>26</v>
      </c>
      <c r="F201" s="255">
        <v>61.3</v>
      </c>
      <c r="G201" s="255">
        <v>42.4</v>
      </c>
      <c r="H201" s="255">
        <v>9.6</v>
      </c>
      <c r="I201" s="255">
        <v>27</v>
      </c>
      <c r="J201" s="255">
        <v>35.4</v>
      </c>
      <c r="K201" s="255">
        <v>12.8</v>
      </c>
      <c r="L201" s="255">
        <v>17.600000000000001</v>
      </c>
      <c r="M201" s="255">
        <v>73.099999999999994</v>
      </c>
      <c r="N201" s="255">
        <v>11.3</v>
      </c>
      <c r="O201" s="255">
        <v>21.8</v>
      </c>
      <c r="P201" s="255">
        <v>33</v>
      </c>
      <c r="Q201" s="255">
        <v>13.6</v>
      </c>
      <c r="R201" s="255">
        <v>6.1</v>
      </c>
      <c r="S201" s="255">
        <v>3</v>
      </c>
      <c r="T201" s="255">
        <v>13.8</v>
      </c>
      <c r="U201" s="255">
        <v>15.7</v>
      </c>
    </row>
    <row r="202" spans="1:21" ht="15.75" customHeight="1" thickBot="1" x14ac:dyDescent="0.3">
      <c r="A202" s="257">
        <v>201</v>
      </c>
      <c r="B202" s="259" t="s">
        <v>368</v>
      </c>
      <c r="C202" s="255">
        <v>31</v>
      </c>
      <c r="D202" s="255">
        <v>74.400000000000006</v>
      </c>
      <c r="E202" s="255">
        <v>25.5</v>
      </c>
      <c r="F202" s="255">
        <v>58.6</v>
      </c>
      <c r="G202" s="255">
        <v>43.5</v>
      </c>
      <c r="H202" s="255">
        <v>8.1</v>
      </c>
      <c r="I202" s="255">
        <v>24.5</v>
      </c>
      <c r="J202" s="255">
        <v>32.9</v>
      </c>
      <c r="K202" s="255">
        <v>15.3</v>
      </c>
      <c r="L202" s="255">
        <v>20.8</v>
      </c>
      <c r="M202" s="255">
        <v>73.8</v>
      </c>
      <c r="N202" s="255">
        <v>11.3</v>
      </c>
      <c r="O202" s="255">
        <v>23.5</v>
      </c>
      <c r="P202" s="255">
        <v>34.799999999999997</v>
      </c>
      <c r="Q202" s="255">
        <v>14</v>
      </c>
      <c r="R202" s="255">
        <v>7.1</v>
      </c>
      <c r="S202" s="255">
        <v>2.8</v>
      </c>
      <c r="T202" s="255">
        <v>10.4</v>
      </c>
      <c r="U202" s="255">
        <v>20</v>
      </c>
    </row>
    <row r="203" spans="1:21" ht="15.75" customHeight="1" thickBot="1" x14ac:dyDescent="0.3">
      <c r="A203" s="257">
        <v>202</v>
      </c>
      <c r="B203" s="259" t="s">
        <v>257</v>
      </c>
      <c r="C203" s="255">
        <v>30</v>
      </c>
      <c r="D203" s="255">
        <v>74.400000000000006</v>
      </c>
      <c r="E203" s="255">
        <v>25.6</v>
      </c>
      <c r="F203" s="255">
        <v>59.7</v>
      </c>
      <c r="G203" s="255">
        <v>42.9</v>
      </c>
      <c r="H203" s="255">
        <v>7.6</v>
      </c>
      <c r="I203" s="255">
        <v>22.5</v>
      </c>
      <c r="J203" s="255">
        <v>33.799999999999997</v>
      </c>
      <c r="K203" s="255">
        <v>15.5</v>
      </c>
      <c r="L203" s="255">
        <v>21.4</v>
      </c>
      <c r="M203" s="255">
        <v>72.7</v>
      </c>
      <c r="N203" s="255">
        <v>10.3</v>
      </c>
      <c r="O203" s="255">
        <v>24.5</v>
      </c>
      <c r="P203" s="255">
        <v>34.799999999999997</v>
      </c>
      <c r="Q203" s="255">
        <v>11.9</v>
      </c>
      <c r="R203" s="255">
        <v>7.2</v>
      </c>
      <c r="S203" s="255">
        <v>2.6</v>
      </c>
      <c r="T203" s="255">
        <v>11.7</v>
      </c>
      <c r="U203" s="255">
        <v>17.100000000000001</v>
      </c>
    </row>
    <row r="204" spans="1:21" ht="15.75" customHeight="1" thickBot="1" x14ac:dyDescent="0.3">
      <c r="A204" s="257">
        <v>203</v>
      </c>
      <c r="B204" s="259" t="s">
        <v>296</v>
      </c>
      <c r="C204" s="255">
        <v>32</v>
      </c>
      <c r="D204" s="255">
        <v>74.400000000000006</v>
      </c>
      <c r="E204" s="255">
        <v>26.8</v>
      </c>
      <c r="F204" s="255">
        <v>58</v>
      </c>
      <c r="G204" s="255">
        <v>46.1</v>
      </c>
      <c r="H204" s="255">
        <v>8</v>
      </c>
      <c r="I204" s="255">
        <v>22.4</v>
      </c>
      <c r="J204" s="255">
        <v>35.6</v>
      </c>
      <c r="K204" s="255">
        <v>12.9</v>
      </c>
      <c r="L204" s="255">
        <v>17.5</v>
      </c>
      <c r="M204" s="255">
        <v>73.7</v>
      </c>
      <c r="N204" s="255">
        <v>9.5</v>
      </c>
      <c r="O204" s="255">
        <v>26.3</v>
      </c>
      <c r="P204" s="255">
        <v>35.799999999999997</v>
      </c>
      <c r="Q204" s="255">
        <v>15.8</v>
      </c>
      <c r="R204" s="255">
        <v>5.4</v>
      </c>
      <c r="S204" s="255">
        <v>3.6</v>
      </c>
      <c r="T204" s="255">
        <v>10.7</v>
      </c>
      <c r="U204" s="255">
        <v>17.3</v>
      </c>
    </row>
    <row r="205" spans="1:21" ht="15.75" customHeight="1" thickBot="1" x14ac:dyDescent="0.3">
      <c r="A205" s="257">
        <v>204</v>
      </c>
      <c r="B205" s="259" t="s">
        <v>217</v>
      </c>
      <c r="C205" s="255">
        <v>31</v>
      </c>
      <c r="D205" s="255">
        <v>74.400000000000006</v>
      </c>
      <c r="E205" s="255">
        <v>26</v>
      </c>
      <c r="F205" s="255">
        <v>58</v>
      </c>
      <c r="G205" s="255">
        <v>44.8</v>
      </c>
      <c r="H205" s="255">
        <v>10.5</v>
      </c>
      <c r="I205" s="255">
        <v>30.5</v>
      </c>
      <c r="J205" s="255">
        <v>34.5</v>
      </c>
      <c r="K205" s="255">
        <v>11.9</v>
      </c>
      <c r="L205" s="255">
        <v>16.399999999999999</v>
      </c>
      <c r="M205" s="255">
        <v>72.599999999999994</v>
      </c>
      <c r="N205" s="255">
        <v>8.6</v>
      </c>
      <c r="O205" s="255">
        <v>25.7</v>
      </c>
      <c r="P205" s="255">
        <v>34.4</v>
      </c>
      <c r="Q205" s="255">
        <v>16.100000000000001</v>
      </c>
      <c r="R205" s="255">
        <v>6.5</v>
      </c>
      <c r="S205" s="255">
        <v>3.3</v>
      </c>
      <c r="T205" s="255">
        <v>13.8</v>
      </c>
      <c r="U205" s="255">
        <v>16.7</v>
      </c>
    </row>
    <row r="206" spans="1:21" ht="15.75" customHeight="1" thickBot="1" x14ac:dyDescent="0.3">
      <c r="A206" s="257">
        <v>205</v>
      </c>
      <c r="B206" s="259" t="s">
        <v>426</v>
      </c>
      <c r="C206" s="255">
        <v>31</v>
      </c>
      <c r="D206" s="255">
        <v>74.5</v>
      </c>
      <c r="E206" s="255">
        <v>26.7</v>
      </c>
      <c r="F206" s="255">
        <v>60.7</v>
      </c>
      <c r="G206" s="255">
        <v>43.9</v>
      </c>
      <c r="H206" s="255">
        <v>7.7</v>
      </c>
      <c r="I206" s="255">
        <v>22.2</v>
      </c>
      <c r="J206" s="255">
        <v>34.5</v>
      </c>
      <c r="K206" s="255">
        <v>13.4</v>
      </c>
      <c r="L206" s="255">
        <v>18.2</v>
      </c>
      <c r="M206" s="255">
        <v>73.8</v>
      </c>
      <c r="N206" s="255">
        <v>10.8</v>
      </c>
      <c r="O206" s="255">
        <v>23.1</v>
      </c>
      <c r="P206" s="255">
        <v>33.9</v>
      </c>
      <c r="Q206" s="255">
        <v>13.8</v>
      </c>
      <c r="R206" s="255">
        <v>7.7</v>
      </c>
      <c r="S206" s="255">
        <v>3.6</v>
      </c>
      <c r="T206" s="255">
        <v>11</v>
      </c>
      <c r="U206" s="255">
        <v>16.8</v>
      </c>
    </row>
    <row r="207" spans="1:21" ht="15.75" customHeight="1" thickBot="1" x14ac:dyDescent="0.3">
      <c r="A207" s="257">
        <v>206</v>
      </c>
      <c r="B207" s="259" t="s">
        <v>284</v>
      </c>
      <c r="C207" s="255">
        <v>32</v>
      </c>
      <c r="D207" s="255">
        <v>74.5</v>
      </c>
      <c r="E207" s="255">
        <v>27.8</v>
      </c>
      <c r="F207" s="255">
        <v>62.2</v>
      </c>
      <c r="G207" s="255">
        <v>44.7</v>
      </c>
      <c r="H207" s="255">
        <v>6.8</v>
      </c>
      <c r="I207" s="255">
        <v>21.6</v>
      </c>
      <c r="J207" s="255">
        <v>31.5</v>
      </c>
      <c r="K207" s="255">
        <v>12.1</v>
      </c>
      <c r="L207" s="255">
        <v>17.5</v>
      </c>
      <c r="M207" s="255">
        <v>69</v>
      </c>
      <c r="N207" s="255">
        <v>11.2</v>
      </c>
      <c r="O207" s="255">
        <v>24.7</v>
      </c>
      <c r="P207" s="255">
        <v>35.9</v>
      </c>
      <c r="Q207" s="255">
        <v>12.1</v>
      </c>
      <c r="R207" s="255">
        <v>8.1</v>
      </c>
      <c r="S207" s="255">
        <v>4.0999999999999996</v>
      </c>
      <c r="T207" s="255">
        <v>10.7</v>
      </c>
      <c r="U207" s="255">
        <v>15.4</v>
      </c>
    </row>
    <row r="208" spans="1:21" ht="15.75" customHeight="1" thickBot="1" x14ac:dyDescent="0.3">
      <c r="A208" s="257">
        <v>207</v>
      </c>
      <c r="B208" s="259" t="s">
        <v>247</v>
      </c>
      <c r="C208" s="255">
        <v>32</v>
      </c>
      <c r="D208" s="255">
        <v>74.5</v>
      </c>
      <c r="E208" s="255">
        <v>26.2</v>
      </c>
      <c r="F208" s="255">
        <v>58.6</v>
      </c>
      <c r="G208" s="255">
        <v>44.8</v>
      </c>
      <c r="H208" s="255">
        <v>8</v>
      </c>
      <c r="I208" s="255">
        <v>21.9</v>
      </c>
      <c r="J208" s="255">
        <v>36.299999999999997</v>
      </c>
      <c r="K208" s="255">
        <v>14.1</v>
      </c>
      <c r="L208" s="255">
        <v>20.3</v>
      </c>
      <c r="M208" s="255">
        <v>69.599999999999994</v>
      </c>
      <c r="N208" s="255">
        <v>11.2</v>
      </c>
      <c r="O208" s="255">
        <v>25.8</v>
      </c>
      <c r="P208" s="255">
        <v>37</v>
      </c>
      <c r="Q208" s="255">
        <v>14.5</v>
      </c>
      <c r="R208" s="255">
        <v>7.2</v>
      </c>
      <c r="S208" s="255">
        <v>3.3</v>
      </c>
      <c r="T208" s="255">
        <v>12.4</v>
      </c>
      <c r="U208" s="255">
        <v>15</v>
      </c>
    </row>
    <row r="209" spans="1:21" ht="15.75" customHeight="1" thickBot="1" x14ac:dyDescent="0.3">
      <c r="A209" s="257">
        <v>208</v>
      </c>
      <c r="B209" s="259" t="s">
        <v>299</v>
      </c>
      <c r="C209" s="255">
        <v>32</v>
      </c>
      <c r="D209" s="255">
        <v>74.599999999999994</v>
      </c>
      <c r="E209" s="255">
        <v>26.9</v>
      </c>
      <c r="F209" s="255">
        <v>60.1</v>
      </c>
      <c r="G209" s="255">
        <v>44.8</v>
      </c>
      <c r="H209" s="255">
        <v>6.5</v>
      </c>
      <c r="I209" s="255">
        <v>19.3</v>
      </c>
      <c r="J209" s="255">
        <v>33.700000000000003</v>
      </c>
      <c r="K209" s="255">
        <v>14.2</v>
      </c>
      <c r="L209" s="255">
        <v>18.899999999999999</v>
      </c>
      <c r="M209" s="255">
        <v>74.900000000000006</v>
      </c>
      <c r="N209" s="255">
        <v>11.1</v>
      </c>
      <c r="O209" s="255">
        <v>25.1</v>
      </c>
      <c r="P209" s="255">
        <v>36.1</v>
      </c>
      <c r="Q209" s="255">
        <v>12.3</v>
      </c>
      <c r="R209" s="255">
        <v>8.3000000000000007</v>
      </c>
      <c r="S209" s="255">
        <v>2.8</v>
      </c>
      <c r="T209" s="255">
        <v>11.5</v>
      </c>
      <c r="U209" s="255">
        <v>17</v>
      </c>
    </row>
    <row r="210" spans="1:21" ht="15.75" customHeight="1" thickBot="1" x14ac:dyDescent="0.3">
      <c r="A210" s="257">
        <v>208</v>
      </c>
      <c r="B210" s="259" t="s">
        <v>228</v>
      </c>
      <c r="C210" s="255">
        <v>32</v>
      </c>
      <c r="D210" s="255">
        <v>74.599999999999994</v>
      </c>
      <c r="E210" s="255">
        <v>26.2</v>
      </c>
      <c r="F210" s="255">
        <v>59.6</v>
      </c>
      <c r="G210" s="255">
        <v>43.9</v>
      </c>
      <c r="H210" s="255">
        <v>8.3000000000000007</v>
      </c>
      <c r="I210" s="255">
        <v>24.6</v>
      </c>
      <c r="J210" s="255">
        <v>34</v>
      </c>
      <c r="K210" s="255">
        <v>13.9</v>
      </c>
      <c r="L210" s="255">
        <v>19.3</v>
      </c>
      <c r="M210" s="255">
        <v>71.900000000000006</v>
      </c>
      <c r="N210" s="255">
        <v>10.5</v>
      </c>
      <c r="O210" s="255">
        <v>23.7</v>
      </c>
      <c r="P210" s="255">
        <v>34.200000000000003</v>
      </c>
      <c r="Q210" s="255">
        <v>14.1</v>
      </c>
      <c r="R210" s="255">
        <v>5.8</v>
      </c>
      <c r="S210" s="255">
        <v>2.2999999999999998</v>
      </c>
      <c r="T210" s="255">
        <v>10.5</v>
      </c>
      <c r="U210" s="255">
        <v>16.3</v>
      </c>
    </row>
    <row r="211" spans="1:21" ht="15.75" customHeight="1" thickBot="1" x14ac:dyDescent="0.3">
      <c r="A211" s="257">
        <v>210</v>
      </c>
      <c r="B211" s="259" t="s">
        <v>331</v>
      </c>
      <c r="C211" s="255">
        <v>31</v>
      </c>
      <c r="D211" s="255">
        <v>74.599999999999994</v>
      </c>
      <c r="E211" s="255">
        <v>26.1</v>
      </c>
      <c r="F211" s="255">
        <v>59.7</v>
      </c>
      <c r="G211" s="255">
        <v>43.7</v>
      </c>
      <c r="H211" s="255">
        <v>8</v>
      </c>
      <c r="I211" s="255">
        <v>23.4</v>
      </c>
      <c r="J211" s="255">
        <v>34</v>
      </c>
      <c r="K211" s="255">
        <v>14.4</v>
      </c>
      <c r="L211" s="255">
        <v>20.5</v>
      </c>
      <c r="M211" s="255">
        <v>70.400000000000006</v>
      </c>
      <c r="N211" s="255">
        <v>12.3</v>
      </c>
      <c r="O211" s="255">
        <v>21</v>
      </c>
      <c r="P211" s="255">
        <v>33.299999999999997</v>
      </c>
      <c r="Q211" s="255">
        <v>14.7</v>
      </c>
      <c r="R211" s="255">
        <v>6.9</v>
      </c>
      <c r="S211" s="255">
        <v>3.4</v>
      </c>
      <c r="T211" s="255">
        <v>11</v>
      </c>
      <c r="U211" s="255">
        <v>18.3</v>
      </c>
    </row>
    <row r="212" spans="1:21" ht="15.75" customHeight="1" thickBot="1" x14ac:dyDescent="0.3">
      <c r="A212" s="257">
        <v>211</v>
      </c>
      <c r="B212" s="259" t="s">
        <v>384</v>
      </c>
      <c r="C212" s="255">
        <v>30</v>
      </c>
      <c r="D212" s="255">
        <v>74.7</v>
      </c>
      <c r="E212" s="255">
        <v>25.6</v>
      </c>
      <c r="F212" s="255">
        <v>57.9</v>
      </c>
      <c r="G212" s="255">
        <v>44.1</v>
      </c>
      <c r="H212" s="255">
        <v>7</v>
      </c>
      <c r="I212" s="255">
        <v>21</v>
      </c>
      <c r="J212" s="255">
        <v>33.5</v>
      </c>
      <c r="K212" s="255">
        <v>16.5</v>
      </c>
      <c r="L212" s="255">
        <v>22.5</v>
      </c>
      <c r="M212" s="255">
        <v>73.2</v>
      </c>
      <c r="N212" s="255">
        <v>11.8</v>
      </c>
      <c r="O212" s="255">
        <v>24.5</v>
      </c>
      <c r="P212" s="255">
        <v>36.299999999999997</v>
      </c>
      <c r="Q212" s="255">
        <v>12</v>
      </c>
      <c r="R212" s="255">
        <v>7.7</v>
      </c>
      <c r="S212" s="255">
        <v>3.5</v>
      </c>
      <c r="T212" s="255">
        <v>11.4</v>
      </c>
      <c r="U212" s="255">
        <v>17.600000000000001</v>
      </c>
    </row>
    <row r="213" spans="1:21" ht="15.75" customHeight="1" thickBot="1" x14ac:dyDescent="0.3">
      <c r="A213" s="257">
        <v>212</v>
      </c>
      <c r="B213" s="259" t="s">
        <v>269</v>
      </c>
      <c r="C213" s="255">
        <v>32</v>
      </c>
      <c r="D213" s="255">
        <v>74.7</v>
      </c>
      <c r="E213" s="255">
        <v>26.1</v>
      </c>
      <c r="F213" s="255">
        <v>59.7</v>
      </c>
      <c r="G213" s="255">
        <v>43.7</v>
      </c>
      <c r="H213" s="255">
        <v>7.8</v>
      </c>
      <c r="I213" s="255">
        <v>23.2</v>
      </c>
      <c r="J213" s="255">
        <v>33.700000000000003</v>
      </c>
      <c r="K213" s="255">
        <v>14.7</v>
      </c>
      <c r="L213" s="255">
        <v>21.1</v>
      </c>
      <c r="M213" s="255">
        <v>69.900000000000006</v>
      </c>
      <c r="N213" s="255">
        <v>11.8</v>
      </c>
      <c r="O213" s="255">
        <v>27</v>
      </c>
      <c r="P213" s="255">
        <v>38.700000000000003</v>
      </c>
      <c r="Q213" s="255">
        <v>13.6</v>
      </c>
      <c r="R213" s="255">
        <v>6</v>
      </c>
      <c r="S213" s="255">
        <v>2.8</v>
      </c>
      <c r="T213" s="255">
        <v>11.6</v>
      </c>
      <c r="U213" s="255">
        <v>18.399999999999999</v>
      </c>
    </row>
    <row r="214" spans="1:21" ht="15.75" customHeight="1" thickBot="1" x14ac:dyDescent="0.3">
      <c r="A214" s="257">
        <v>213</v>
      </c>
      <c r="B214" s="259" t="s">
        <v>243</v>
      </c>
      <c r="C214" s="255">
        <v>32</v>
      </c>
      <c r="D214" s="255">
        <v>74.8</v>
      </c>
      <c r="E214" s="255">
        <v>26.3</v>
      </c>
      <c r="F214" s="255">
        <v>59.9</v>
      </c>
      <c r="G214" s="255">
        <v>43.9</v>
      </c>
      <c r="H214" s="255">
        <v>9.6</v>
      </c>
      <c r="I214" s="255">
        <v>26.3</v>
      </c>
      <c r="J214" s="255">
        <v>36.299999999999997</v>
      </c>
      <c r="K214" s="255">
        <v>12.6</v>
      </c>
      <c r="L214" s="255">
        <v>18.5</v>
      </c>
      <c r="M214" s="255">
        <v>68</v>
      </c>
      <c r="N214" s="255">
        <v>10.5</v>
      </c>
      <c r="O214" s="255">
        <v>26</v>
      </c>
      <c r="P214" s="255">
        <v>36.5</v>
      </c>
      <c r="Q214" s="255">
        <v>14.3</v>
      </c>
      <c r="R214" s="255">
        <v>6.2</v>
      </c>
      <c r="S214" s="255">
        <v>2.7</v>
      </c>
      <c r="T214" s="255">
        <v>10.4</v>
      </c>
      <c r="U214" s="255">
        <v>17.100000000000001</v>
      </c>
    </row>
    <row r="215" spans="1:21" ht="15.75" customHeight="1" thickBot="1" x14ac:dyDescent="0.3">
      <c r="A215" s="257">
        <v>214</v>
      </c>
      <c r="B215" s="259" t="s">
        <v>437</v>
      </c>
      <c r="C215" s="255">
        <v>30</v>
      </c>
      <c r="D215" s="255">
        <v>74.8</v>
      </c>
      <c r="E215" s="255">
        <v>25.7</v>
      </c>
      <c r="F215" s="255">
        <v>57</v>
      </c>
      <c r="G215" s="255">
        <v>45.1</v>
      </c>
      <c r="H215" s="255">
        <v>7.6</v>
      </c>
      <c r="I215" s="255">
        <v>22.2</v>
      </c>
      <c r="J215" s="255">
        <v>34.299999999999997</v>
      </c>
      <c r="K215" s="255">
        <v>15.9</v>
      </c>
      <c r="L215" s="255">
        <v>21.9</v>
      </c>
      <c r="M215" s="255">
        <v>72.599999999999994</v>
      </c>
      <c r="N215" s="255">
        <v>10.1</v>
      </c>
      <c r="O215" s="255">
        <v>24.5</v>
      </c>
      <c r="P215" s="255">
        <v>34.6</v>
      </c>
      <c r="Q215" s="255">
        <v>13.9</v>
      </c>
      <c r="R215" s="255">
        <v>6.4</v>
      </c>
      <c r="S215" s="255">
        <v>3.3</v>
      </c>
      <c r="T215" s="255">
        <v>14.8</v>
      </c>
      <c r="U215" s="255">
        <v>20.399999999999999</v>
      </c>
    </row>
    <row r="216" spans="1:21" ht="15.75" customHeight="1" thickBot="1" x14ac:dyDescent="0.3">
      <c r="A216" s="257">
        <v>215</v>
      </c>
      <c r="B216" s="259" t="s">
        <v>22</v>
      </c>
      <c r="C216" s="255">
        <v>30</v>
      </c>
      <c r="D216" s="255">
        <v>74.8</v>
      </c>
      <c r="E216" s="255">
        <v>25.1</v>
      </c>
      <c r="F216" s="255">
        <v>58.2</v>
      </c>
      <c r="G216" s="255">
        <v>43.2</v>
      </c>
      <c r="H216" s="255">
        <v>9.3000000000000007</v>
      </c>
      <c r="I216" s="255">
        <v>25.6</v>
      </c>
      <c r="J216" s="255">
        <v>36.5</v>
      </c>
      <c r="K216" s="255">
        <v>15.2</v>
      </c>
      <c r="L216" s="255">
        <v>20.3</v>
      </c>
      <c r="M216" s="255">
        <v>74.900000000000006</v>
      </c>
      <c r="N216" s="255">
        <v>11</v>
      </c>
      <c r="O216" s="255">
        <v>21</v>
      </c>
      <c r="P216" s="255">
        <v>32</v>
      </c>
      <c r="Q216" s="255">
        <v>13</v>
      </c>
      <c r="R216" s="255">
        <v>6.4</v>
      </c>
      <c r="S216" s="255">
        <v>3.3</v>
      </c>
      <c r="T216" s="255">
        <v>11.5</v>
      </c>
      <c r="U216" s="255">
        <v>18.5</v>
      </c>
    </row>
    <row r="217" spans="1:21" ht="15.75" customHeight="1" thickBot="1" x14ac:dyDescent="0.3">
      <c r="A217" s="257">
        <v>216</v>
      </c>
      <c r="B217" s="259" t="s">
        <v>223</v>
      </c>
      <c r="C217" s="255">
        <v>31</v>
      </c>
      <c r="D217" s="255">
        <v>74.8</v>
      </c>
      <c r="E217" s="255">
        <v>24.8</v>
      </c>
      <c r="F217" s="255">
        <v>58.6</v>
      </c>
      <c r="G217" s="255">
        <v>42.3</v>
      </c>
      <c r="H217" s="255">
        <v>8.1999999999999993</v>
      </c>
      <c r="I217" s="255">
        <v>25.5</v>
      </c>
      <c r="J217" s="255">
        <v>32.200000000000003</v>
      </c>
      <c r="K217" s="255">
        <v>17.100000000000001</v>
      </c>
      <c r="L217" s="255">
        <v>24.2</v>
      </c>
      <c r="M217" s="255">
        <v>70.599999999999994</v>
      </c>
      <c r="N217" s="255">
        <v>11.1</v>
      </c>
      <c r="O217" s="255">
        <v>24.7</v>
      </c>
      <c r="P217" s="255">
        <v>35.799999999999997</v>
      </c>
      <c r="Q217" s="255">
        <v>12.9</v>
      </c>
      <c r="R217" s="255">
        <v>5.7</v>
      </c>
      <c r="S217" s="255">
        <v>2.2000000000000002</v>
      </c>
      <c r="T217" s="255">
        <v>9.5</v>
      </c>
      <c r="U217" s="255">
        <v>16.100000000000001</v>
      </c>
    </row>
    <row r="218" spans="1:21" ht="15.75" customHeight="1" thickBot="1" x14ac:dyDescent="0.3">
      <c r="A218" s="257">
        <v>217</v>
      </c>
      <c r="B218" s="259" t="s">
        <v>198</v>
      </c>
      <c r="C218" s="255">
        <v>31</v>
      </c>
      <c r="D218" s="255">
        <v>74.900000000000006</v>
      </c>
      <c r="E218" s="255">
        <v>26.7</v>
      </c>
      <c r="F218" s="255">
        <v>57.7</v>
      </c>
      <c r="G218" s="255">
        <v>46.3</v>
      </c>
      <c r="H218" s="255">
        <v>8.1</v>
      </c>
      <c r="I218" s="255">
        <v>22.6</v>
      </c>
      <c r="J218" s="255">
        <v>35.700000000000003</v>
      </c>
      <c r="K218" s="255">
        <v>13.3</v>
      </c>
      <c r="L218" s="255">
        <v>19.2</v>
      </c>
      <c r="M218" s="255">
        <v>69.400000000000006</v>
      </c>
      <c r="N218" s="255">
        <v>9.8000000000000007</v>
      </c>
      <c r="O218" s="255">
        <v>23.9</v>
      </c>
      <c r="P218" s="255">
        <v>33.700000000000003</v>
      </c>
      <c r="Q218" s="255">
        <v>12.9</v>
      </c>
      <c r="R218" s="255">
        <v>7</v>
      </c>
      <c r="S218" s="255">
        <v>3</v>
      </c>
      <c r="T218" s="255">
        <v>9</v>
      </c>
      <c r="U218" s="255">
        <v>17.5</v>
      </c>
    </row>
    <row r="219" spans="1:21" ht="15.75" customHeight="1" thickBot="1" x14ac:dyDescent="0.3">
      <c r="A219" s="257">
        <v>218</v>
      </c>
      <c r="B219" s="259" t="s">
        <v>24</v>
      </c>
      <c r="C219" s="255">
        <v>30</v>
      </c>
      <c r="D219" s="255">
        <v>74.900000000000006</v>
      </c>
      <c r="E219" s="255">
        <v>24.6</v>
      </c>
      <c r="F219" s="255">
        <v>58.1</v>
      </c>
      <c r="G219" s="255">
        <v>42.4</v>
      </c>
      <c r="H219" s="255">
        <v>7.1</v>
      </c>
      <c r="I219" s="255">
        <v>22.4</v>
      </c>
      <c r="J219" s="255">
        <v>31.6</v>
      </c>
      <c r="K219" s="255">
        <v>18.5</v>
      </c>
      <c r="L219" s="255">
        <v>24.4</v>
      </c>
      <c r="M219" s="255">
        <v>76.099999999999994</v>
      </c>
      <c r="N219" s="255">
        <v>10.7</v>
      </c>
      <c r="O219" s="255">
        <v>23.6</v>
      </c>
      <c r="P219" s="255">
        <v>34.299999999999997</v>
      </c>
      <c r="Q219" s="255">
        <v>11.2</v>
      </c>
      <c r="R219" s="255">
        <v>5.2</v>
      </c>
      <c r="S219" s="255">
        <v>2.2999999999999998</v>
      </c>
      <c r="T219" s="255">
        <v>13</v>
      </c>
      <c r="U219" s="255">
        <v>19.2</v>
      </c>
    </row>
    <row r="220" spans="1:21" ht="15.75" customHeight="1" thickBot="1" x14ac:dyDescent="0.3">
      <c r="A220" s="257">
        <v>219</v>
      </c>
      <c r="B220" s="259" t="s">
        <v>469</v>
      </c>
      <c r="C220" s="255">
        <v>30</v>
      </c>
      <c r="D220" s="255">
        <v>74.900000000000006</v>
      </c>
      <c r="E220" s="255">
        <v>24.3</v>
      </c>
      <c r="F220" s="255">
        <v>57</v>
      </c>
      <c r="G220" s="255">
        <v>42.7</v>
      </c>
      <c r="H220" s="255">
        <v>8.3000000000000007</v>
      </c>
      <c r="I220" s="255">
        <v>24.7</v>
      </c>
      <c r="J220" s="255">
        <v>33.700000000000003</v>
      </c>
      <c r="K220" s="255">
        <v>18</v>
      </c>
      <c r="L220" s="255">
        <v>26</v>
      </c>
      <c r="M220" s="255">
        <v>69.2</v>
      </c>
      <c r="N220" s="255">
        <v>10.6</v>
      </c>
      <c r="O220" s="255">
        <v>26.6</v>
      </c>
      <c r="P220" s="255">
        <v>37.200000000000003</v>
      </c>
      <c r="Q220" s="255">
        <v>14.2</v>
      </c>
      <c r="R220" s="255">
        <v>5.8</v>
      </c>
      <c r="S220" s="255">
        <v>4.4000000000000004</v>
      </c>
      <c r="T220" s="255">
        <v>12.6</v>
      </c>
      <c r="U220" s="255">
        <v>18.8</v>
      </c>
    </row>
    <row r="221" spans="1:21" ht="15.75" customHeight="1" thickBot="1" x14ac:dyDescent="0.3">
      <c r="A221" s="257">
        <v>220</v>
      </c>
      <c r="B221" s="259" t="s">
        <v>397</v>
      </c>
      <c r="C221" s="255">
        <v>31</v>
      </c>
      <c r="D221" s="255">
        <v>74.900000000000006</v>
      </c>
      <c r="E221" s="255">
        <v>26.6</v>
      </c>
      <c r="F221" s="255">
        <v>60.4</v>
      </c>
      <c r="G221" s="255">
        <v>44.1</v>
      </c>
      <c r="H221" s="255">
        <v>7.7</v>
      </c>
      <c r="I221" s="255">
        <v>21.7</v>
      </c>
      <c r="J221" s="255">
        <v>35.4</v>
      </c>
      <c r="K221" s="255">
        <v>14</v>
      </c>
      <c r="L221" s="255">
        <v>18.899999999999999</v>
      </c>
      <c r="M221" s="255">
        <v>73.900000000000006</v>
      </c>
      <c r="N221" s="255">
        <v>9.1</v>
      </c>
      <c r="O221" s="255">
        <v>26.4</v>
      </c>
      <c r="P221" s="255">
        <v>35.5</v>
      </c>
      <c r="Q221" s="255">
        <v>12.4</v>
      </c>
      <c r="R221" s="255">
        <v>5.2</v>
      </c>
      <c r="S221" s="255">
        <v>3.1</v>
      </c>
      <c r="T221" s="255">
        <v>9.3000000000000007</v>
      </c>
      <c r="U221" s="255">
        <v>19.600000000000001</v>
      </c>
    </row>
    <row r="222" spans="1:21" ht="15.75" customHeight="1" thickBot="1" x14ac:dyDescent="0.3">
      <c r="A222" s="257">
        <v>220</v>
      </c>
      <c r="B222" s="259" t="s">
        <v>473</v>
      </c>
      <c r="C222" s="255">
        <v>31</v>
      </c>
      <c r="D222" s="255">
        <v>74.900000000000006</v>
      </c>
      <c r="E222" s="255">
        <v>25.5</v>
      </c>
      <c r="F222" s="255">
        <v>59.4</v>
      </c>
      <c r="G222" s="255">
        <v>42.9</v>
      </c>
      <c r="H222" s="255">
        <v>8.1999999999999993</v>
      </c>
      <c r="I222" s="255">
        <v>25.8</v>
      </c>
      <c r="J222" s="255">
        <v>31.7</v>
      </c>
      <c r="K222" s="255">
        <v>15.8</v>
      </c>
      <c r="L222" s="255">
        <v>21.8</v>
      </c>
      <c r="M222" s="255">
        <v>72.599999999999994</v>
      </c>
      <c r="N222" s="255">
        <v>10</v>
      </c>
      <c r="O222" s="255">
        <v>24.9</v>
      </c>
      <c r="P222" s="255">
        <v>34.9</v>
      </c>
      <c r="Q222" s="255">
        <v>11.4</v>
      </c>
      <c r="R222" s="255">
        <v>5.7</v>
      </c>
      <c r="S222" s="255">
        <v>3.6</v>
      </c>
      <c r="T222" s="255">
        <v>12.7</v>
      </c>
      <c r="U222" s="255">
        <v>22.3</v>
      </c>
    </row>
    <row r="223" spans="1:21" ht="15.75" customHeight="1" thickBot="1" x14ac:dyDescent="0.3">
      <c r="A223" s="257">
        <v>222</v>
      </c>
      <c r="B223" s="259" t="s">
        <v>78</v>
      </c>
      <c r="C223" s="255">
        <v>30</v>
      </c>
      <c r="D223" s="255">
        <v>75</v>
      </c>
      <c r="E223" s="255">
        <v>26.6</v>
      </c>
      <c r="F223" s="255">
        <v>60.1</v>
      </c>
      <c r="G223" s="255">
        <v>44.3</v>
      </c>
      <c r="H223" s="255">
        <v>8</v>
      </c>
      <c r="I223" s="255">
        <v>24.2</v>
      </c>
      <c r="J223" s="255">
        <v>33.200000000000003</v>
      </c>
      <c r="K223" s="255">
        <v>13.7</v>
      </c>
      <c r="L223" s="255">
        <v>18.8</v>
      </c>
      <c r="M223" s="255">
        <v>72.900000000000006</v>
      </c>
      <c r="N223" s="255">
        <v>9.3000000000000007</v>
      </c>
      <c r="O223" s="255">
        <v>24.9</v>
      </c>
      <c r="P223" s="255">
        <v>34.200000000000003</v>
      </c>
      <c r="Q223" s="255">
        <v>13.2</v>
      </c>
      <c r="R223" s="255">
        <v>4.7</v>
      </c>
      <c r="S223" s="255">
        <v>3.5</v>
      </c>
      <c r="T223" s="255">
        <v>10.3</v>
      </c>
      <c r="U223" s="255">
        <v>17.600000000000001</v>
      </c>
    </row>
    <row r="224" spans="1:21" ht="15.75" customHeight="1" thickBot="1" x14ac:dyDescent="0.3">
      <c r="A224" s="257">
        <v>223</v>
      </c>
      <c r="B224" s="259" t="s">
        <v>234</v>
      </c>
      <c r="C224" s="255">
        <v>31</v>
      </c>
      <c r="D224" s="255">
        <v>75.099999999999994</v>
      </c>
      <c r="E224" s="255">
        <v>28.7</v>
      </c>
      <c r="F224" s="255">
        <v>62.9</v>
      </c>
      <c r="G224" s="255">
        <v>45.6</v>
      </c>
      <c r="H224" s="255">
        <v>7.2</v>
      </c>
      <c r="I224" s="255">
        <v>20.399999999999999</v>
      </c>
      <c r="J224" s="255">
        <v>35.299999999999997</v>
      </c>
      <c r="K224" s="255">
        <v>10.6</v>
      </c>
      <c r="L224" s="255">
        <v>15.1</v>
      </c>
      <c r="M224" s="255">
        <v>70.2</v>
      </c>
      <c r="N224" s="255">
        <v>10.9</v>
      </c>
      <c r="O224" s="255">
        <v>24.7</v>
      </c>
      <c r="P224" s="255">
        <v>35.6</v>
      </c>
      <c r="Q224" s="255">
        <v>14.5</v>
      </c>
      <c r="R224" s="255">
        <v>7</v>
      </c>
      <c r="S224" s="255">
        <v>3.2</v>
      </c>
      <c r="T224" s="255">
        <v>9.6999999999999993</v>
      </c>
      <c r="U224" s="255">
        <v>16.100000000000001</v>
      </c>
    </row>
    <row r="225" spans="1:21" ht="15.75" customHeight="1" thickBot="1" x14ac:dyDescent="0.3">
      <c r="A225" s="257">
        <v>224</v>
      </c>
      <c r="B225" s="259" t="s">
        <v>433</v>
      </c>
      <c r="C225" s="255">
        <v>30</v>
      </c>
      <c r="D225" s="255">
        <v>75.099999999999994</v>
      </c>
      <c r="E225" s="255">
        <v>25.9</v>
      </c>
      <c r="F225" s="255">
        <v>58.9</v>
      </c>
      <c r="G225" s="255">
        <v>44</v>
      </c>
      <c r="H225" s="255">
        <v>8.1</v>
      </c>
      <c r="I225" s="255">
        <v>23.4</v>
      </c>
      <c r="J225" s="255">
        <v>34.4</v>
      </c>
      <c r="K225" s="255">
        <v>15.3</v>
      </c>
      <c r="L225" s="255">
        <v>21.6</v>
      </c>
      <c r="M225" s="255">
        <v>70.599999999999994</v>
      </c>
      <c r="N225" s="255">
        <v>12.4</v>
      </c>
      <c r="O225" s="255">
        <v>26.4</v>
      </c>
      <c r="P225" s="255">
        <v>38.799999999999997</v>
      </c>
      <c r="Q225" s="255">
        <v>14.5</v>
      </c>
      <c r="R225" s="255">
        <v>6.3</v>
      </c>
      <c r="S225" s="255">
        <v>3</v>
      </c>
      <c r="T225" s="255">
        <v>11.9</v>
      </c>
      <c r="U225" s="255">
        <v>18.5</v>
      </c>
    </row>
    <row r="226" spans="1:21" ht="15.75" customHeight="1" thickBot="1" x14ac:dyDescent="0.3">
      <c r="A226" s="257">
        <v>225</v>
      </c>
      <c r="B226" s="259" t="s">
        <v>256</v>
      </c>
      <c r="C226" s="255">
        <v>29</v>
      </c>
      <c r="D226" s="255">
        <v>75.099999999999994</v>
      </c>
      <c r="E226" s="255">
        <v>25.3</v>
      </c>
      <c r="F226" s="255">
        <v>56.1</v>
      </c>
      <c r="G226" s="255">
        <v>45.1</v>
      </c>
      <c r="H226" s="255">
        <v>6.8</v>
      </c>
      <c r="I226" s="255">
        <v>19.3</v>
      </c>
      <c r="J226" s="255">
        <v>35.299999999999997</v>
      </c>
      <c r="K226" s="255">
        <v>17.600000000000001</v>
      </c>
      <c r="L226" s="255">
        <v>23.1</v>
      </c>
      <c r="M226" s="255">
        <v>76.2</v>
      </c>
      <c r="N226" s="255">
        <v>10.1</v>
      </c>
      <c r="O226" s="255">
        <v>24</v>
      </c>
      <c r="P226" s="255">
        <v>34.1</v>
      </c>
      <c r="Q226" s="255">
        <v>12.4</v>
      </c>
      <c r="R226" s="255">
        <v>8.4</v>
      </c>
      <c r="S226" s="255">
        <v>3.1</v>
      </c>
      <c r="T226" s="255">
        <v>13.5</v>
      </c>
      <c r="U226" s="255">
        <v>18.3</v>
      </c>
    </row>
    <row r="227" spans="1:21" ht="15.75" customHeight="1" thickBot="1" x14ac:dyDescent="0.3">
      <c r="A227" s="257">
        <v>226</v>
      </c>
      <c r="B227" s="259" t="s">
        <v>358</v>
      </c>
      <c r="C227" s="255">
        <v>30</v>
      </c>
      <c r="D227" s="255">
        <v>75.3</v>
      </c>
      <c r="E227" s="255">
        <v>25.5</v>
      </c>
      <c r="F227" s="255">
        <v>57.7</v>
      </c>
      <c r="G227" s="255">
        <v>44.2</v>
      </c>
      <c r="H227" s="255">
        <v>9.1999999999999993</v>
      </c>
      <c r="I227" s="255">
        <v>27.3</v>
      </c>
      <c r="J227" s="255">
        <v>33.6</v>
      </c>
      <c r="K227" s="255">
        <v>15.2</v>
      </c>
      <c r="L227" s="255">
        <v>20.2</v>
      </c>
      <c r="M227" s="255">
        <v>75.2</v>
      </c>
      <c r="N227" s="255">
        <v>9.3000000000000007</v>
      </c>
      <c r="O227" s="255">
        <v>23.9</v>
      </c>
      <c r="P227" s="255">
        <v>33.200000000000003</v>
      </c>
      <c r="Q227" s="255">
        <v>14.1</v>
      </c>
      <c r="R227" s="255">
        <v>6.1</v>
      </c>
      <c r="S227" s="255">
        <v>2.9</v>
      </c>
      <c r="T227" s="255">
        <v>9.5</v>
      </c>
      <c r="U227" s="255">
        <v>18</v>
      </c>
    </row>
    <row r="228" spans="1:21" ht="15.75" customHeight="1" thickBot="1" x14ac:dyDescent="0.3">
      <c r="A228" s="257">
        <v>227</v>
      </c>
      <c r="B228" s="259" t="s">
        <v>417</v>
      </c>
      <c r="C228" s="255">
        <v>30</v>
      </c>
      <c r="D228" s="255">
        <v>75.3</v>
      </c>
      <c r="E228" s="255">
        <v>26.2</v>
      </c>
      <c r="F228" s="255">
        <v>56.8</v>
      </c>
      <c r="G228" s="255">
        <v>46.2</v>
      </c>
      <c r="H228" s="255">
        <v>8.5</v>
      </c>
      <c r="I228" s="255">
        <v>23.3</v>
      </c>
      <c r="J228" s="255">
        <v>36.5</v>
      </c>
      <c r="K228" s="255">
        <v>14.3</v>
      </c>
      <c r="L228" s="255">
        <v>18.899999999999999</v>
      </c>
      <c r="M228" s="255">
        <v>75.8</v>
      </c>
      <c r="N228" s="255">
        <v>9.6</v>
      </c>
      <c r="O228" s="255">
        <v>22.1</v>
      </c>
      <c r="P228" s="255">
        <v>31.8</v>
      </c>
      <c r="Q228" s="255">
        <v>15</v>
      </c>
      <c r="R228" s="255">
        <v>6.3</v>
      </c>
      <c r="S228" s="255">
        <v>3.3</v>
      </c>
      <c r="T228" s="255">
        <v>12</v>
      </c>
      <c r="U228" s="255">
        <v>15.6</v>
      </c>
    </row>
    <row r="229" spans="1:21" ht="15.75" customHeight="1" thickBot="1" x14ac:dyDescent="0.3">
      <c r="A229" s="257">
        <v>228</v>
      </c>
      <c r="B229" s="259" t="s">
        <v>235</v>
      </c>
      <c r="C229" s="255">
        <v>26</v>
      </c>
      <c r="D229" s="255">
        <v>75.400000000000006</v>
      </c>
      <c r="E229" s="255">
        <v>27.3</v>
      </c>
      <c r="F229" s="255">
        <v>62</v>
      </c>
      <c r="G229" s="255">
        <v>44</v>
      </c>
      <c r="H229" s="255">
        <v>7.9</v>
      </c>
      <c r="I229" s="255">
        <v>24.2</v>
      </c>
      <c r="J229" s="255">
        <v>32.799999999999997</v>
      </c>
      <c r="K229" s="255">
        <v>12.9</v>
      </c>
      <c r="L229" s="255">
        <v>18.100000000000001</v>
      </c>
      <c r="M229" s="255">
        <v>71.5</v>
      </c>
      <c r="N229" s="255">
        <v>10.6</v>
      </c>
      <c r="O229" s="255">
        <v>25.3</v>
      </c>
      <c r="P229" s="255">
        <v>35.9</v>
      </c>
      <c r="Q229" s="255">
        <v>13.9</v>
      </c>
      <c r="R229" s="255">
        <v>7.5</v>
      </c>
      <c r="S229" s="255">
        <v>2.9</v>
      </c>
      <c r="T229" s="255">
        <v>9.6999999999999993</v>
      </c>
      <c r="U229" s="255">
        <v>17.7</v>
      </c>
    </row>
    <row r="230" spans="1:21" ht="15.75" customHeight="1" thickBot="1" x14ac:dyDescent="0.3">
      <c r="A230" s="257">
        <v>229</v>
      </c>
      <c r="B230" s="259" t="s">
        <v>342</v>
      </c>
      <c r="C230" s="255">
        <v>31</v>
      </c>
      <c r="D230" s="255">
        <v>75.400000000000006</v>
      </c>
      <c r="E230" s="255">
        <v>26.1</v>
      </c>
      <c r="F230" s="255">
        <v>55</v>
      </c>
      <c r="G230" s="255">
        <v>47.5</v>
      </c>
      <c r="H230" s="255">
        <v>7.1</v>
      </c>
      <c r="I230" s="255">
        <v>20.9</v>
      </c>
      <c r="J230" s="255">
        <v>34.1</v>
      </c>
      <c r="K230" s="255">
        <v>16</v>
      </c>
      <c r="L230" s="255">
        <v>20.6</v>
      </c>
      <c r="M230" s="255">
        <v>77.8</v>
      </c>
      <c r="N230" s="255">
        <v>10.3</v>
      </c>
      <c r="O230" s="255">
        <v>25.8</v>
      </c>
      <c r="P230" s="255">
        <v>36.1</v>
      </c>
      <c r="Q230" s="255">
        <v>14.5</v>
      </c>
      <c r="R230" s="255">
        <v>6.2</v>
      </c>
      <c r="S230" s="255">
        <v>3.2</v>
      </c>
      <c r="T230" s="255">
        <v>14.5</v>
      </c>
      <c r="U230" s="255">
        <v>17</v>
      </c>
    </row>
    <row r="231" spans="1:21" ht="15.75" customHeight="1" thickBot="1" x14ac:dyDescent="0.3">
      <c r="A231" s="257">
        <v>230</v>
      </c>
      <c r="B231" s="259" t="s">
        <v>320</v>
      </c>
      <c r="C231" s="255">
        <v>31</v>
      </c>
      <c r="D231" s="255">
        <v>75.5</v>
      </c>
      <c r="E231" s="255">
        <v>26.8</v>
      </c>
      <c r="F231" s="255">
        <v>61.9</v>
      </c>
      <c r="G231" s="255">
        <v>43.3</v>
      </c>
      <c r="H231" s="255">
        <v>8.8000000000000007</v>
      </c>
      <c r="I231" s="255">
        <v>25.8</v>
      </c>
      <c r="J231" s="255">
        <v>34.200000000000003</v>
      </c>
      <c r="K231" s="255">
        <v>13.1</v>
      </c>
      <c r="L231" s="255">
        <v>17.5</v>
      </c>
      <c r="M231" s="255">
        <v>74.900000000000006</v>
      </c>
      <c r="N231" s="255">
        <v>11.8</v>
      </c>
      <c r="O231" s="255">
        <v>24</v>
      </c>
      <c r="P231" s="255">
        <v>35.799999999999997</v>
      </c>
      <c r="Q231" s="255">
        <v>12.5</v>
      </c>
      <c r="R231" s="255">
        <v>6.2</v>
      </c>
      <c r="S231" s="255">
        <v>3.1</v>
      </c>
      <c r="T231" s="255">
        <v>12.6</v>
      </c>
      <c r="U231" s="255">
        <v>18.899999999999999</v>
      </c>
    </row>
    <row r="232" spans="1:21" ht="15.75" customHeight="1" thickBot="1" x14ac:dyDescent="0.3">
      <c r="A232" s="257">
        <v>231</v>
      </c>
      <c r="B232" s="259" t="s">
        <v>207</v>
      </c>
      <c r="C232" s="255">
        <v>30</v>
      </c>
      <c r="D232" s="255">
        <v>75.5</v>
      </c>
      <c r="E232" s="255">
        <v>27</v>
      </c>
      <c r="F232" s="255">
        <v>57.2</v>
      </c>
      <c r="G232" s="255">
        <v>47.1</v>
      </c>
      <c r="H232" s="255">
        <v>8.3000000000000007</v>
      </c>
      <c r="I232" s="255">
        <v>23.9</v>
      </c>
      <c r="J232" s="255">
        <v>34.5</v>
      </c>
      <c r="K232" s="255">
        <v>13.3</v>
      </c>
      <c r="L232" s="255">
        <v>18.100000000000001</v>
      </c>
      <c r="M232" s="255">
        <v>73.8</v>
      </c>
      <c r="N232" s="255">
        <v>9.9</v>
      </c>
      <c r="O232" s="255">
        <v>23.5</v>
      </c>
      <c r="P232" s="255">
        <v>33.4</v>
      </c>
      <c r="Q232" s="255">
        <v>15.8</v>
      </c>
      <c r="R232" s="255">
        <v>6.5</v>
      </c>
      <c r="S232" s="255">
        <v>2.5</v>
      </c>
      <c r="T232" s="255">
        <v>12.3</v>
      </c>
      <c r="U232" s="255">
        <v>17.7</v>
      </c>
    </row>
    <row r="233" spans="1:21" ht="15.75" customHeight="1" thickBot="1" x14ac:dyDescent="0.3">
      <c r="A233" s="257">
        <v>232</v>
      </c>
      <c r="B233" s="259" t="s">
        <v>301</v>
      </c>
      <c r="C233" s="255">
        <v>31</v>
      </c>
      <c r="D233" s="255">
        <v>75.7</v>
      </c>
      <c r="E233" s="255">
        <v>27.5</v>
      </c>
      <c r="F233" s="255">
        <v>60.9</v>
      </c>
      <c r="G233" s="255">
        <v>45.2</v>
      </c>
      <c r="H233" s="255">
        <v>8.3000000000000007</v>
      </c>
      <c r="I233" s="255">
        <v>24.5</v>
      </c>
      <c r="J233" s="255">
        <v>33.9</v>
      </c>
      <c r="K233" s="255">
        <v>12.3</v>
      </c>
      <c r="L233" s="255">
        <v>17.3</v>
      </c>
      <c r="M233" s="255">
        <v>70.900000000000006</v>
      </c>
      <c r="N233" s="255">
        <v>10.6</v>
      </c>
      <c r="O233" s="255">
        <v>25.3</v>
      </c>
      <c r="P233" s="255">
        <v>35.9</v>
      </c>
      <c r="Q233" s="255">
        <v>12.7</v>
      </c>
      <c r="R233" s="255">
        <v>6.4</v>
      </c>
      <c r="S233" s="255">
        <v>3.2</v>
      </c>
      <c r="T233" s="255">
        <v>13</v>
      </c>
      <c r="U233" s="255">
        <v>15.4</v>
      </c>
    </row>
    <row r="234" spans="1:21" ht="15.75" customHeight="1" thickBot="1" x14ac:dyDescent="0.3">
      <c r="A234" s="257">
        <v>233</v>
      </c>
      <c r="B234" s="259" t="s">
        <v>50</v>
      </c>
      <c r="C234" s="255">
        <v>30</v>
      </c>
      <c r="D234" s="255">
        <v>75.7</v>
      </c>
      <c r="E234" s="255">
        <v>25.8</v>
      </c>
      <c r="F234" s="255">
        <v>58</v>
      </c>
      <c r="G234" s="255">
        <v>44.4</v>
      </c>
      <c r="H234" s="255">
        <v>9.1999999999999993</v>
      </c>
      <c r="I234" s="255">
        <v>26.3</v>
      </c>
      <c r="J234" s="255">
        <v>34.9</v>
      </c>
      <c r="K234" s="255">
        <v>15</v>
      </c>
      <c r="L234" s="255">
        <v>21.7</v>
      </c>
      <c r="M234" s="255">
        <v>69.099999999999994</v>
      </c>
      <c r="N234" s="255">
        <v>10.8</v>
      </c>
      <c r="O234" s="255">
        <v>25.1</v>
      </c>
      <c r="P234" s="255">
        <v>35.9</v>
      </c>
      <c r="Q234" s="255">
        <v>12.8</v>
      </c>
      <c r="R234" s="255">
        <v>5</v>
      </c>
      <c r="S234" s="255">
        <v>3</v>
      </c>
      <c r="T234" s="255">
        <v>13.1</v>
      </c>
      <c r="U234" s="255">
        <v>16.899999999999999</v>
      </c>
    </row>
    <row r="235" spans="1:21" ht="15.75" customHeight="1" thickBot="1" x14ac:dyDescent="0.3">
      <c r="A235" s="257">
        <v>234</v>
      </c>
      <c r="B235" s="259" t="s">
        <v>245</v>
      </c>
      <c r="C235" s="255">
        <v>30</v>
      </c>
      <c r="D235" s="255">
        <v>75.7</v>
      </c>
      <c r="E235" s="255">
        <v>25.6</v>
      </c>
      <c r="F235" s="255">
        <v>57.9</v>
      </c>
      <c r="G235" s="255">
        <v>44.2</v>
      </c>
      <c r="H235" s="255">
        <v>7.8</v>
      </c>
      <c r="I235" s="255">
        <v>23</v>
      </c>
      <c r="J235" s="255">
        <v>34.1</v>
      </c>
      <c r="K235" s="255">
        <v>16.7</v>
      </c>
      <c r="L235" s="255">
        <v>22.7</v>
      </c>
      <c r="M235" s="255">
        <v>73.7</v>
      </c>
      <c r="N235" s="255">
        <v>10.4</v>
      </c>
      <c r="O235" s="255">
        <v>23.9</v>
      </c>
      <c r="P235" s="255">
        <v>34.200000000000003</v>
      </c>
      <c r="Q235" s="255">
        <v>14.1</v>
      </c>
      <c r="R235" s="255">
        <v>7.5</v>
      </c>
      <c r="S235" s="255">
        <v>4.0999999999999996</v>
      </c>
      <c r="T235" s="255">
        <v>13</v>
      </c>
      <c r="U235" s="255">
        <v>17.8</v>
      </c>
    </row>
    <row r="236" spans="1:21" ht="15.75" customHeight="1" thickBot="1" x14ac:dyDescent="0.3">
      <c r="A236" s="257">
        <v>235</v>
      </c>
      <c r="B236" s="259" t="s">
        <v>74</v>
      </c>
      <c r="C236" s="255">
        <v>30</v>
      </c>
      <c r="D236" s="255">
        <v>75.8</v>
      </c>
      <c r="E236" s="255">
        <v>27.4</v>
      </c>
      <c r="F236" s="255">
        <v>62.1</v>
      </c>
      <c r="G236" s="255">
        <v>44.1</v>
      </c>
      <c r="H236" s="255">
        <v>8.3000000000000007</v>
      </c>
      <c r="I236" s="255">
        <v>24.1</v>
      </c>
      <c r="J236" s="255">
        <v>34.4</v>
      </c>
      <c r="K236" s="255">
        <v>12.7</v>
      </c>
      <c r="L236" s="255">
        <v>17.8</v>
      </c>
      <c r="M236" s="255">
        <v>71.400000000000006</v>
      </c>
      <c r="N236" s="255">
        <v>10.7</v>
      </c>
      <c r="O236" s="255">
        <v>23.7</v>
      </c>
      <c r="P236" s="255">
        <v>34.4</v>
      </c>
      <c r="Q236" s="255">
        <v>15.2</v>
      </c>
      <c r="R236" s="255">
        <v>6.2</v>
      </c>
      <c r="S236" s="255">
        <v>2.9</v>
      </c>
      <c r="T236" s="255">
        <v>11.2</v>
      </c>
      <c r="U236" s="255">
        <v>18.600000000000001</v>
      </c>
    </row>
    <row r="237" spans="1:21" ht="15.75" customHeight="1" thickBot="1" x14ac:dyDescent="0.3">
      <c r="A237" s="257">
        <v>236</v>
      </c>
      <c r="B237" s="259" t="s">
        <v>313</v>
      </c>
      <c r="C237" s="255">
        <v>30</v>
      </c>
      <c r="D237" s="255">
        <v>75.8</v>
      </c>
      <c r="E237" s="255">
        <v>26.6</v>
      </c>
      <c r="F237" s="255">
        <v>60.3</v>
      </c>
      <c r="G237" s="255">
        <v>44.1</v>
      </c>
      <c r="H237" s="255">
        <v>8</v>
      </c>
      <c r="I237" s="255">
        <v>23.9</v>
      </c>
      <c r="J237" s="255">
        <v>33.299999999999997</v>
      </c>
      <c r="K237" s="255">
        <v>14.6</v>
      </c>
      <c r="L237" s="255">
        <v>19.5</v>
      </c>
      <c r="M237" s="255">
        <v>75.2</v>
      </c>
      <c r="N237" s="255">
        <v>12.3</v>
      </c>
      <c r="O237" s="255">
        <v>26.2</v>
      </c>
      <c r="P237" s="255">
        <v>38.5</v>
      </c>
      <c r="Q237" s="255">
        <v>15.9</v>
      </c>
      <c r="R237" s="255">
        <v>7</v>
      </c>
      <c r="S237" s="255">
        <v>3.5</v>
      </c>
      <c r="T237" s="255">
        <v>13.7</v>
      </c>
      <c r="U237" s="255">
        <v>17.100000000000001</v>
      </c>
    </row>
    <row r="238" spans="1:21" ht="15.75" customHeight="1" thickBot="1" x14ac:dyDescent="0.3">
      <c r="A238" s="257">
        <v>237</v>
      </c>
      <c r="B238" s="259" t="s">
        <v>443</v>
      </c>
      <c r="C238" s="255">
        <v>31</v>
      </c>
      <c r="D238" s="255">
        <v>75.8</v>
      </c>
      <c r="E238" s="255">
        <v>28.2</v>
      </c>
      <c r="F238" s="255">
        <v>61.2</v>
      </c>
      <c r="G238" s="255">
        <v>46.1</v>
      </c>
      <c r="H238" s="255">
        <v>7.4</v>
      </c>
      <c r="I238" s="255">
        <v>22.2</v>
      </c>
      <c r="J238" s="255">
        <v>33.200000000000003</v>
      </c>
      <c r="K238" s="255">
        <v>12</v>
      </c>
      <c r="L238" s="255">
        <v>16.7</v>
      </c>
      <c r="M238" s="255">
        <v>72</v>
      </c>
      <c r="N238" s="255">
        <v>9.6</v>
      </c>
      <c r="O238" s="255">
        <v>23</v>
      </c>
      <c r="P238" s="255">
        <v>32.700000000000003</v>
      </c>
      <c r="Q238" s="255">
        <v>13.5</v>
      </c>
      <c r="R238" s="255">
        <v>7.9</v>
      </c>
      <c r="S238" s="255">
        <v>3.9</v>
      </c>
      <c r="T238" s="255">
        <v>10.1</v>
      </c>
      <c r="U238" s="255">
        <v>17</v>
      </c>
    </row>
    <row r="239" spans="1:21" ht="15.75" customHeight="1" thickBot="1" x14ac:dyDescent="0.3">
      <c r="A239" s="257">
        <v>238</v>
      </c>
      <c r="B239" s="259" t="s">
        <v>388</v>
      </c>
      <c r="C239" s="255">
        <v>30</v>
      </c>
      <c r="D239" s="255">
        <v>75.900000000000006</v>
      </c>
      <c r="E239" s="255">
        <v>27</v>
      </c>
      <c r="F239" s="255">
        <v>58.3</v>
      </c>
      <c r="G239" s="255">
        <v>46.3</v>
      </c>
      <c r="H239" s="255">
        <v>8.3000000000000007</v>
      </c>
      <c r="I239" s="255">
        <v>22.6</v>
      </c>
      <c r="J239" s="255">
        <v>36.5</v>
      </c>
      <c r="K239" s="255">
        <v>13.7</v>
      </c>
      <c r="L239" s="255">
        <v>18.100000000000001</v>
      </c>
      <c r="M239" s="255">
        <v>75.900000000000006</v>
      </c>
      <c r="N239" s="255">
        <v>11.2</v>
      </c>
      <c r="O239" s="255">
        <v>25.1</v>
      </c>
      <c r="P239" s="255">
        <v>36.299999999999997</v>
      </c>
      <c r="Q239" s="255">
        <v>15.4</v>
      </c>
      <c r="R239" s="255">
        <v>5.6</v>
      </c>
      <c r="S239" s="255">
        <v>3.6</v>
      </c>
      <c r="T239" s="255">
        <v>11.5</v>
      </c>
      <c r="U239" s="255">
        <v>18.100000000000001</v>
      </c>
    </row>
    <row r="240" spans="1:21" ht="15.75" customHeight="1" thickBot="1" x14ac:dyDescent="0.3">
      <c r="A240" s="257">
        <v>238</v>
      </c>
      <c r="B240" s="259" t="s">
        <v>319</v>
      </c>
      <c r="C240" s="255">
        <v>30</v>
      </c>
      <c r="D240" s="255">
        <v>75.900000000000006</v>
      </c>
      <c r="E240" s="255">
        <v>24.9</v>
      </c>
      <c r="F240" s="255">
        <v>59.1</v>
      </c>
      <c r="G240" s="255">
        <v>42.1</v>
      </c>
      <c r="H240" s="255">
        <v>7.6</v>
      </c>
      <c r="I240" s="255">
        <v>25.5</v>
      </c>
      <c r="J240" s="255">
        <v>29.9</v>
      </c>
      <c r="K240" s="255">
        <v>18.5</v>
      </c>
      <c r="L240" s="255">
        <v>25.4</v>
      </c>
      <c r="M240" s="255">
        <v>72.7</v>
      </c>
      <c r="N240" s="255">
        <v>13.1</v>
      </c>
      <c r="O240" s="255">
        <v>24.1</v>
      </c>
      <c r="P240" s="255">
        <v>37.299999999999997</v>
      </c>
      <c r="Q240" s="255">
        <v>13.8</v>
      </c>
      <c r="R240" s="255">
        <v>8.1</v>
      </c>
      <c r="S240" s="255">
        <v>4.4000000000000004</v>
      </c>
      <c r="T240" s="255">
        <v>13.6</v>
      </c>
      <c r="U240" s="255">
        <v>17.8</v>
      </c>
    </row>
    <row r="241" spans="1:21" ht="15.75" customHeight="1" thickBot="1" x14ac:dyDescent="0.3">
      <c r="A241" s="257">
        <v>240</v>
      </c>
      <c r="B241" s="259" t="s">
        <v>352</v>
      </c>
      <c r="C241" s="255">
        <v>31</v>
      </c>
      <c r="D241" s="255">
        <v>75.900000000000006</v>
      </c>
      <c r="E241" s="255">
        <v>26.6</v>
      </c>
      <c r="F241" s="255">
        <v>60.1</v>
      </c>
      <c r="G241" s="255">
        <v>44.3</v>
      </c>
      <c r="H241" s="255">
        <v>6.3</v>
      </c>
      <c r="I241" s="255">
        <v>21</v>
      </c>
      <c r="J241" s="255">
        <v>29.9</v>
      </c>
      <c r="K241" s="255">
        <v>16.399999999999999</v>
      </c>
      <c r="L241" s="255">
        <v>21.7</v>
      </c>
      <c r="M241" s="255">
        <v>75.5</v>
      </c>
      <c r="N241" s="255">
        <v>8.5</v>
      </c>
      <c r="O241" s="255">
        <v>23.3</v>
      </c>
      <c r="P241" s="255">
        <v>31.9</v>
      </c>
      <c r="Q241" s="255">
        <v>9.9</v>
      </c>
      <c r="R241" s="255">
        <v>6.2</v>
      </c>
      <c r="S241" s="255">
        <v>2.5</v>
      </c>
      <c r="T241" s="255">
        <v>9.3000000000000007</v>
      </c>
      <c r="U241" s="255">
        <v>15.4</v>
      </c>
    </row>
    <row r="242" spans="1:21" ht="15.75" customHeight="1" thickBot="1" x14ac:dyDescent="0.3">
      <c r="A242" s="257">
        <v>241</v>
      </c>
      <c r="B242" s="259" t="s">
        <v>386</v>
      </c>
      <c r="C242" s="255">
        <v>29</v>
      </c>
      <c r="D242" s="255">
        <v>76</v>
      </c>
      <c r="E242" s="255">
        <v>27</v>
      </c>
      <c r="F242" s="255">
        <v>57.8</v>
      </c>
      <c r="G242" s="255">
        <v>46.7</v>
      </c>
      <c r="H242" s="255">
        <v>8.6999999999999993</v>
      </c>
      <c r="I242" s="255">
        <v>23.2</v>
      </c>
      <c r="J242" s="255">
        <v>37.4</v>
      </c>
      <c r="K242" s="255">
        <v>13.4</v>
      </c>
      <c r="L242" s="255">
        <v>18.8</v>
      </c>
      <c r="M242" s="255">
        <v>71.400000000000006</v>
      </c>
      <c r="N242" s="255">
        <v>11</v>
      </c>
      <c r="O242" s="255">
        <v>25.7</v>
      </c>
      <c r="P242" s="255">
        <v>36.700000000000003</v>
      </c>
      <c r="Q242" s="255">
        <v>14.6</v>
      </c>
      <c r="R242" s="255">
        <v>6.5</v>
      </c>
      <c r="S242" s="255">
        <v>3.4</v>
      </c>
      <c r="T242" s="255">
        <v>10.199999999999999</v>
      </c>
      <c r="U242" s="255">
        <v>15.7</v>
      </c>
    </row>
    <row r="243" spans="1:21" ht="15.75" customHeight="1" thickBot="1" x14ac:dyDescent="0.3">
      <c r="A243" s="257">
        <v>242</v>
      </c>
      <c r="B243" s="259" t="s">
        <v>224</v>
      </c>
      <c r="C243" s="255">
        <v>32</v>
      </c>
      <c r="D243" s="255">
        <v>76.099999999999994</v>
      </c>
      <c r="E243" s="255">
        <v>25.6</v>
      </c>
      <c r="F243" s="255">
        <v>54</v>
      </c>
      <c r="G243" s="255">
        <v>47.4</v>
      </c>
      <c r="H243" s="255">
        <v>9.9</v>
      </c>
      <c r="I243" s="255">
        <v>27.8</v>
      </c>
      <c r="J243" s="255">
        <v>35.700000000000003</v>
      </c>
      <c r="K243" s="255">
        <v>15</v>
      </c>
      <c r="L243" s="255">
        <v>20.100000000000001</v>
      </c>
      <c r="M243" s="255">
        <v>74.8</v>
      </c>
      <c r="N243" s="255">
        <v>10.6</v>
      </c>
      <c r="O243" s="255">
        <v>25.6</v>
      </c>
      <c r="P243" s="255">
        <v>36.299999999999997</v>
      </c>
      <c r="Q243" s="255">
        <v>18.5</v>
      </c>
      <c r="R243" s="255">
        <v>5.5</v>
      </c>
      <c r="S243" s="255">
        <v>3.4</v>
      </c>
      <c r="T243" s="255">
        <v>13.3</v>
      </c>
      <c r="U243" s="255">
        <v>15.3</v>
      </c>
    </row>
    <row r="244" spans="1:21" ht="15.75" customHeight="1" thickBot="1" x14ac:dyDescent="0.3">
      <c r="A244" s="257">
        <v>243</v>
      </c>
      <c r="B244" s="259" t="s">
        <v>280</v>
      </c>
      <c r="C244" s="255">
        <v>31</v>
      </c>
      <c r="D244" s="255">
        <v>76.2</v>
      </c>
      <c r="E244" s="255">
        <v>26.8</v>
      </c>
      <c r="F244" s="255">
        <v>56.4</v>
      </c>
      <c r="G244" s="255">
        <v>47.6</v>
      </c>
      <c r="H244" s="255">
        <v>7.6</v>
      </c>
      <c r="I244" s="255">
        <v>21.3</v>
      </c>
      <c r="J244" s="255">
        <v>35.799999999999997</v>
      </c>
      <c r="K244" s="255">
        <v>14.9</v>
      </c>
      <c r="L244" s="255">
        <v>19.399999999999999</v>
      </c>
      <c r="M244" s="255">
        <v>76.900000000000006</v>
      </c>
      <c r="N244" s="255">
        <v>8.4</v>
      </c>
      <c r="O244" s="255">
        <v>21</v>
      </c>
      <c r="P244" s="255">
        <v>29.4</v>
      </c>
      <c r="Q244" s="255">
        <v>12.9</v>
      </c>
      <c r="R244" s="255">
        <v>6.5</v>
      </c>
      <c r="S244" s="255">
        <v>2.9</v>
      </c>
      <c r="T244" s="255">
        <v>10.199999999999999</v>
      </c>
      <c r="U244" s="255">
        <v>19.100000000000001</v>
      </c>
    </row>
    <row r="245" spans="1:21" ht="15.75" customHeight="1" thickBot="1" x14ac:dyDescent="0.3">
      <c r="A245" s="257">
        <v>244</v>
      </c>
      <c r="B245" s="259" t="s">
        <v>292</v>
      </c>
      <c r="C245" s="255">
        <v>30</v>
      </c>
      <c r="D245" s="255">
        <v>76.2</v>
      </c>
      <c r="E245" s="255">
        <v>24.2</v>
      </c>
      <c r="F245" s="255">
        <v>59.2</v>
      </c>
      <c r="G245" s="255">
        <v>40.799999999999997</v>
      </c>
      <c r="H245" s="255">
        <v>7.8</v>
      </c>
      <c r="I245" s="255">
        <v>22.6</v>
      </c>
      <c r="J245" s="255">
        <v>34.4</v>
      </c>
      <c r="K245" s="255">
        <v>20.100000000000001</v>
      </c>
      <c r="L245" s="255">
        <v>27.1</v>
      </c>
      <c r="M245" s="255">
        <v>74.2</v>
      </c>
      <c r="N245" s="255">
        <v>10.6</v>
      </c>
      <c r="O245" s="255">
        <v>24.4</v>
      </c>
      <c r="P245" s="255">
        <v>35</v>
      </c>
      <c r="Q245" s="255">
        <v>11.6</v>
      </c>
      <c r="R245" s="255">
        <v>7.8</v>
      </c>
      <c r="S245" s="255">
        <v>4.5</v>
      </c>
      <c r="T245" s="255">
        <v>12.2</v>
      </c>
      <c r="U245" s="255">
        <v>20</v>
      </c>
    </row>
    <row r="246" spans="1:21" ht="15.75" customHeight="1" thickBot="1" x14ac:dyDescent="0.3">
      <c r="A246" s="257">
        <v>245</v>
      </c>
      <c r="B246" s="259" t="s">
        <v>206</v>
      </c>
      <c r="C246" s="255">
        <v>33</v>
      </c>
      <c r="D246" s="255">
        <v>76.3</v>
      </c>
      <c r="E246" s="255">
        <v>26</v>
      </c>
      <c r="F246" s="255">
        <v>56.1</v>
      </c>
      <c r="G246" s="255">
        <v>46.3</v>
      </c>
      <c r="H246" s="255">
        <v>9.5</v>
      </c>
      <c r="I246" s="255">
        <v>25.6</v>
      </c>
      <c r="J246" s="255">
        <v>37</v>
      </c>
      <c r="K246" s="255">
        <v>14.9</v>
      </c>
      <c r="L246" s="255">
        <v>19.8</v>
      </c>
      <c r="M246" s="255">
        <v>75.2</v>
      </c>
      <c r="N246" s="255">
        <v>10.1</v>
      </c>
      <c r="O246" s="255">
        <v>24.9</v>
      </c>
      <c r="P246" s="255">
        <v>35</v>
      </c>
      <c r="Q246" s="255">
        <v>16.100000000000001</v>
      </c>
      <c r="R246" s="255">
        <v>7.5</v>
      </c>
      <c r="S246" s="255">
        <v>3.7</v>
      </c>
      <c r="T246" s="255">
        <v>12.1</v>
      </c>
      <c r="U246" s="255">
        <v>16.399999999999999</v>
      </c>
    </row>
    <row r="247" spans="1:21" ht="15.75" customHeight="1" thickBot="1" x14ac:dyDescent="0.3">
      <c r="A247" s="257">
        <v>246</v>
      </c>
      <c r="B247" s="259" t="s">
        <v>364</v>
      </c>
      <c r="C247" s="255">
        <v>30</v>
      </c>
      <c r="D247" s="255">
        <v>76.3</v>
      </c>
      <c r="E247" s="255">
        <v>25.4</v>
      </c>
      <c r="F247" s="255">
        <v>57.8</v>
      </c>
      <c r="G247" s="255">
        <v>44</v>
      </c>
      <c r="H247" s="255">
        <v>8.4</v>
      </c>
      <c r="I247" s="255">
        <v>24.5</v>
      </c>
      <c r="J247" s="255">
        <v>34.1</v>
      </c>
      <c r="K247" s="255">
        <v>17.2</v>
      </c>
      <c r="L247" s="255">
        <v>23.9</v>
      </c>
      <c r="M247" s="255">
        <v>71.8</v>
      </c>
      <c r="N247" s="255">
        <v>11.8</v>
      </c>
      <c r="O247" s="255">
        <v>25.1</v>
      </c>
      <c r="P247" s="255">
        <v>37</v>
      </c>
      <c r="Q247" s="255">
        <v>14.8</v>
      </c>
      <c r="R247" s="255">
        <v>6</v>
      </c>
      <c r="S247" s="255">
        <v>3</v>
      </c>
      <c r="T247" s="255">
        <v>11.7</v>
      </c>
      <c r="U247" s="255">
        <v>17.899999999999999</v>
      </c>
    </row>
    <row r="248" spans="1:21" ht="15.75" customHeight="1" thickBot="1" x14ac:dyDescent="0.3">
      <c r="A248" s="257">
        <v>247</v>
      </c>
      <c r="B248" s="259" t="s">
        <v>346</v>
      </c>
      <c r="C248" s="255">
        <v>29</v>
      </c>
      <c r="D248" s="255">
        <v>76.400000000000006</v>
      </c>
      <c r="E248" s="255">
        <v>26.4</v>
      </c>
      <c r="F248" s="255">
        <v>57</v>
      </c>
      <c r="G248" s="255">
        <v>46.4</v>
      </c>
      <c r="H248" s="255">
        <v>8.5</v>
      </c>
      <c r="I248" s="255">
        <v>23.4</v>
      </c>
      <c r="J248" s="255">
        <v>36.200000000000003</v>
      </c>
      <c r="K248" s="255">
        <v>15</v>
      </c>
      <c r="L248" s="255">
        <v>21.2</v>
      </c>
      <c r="M248" s="255">
        <v>70.8</v>
      </c>
      <c r="N248" s="255">
        <v>12.8</v>
      </c>
      <c r="O248" s="255">
        <v>24.3</v>
      </c>
      <c r="P248" s="255">
        <v>37.1</v>
      </c>
      <c r="Q248" s="255">
        <v>15.4</v>
      </c>
      <c r="R248" s="255">
        <v>6.3</v>
      </c>
      <c r="S248" s="255">
        <v>4.2</v>
      </c>
      <c r="T248" s="255">
        <v>15</v>
      </c>
      <c r="U248" s="255">
        <v>17.899999999999999</v>
      </c>
    </row>
    <row r="249" spans="1:21" ht="15.75" customHeight="1" thickBot="1" x14ac:dyDescent="0.3">
      <c r="A249" s="257">
        <v>248</v>
      </c>
      <c r="B249" s="259" t="s">
        <v>60</v>
      </c>
      <c r="C249" s="255">
        <v>30</v>
      </c>
      <c r="D249" s="255">
        <v>76.5</v>
      </c>
      <c r="E249" s="255">
        <v>26</v>
      </c>
      <c r="F249" s="255">
        <v>58</v>
      </c>
      <c r="G249" s="255">
        <v>44.9</v>
      </c>
      <c r="H249" s="255">
        <v>7.2</v>
      </c>
      <c r="I249" s="255">
        <v>19.7</v>
      </c>
      <c r="J249" s="255">
        <v>36.4</v>
      </c>
      <c r="K249" s="255">
        <v>17.3</v>
      </c>
      <c r="L249" s="255">
        <v>23.6</v>
      </c>
      <c r="M249" s="255">
        <v>73.400000000000006</v>
      </c>
      <c r="N249" s="255">
        <v>9.1999999999999993</v>
      </c>
      <c r="O249" s="255">
        <v>20.6</v>
      </c>
      <c r="P249" s="255">
        <v>29.8</v>
      </c>
      <c r="Q249" s="255">
        <v>12</v>
      </c>
      <c r="R249" s="255">
        <v>6.5</v>
      </c>
      <c r="S249" s="255">
        <v>3.7</v>
      </c>
      <c r="T249" s="255">
        <v>9.6</v>
      </c>
      <c r="U249" s="255">
        <v>21.4</v>
      </c>
    </row>
    <row r="250" spans="1:21" ht="15.75" customHeight="1" thickBot="1" x14ac:dyDescent="0.3">
      <c r="A250" s="257">
        <v>249</v>
      </c>
      <c r="B250" s="259" t="s">
        <v>253</v>
      </c>
      <c r="C250" s="255">
        <v>32</v>
      </c>
      <c r="D250" s="255">
        <v>76.5</v>
      </c>
      <c r="E250" s="255">
        <v>26.8</v>
      </c>
      <c r="F250" s="255">
        <v>58.5</v>
      </c>
      <c r="G250" s="255">
        <v>45.8</v>
      </c>
      <c r="H250" s="255">
        <v>9.3000000000000007</v>
      </c>
      <c r="I250" s="255">
        <v>25.1</v>
      </c>
      <c r="J250" s="255">
        <v>37</v>
      </c>
      <c r="K250" s="255">
        <v>13.6</v>
      </c>
      <c r="L250" s="255">
        <v>18.2</v>
      </c>
      <c r="M250" s="255">
        <v>74.599999999999994</v>
      </c>
      <c r="N250" s="255">
        <v>9.8000000000000007</v>
      </c>
      <c r="O250" s="255">
        <v>26</v>
      </c>
      <c r="P250" s="255">
        <v>35.799999999999997</v>
      </c>
      <c r="Q250" s="255">
        <v>15.4</v>
      </c>
      <c r="R250" s="255">
        <v>7.6</v>
      </c>
      <c r="S250" s="255">
        <v>2.2000000000000002</v>
      </c>
      <c r="T250" s="255">
        <v>10.7</v>
      </c>
      <c r="U250" s="255">
        <v>16.399999999999999</v>
      </c>
    </row>
    <row r="251" spans="1:21" ht="15.75" customHeight="1" thickBot="1" x14ac:dyDescent="0.3">
      <c r="A251" s="257">
        <v>250</v>
      </c>
      <c r="B251" s="259" t="s">
        <v>351</v>
      </c>
      <c r="C251" s="255">
        <v>31</v>
      </c>
      <c r="D251" s="255">
        <v>76.5</v>
      </c>
      <c r="E251" s="255">
        <v>27.5</v>
      </c>
      <c r="F251" s="255">
        <v>56.7</v>
      </c>
      <c r="G251" s="255">
        <v>48.4</v>
      </c>
      <c r="H251" s="255">
        <v>8.6</v>
      </c>
      <c r="I251" s="255">
        <v>22.6</v>
      </c>
      <c r="J251" s="255">
        <v>38.200000000000003</v>
      </c>
      <c r="K251" s="255">
        <v>13</v>
      </c>
      <c r="L251" s="255">
        <v>17.600000000000001</v>
      </c>
      <c r="M251" s="255">
        <v>73.599999999999994</v>
      </c>
      <c r="N251" s="255">
        <v>10.1</v>
      </c>
      <c r="O251" s="255">
        <v>24.8</v>
      </c>
      <c r="P251" s="255">
        <v>34.799999999999997</v>
      </c>
      <c r="Q251" s="255">
        <v>13.7</v>
      </c>
      <c r="R251" s="255">
        <v>5.7</v>
      </c>
      <c r="S251" s="255">
        <v>3</v>
      </c>
      <c r="T251" s="255">
        <v>11.7</v>
      </c>
      <c r="U251" s="255">
        <v>16.5</v>
      </c>
    </row>
    <row r="252" spans="1:21" ht="15.75" customHeight="1" thickBot="1" x14ac:dyDescent="0.3">
      <c r="A252" s="257">
        <v>251</v>
      </c>
      <c r="B252" s="259" t="s">
        <v>219</v>
      </c>
      <c r="C252" s="255">
        <v>30</v>
      </c>
      <c r="D252" s="255">
        <v>76.599999999999994</v>
      </c>
      <c r="E252" s="255">
        <v>26.8</v>
      </c>
      <c r="F252" s="255">
        <v>58.3</v>
      </c>
      <c r="G252" s="255">
        <v>45.9</v>
      </c>
      <c r="H252" s="255">
        <v>7.8</v>
      </c>
      <c r="I252" s="255">
        <v>22.8</v>
      </c>
      <c r="J252" s="255">
        <v>34.1</v>
      </c>
      <c r="K252" s="255">
        <v>15.3</v>
      </c>
      <c r="L252" s="255">
        <v>22.3</v>
      </c>
      <c r="M252" s="255">
        <v>68.7</v>
      </c>
      <c r="N252" s="255">
        <v>11.7</v>
      </c>
      <c r="O252" s="255">
        <v>23.8</v>
      </c>
      <c r="P252" s="255">
        <v>35.5</v>
      </c>
      <c r="Q252" s="255">
        <v>15.5</v>
      </c>
      <c r="R252" s="255">
        <v>7.9</v>
      </c>
      <c r="S252" s="255">
        <v>3.1</v>
      </c>
      <c r="T252" s="255">
        <v>12.3</v>
      </c>
      <c r="U252" s="255">
        <v>16.899999999999999</v>
      </c>
    </row>
    <row r="253" spans="1:21" ht="15.75" customHeight="1" thickBot="1" x14ac:dyDescent="0.3">
      <c r="A253" s="257">
        <v>252</v>
      </c>
      <c r="B253" s="259" t="s">
        <v>406</v>
      </c>
      <c r="C253" s="255">
        <v>30</v>
      </c>
      <c r="D253" s="255">
        <v>76.7</v>
      </c>
      <c r="E253" s="255">
        <v>27.6</v>
      </c>
      <c r="F253" s="255">
        <v>60.5</v>
      </c>
      <c r="G253" s="255">
        <v>45.6</v>
      </c>
      <c r="H253" s="255">
        <v>6.9</v>
      </c>
      <c r="I253" s="255">
        <v>21.6</v>
      </c>
      <c r="J253" s="255">
        <v>31.9</v>
      </c>
      <c r="K253" s="255">
        <v>14.6</v>
      </c>
      <c r="L253" s="255">
        <v>20.5</v>
      </c>
      <c r="M253" s="255">
        <v>71.2</v>
      </c>
      <c r="N253" s="255">
        <v>11.4</v>
      </c>
      <c r="O253" s="255">
        <v>25</v>
      </c>
      <c r="P253" s="255">
        <v>36.4</v>
      </c>
      <c r="Q253" s="255">
        <v>15.7</v>
      </c>
      <c r="R253" s="255">
        <v>6.2</v>
      </c>
      <c r="S253" s="255">
        <v>3.6</v>
      </c>
      <c r="T253" s="255">
        <v>10.1</v>
      </c>
      <c r="U253" s="255">
        <v>17.5</v>
      </c>
    </row>
    <row r="254" spans="1:21" ht="15.75" customHeight="1" thickBot="1" x14ac:dyDescent="0.3">
      <c r="A254" s="257">
        <v>253</v>
      </c>
      <c r="B254" s="259" t="s">
        <v>355</v>
      </c>
      <c r="C254" s="255">
        <v>32</v>
      </c>
      <c r="D254" s="255">
        <v>76.7</v>
      </c>
      <c r="E254" s="255">
        <v>27.1</v>
      </c>
      <c r="F254" s="255">
        <v>59.6</v>
      </c>
      <c r="G254" s="255">
        <v>45.4</v>
      </c>
      <c r="H254" s="255">
        <v>8.3000000000000007</v>
      </c>
      <c r="I254" s="255">
        <v>23.4</v>
      </c>
      <c r="J254" s="255">
        <v>35.299999999999997</v>
      </c>
      <c r="K254" s="255">
        <v>14.3</v>
      </c>
      <c r="L254" s="255">
        <v>20.5</v>
      </c>
      <c r="M254" s="255">
        <v>69.900000000000006</v>
      </c>
      <c r="N254" s="255">
        <v>11.1</v>
      </c>
      <c r="O254" s="255">
        <v>24.2</v>
      </c>
      <c r="P254" s="255">
        <v>35.299999999999997</v>
      </c>
      <c r="Q254" s="255">
        <v>13.9</v>
      </c>
      <c r="R254" s="255">
        <v>6.5</v>
      </c>
      <c r="S254" s="255">
        <v>2.4</v>
      </c>
      <c r="T254" s="255">
        <v>14</v>
      </c>
      <c r="U254" s="255">
        <v>19.2</v>
      </c>
    </row>
    <row r="255" spans="1:21" ht="15.75" customHeight="1" thickBot="1" x14ac:dyDescent="0.3">
      <c r="A255" s="257">
        <v>254</v>
      </c>
      <c r="B255" s="259" t="s">
        <v>431</v>
      </c>
      <c r="C255" s="255">
        <v>30</v>
      </c>
      <c r="D255" s="255">
        <v>76.8</v>
      </c>
      <c r="E255" s="255">
        <v>28.6</v>
      </c>
      <c r="F255" s="255">
        <v>61.3</v>
      </c>
      <c r="G255" s="255">
        <v>46.7</v>
      </c>
      <c r="H255" s="255">
        <v>8.4</v>
      </c>
      <c r="I255" s="255">
        <v>24.5</v>
      </c>
      <c r="J255" s="255">
        <v>34.5</v>
      </c>
      <c r="K255" s="255">
        <v>11.1</v>
      </c>
      <c r="L255" s="255">
        <v>15.9</v>
      </c>
      <c r="M255" s="255">
        <v>69.7</v>
      </c>
      <c r="N255" s="255">
        <v>11.5</v>
      </c>
      <c r="O255" s="255">
        <v>23.6</v>
      </c>
      <c r="P255" s="255">
        <v>35.1</v>
      </c>
      <c r="Q255" s="255">
        <v>15</v>
      </c>
      <c r="R255" s="255">
        <v>6.1</v>
      </c>
      <c r="S255" s="255">
        <v>3.6</v>
      </c>
      <c r="T255" s="255">
        <v>12.8</v>
      </c>
      <c r="U255" s="255">
        <v>16.899999999999999</v>
      </c>
    </row>
    <row r="256" spans="1:21" ht="15.75" customHeight="1" thickBot="1" x14ac:dyDescent="0.3">
      <c r="A256" s="257">
        <v>255</v>
      </c>
      <c r="B256" s="259" t="s">
        <v>468</v>
      </c>
      <c r="C256" s="255">
        <v>31</v>
      </c>
      <c r="D256" s="255">
        <v>76.8</v>
      </c>
      <c r="E256" s="255">
        <v>27.9</v>
      </c>
      <c r="F256" s="255">
        <v>58.8</v>
      </c>
      <c r="G256" s="255">
        <v>47.4</v>
      </c>
      <c r="H256" s="255">
        <v>7.5</v>
      </c>
      <c r="I256" s="255">
        <v>21.1</v>
      </c>
      <c r="J256" s="255">
        <v>35.299999999999997</v>
      </c>
      <c r="K256" s="255">
        <v>13.6</v>
      </c>
      <c r="L256" s="255">
        <v>19.399999999999999</v>
      </c>
      <c r="M256" s="255">
        <v>70.2</v>
      </c>
      <c r="N256" s="255">
        <v>10.9</v>
      </c>
      <c r="O256" s="255">
        <v>25.5</v>
      </c>
      <c r="P256" s="255">
        <v>36.4</v>
      </c>
      <c r="Q256" s="255">
        <v>14</v>
      </c>
      <c r="R256" s="255">
        <v>6.7</v>
      </c>
      <c r="S256" s="255">
        <v>4.0999999999999996</v>
      </c>
      <c r="T256" s="255">
        <v>10.4</v>
      </c>
      <c r="U256" s="255">
        <v>17</v>
      </c>
    </row>
    <row r="257" spans="1:21" ht="15.75" customHeight="1" thickBot="1" x14ac:dyDescent="0.3">
      <c r="A257" s="257">
        <v>256</v>
      </c>
      <c r="B257" s="259" t="s">
        <v>392</v>
      </c>
      <c r="C257" s="255">
        <v>32</v>
      </c>
      <c r="D257" s="255">
        <v>76.8</v>
      </c>
      <c r="E257" s="255">
        <v>27.9</v>
      </c>
      <c r="F257" s="255">
        <v>61.2</v>
      </c>
      <c r="G257" s="255">
        <v>45.6</v>
      </c>
      <c r="H257" s="255">
        <v>9.3000000000000007</v>
      </c>
      <c r="I257" s="255">
        <v>26.6</v>
      </c>
      <c r="J257" s="255">
        <v>34.9</v>
      </c>
      <c r="K257" s="255">
        <v>11.7</v>
      </c>
      <c r="L257" s="255">
        <v>16.7</v>
      </c>
      <c r="M257" s="255">
        <v>69.7</v>
      </c>
      <c r="N257" s="255">
        <v>10.8</v>
      </c>
      <c r="O257" s="255">
        <v>24.5</v>
      </c>
      <c r="P257" s="255">
        <v>35.299999999999997</v>
      </c>
      <c r="Q257" s="255">
        <v>16.7</v>
      </c>
      <c r="R257" s="255">
        <v>6.9</v>
      </c>
      <c r="S257" s="255">
        <v>2.6</v>
      </c>
      <c r="T257" s="255">
        <v>10.3</v>
      </c>
      <c r="U257" s="255">
        <v>15.5</v>
      </c>
    </row>
    <row r="258" spans="1:21" ht="15.75" customHeight="1" thickBot="1" x14ac:dyDescent="0.3">
      <c r="A258" s="257">
        <v>257</v>
      </c>
      <c r="B258" s="259" t="s">
        <v>307</v>
      </c>
      <c r="C258" s="255">
        <v>30</v>
      </c>
      <c r="D258" s="255">
        <v>76.900000000000006</v>
      </c>
      <c r="E258" s="255">
        <v>25.9</v>
      </c>
      <c r="F258" s="255">
        <v>58.1</v>
      </c>
      <c r="G258" s="255">
        <v>44.6</v>
      </c>
      <c r="H258" s="255">
        <v>9.6999999999999993</v>
      </c>
      <c r="I258" s="255">
        <v>25.5</v>
      </c>
      <c r="J258" s="255">
        <v>38</v>
      </c>
      <c r="K258" s="255">
        <v>15.4</v>
      </c>
      <c r="L258" s="255">
        <v>19.899999999999999</v>
      </c>
      <c r="M258" s="255">
        <v>77.400000000000006</v>
      </c>
      <c r="N258" s="255">
        <v>9.9</v>
      </c>
      <c r="O258" s="255">
        <v>23.7</v>
      </c>
      <c r="P258" s="255">
        <v>33.5</v>
      </c>
      <c r="Q258" s="255">
        <v>15.8</v>
      </c>
      <c r="R258" s="255">
        <v>7.1</v>
      </c>
      <c r="S258" s="255">
        <v>3.9</v>
      </c>
      <c r="T258" s="255">
        <v>8.6</v>
      </c>
      <c r="U258" s="255">
        <v>17</v>
      </c>
    </row>
    <row r="259" spans="1:21" ht="15.75" customHeight="1" thickBot="1" x14ac:dyDescent="0.3">
      <c r="A259" s="257">
        <v>258</v>
      </c>
      <c r="B259" s="259" t="s">
        <v>365</v>
      </c>
      <c r="C259" s="255">
        <v>31</v>
      </c>
      <c r="D259" s="255">
        <v>77</v>
      </c>
      <c r="E259" s="255">
        <v>27</v>
      </c>
      <c r="F259" s="255">
        <v>59.9</v>
      </c>
      <c r="G259" s="255">
        <v>45</v>
      </c>
      <c r="H259" s="255">
        <v>9.1999999999999993</v>
      </c>
      <c r="I259" s="255">
        <v>28.1</v>
      </c>
      <c r="J259" s="255">
        <v>32.799999999999997</v>
      </c>
      <c r="K259" s="255">
        <v>13.8</v>
      </c>
      <c r="L259" s="255">
        <v>18.7</v>
      </c>
      <c r="M259" s="255">
        <v>73.8</v>
      </c>
      <c r="N259" s="255">
        <v>9.6999999999999993</v>
      </c>
      <c r="O259" s="255">
        <v>23.9</v>
      </c>
      <c r="P259" s="255">
        <v>33.6</v>
      </c>
      <c r="Q259" s="255">
        <v>14.5</v>
      </c>
      <c r="R259" s="255">
        <v>6.4</v>
      </c>
      <c r="S259" s="255">
        <v>3.3</v>
      </c>
      <c r="T259" s="255">
        <v>10.1</v>
      </c>
      <c r="U259" s="255">
        <v>17.2</v>
      </c>
    </row>
    <row r="260" spans="1:21" ht="15.75" customHeight="1" thickBot="1" x14ac:dyDescent="0.3">
      <c r="A260" s="257">
        <v>259</v>
      </c>
      <c r="B260" s="259" t="s">
        <v>461</v>
      </c>
      <c r="C260" s="255">
        <v>30</v>
      </c>
      <c r="D260" s="255">
        <v>77</v>
      </c>
      <c r="E260" s="255">
        <v>26.2</v>
      </c>
      <c r="F260" s="255">
        <v>58.4</v>
      </c>
      <c r="G260" s="255">
        <v>44.8</v>
      </c>
      <c r="H260" s="255">
        <v>9.1999999999999993</v>
      </c>
      <c r="I260" s="255">
        <v>27.6</v>
      </c>
      <c r="J260" s="255">
        <v>33.299999999999997</v>
      </c>
      <c r="K260" s="255">
        <v>15.5</v>
      </c>
      <c r="L260" s="255">
        <v>21.2</v>
      </c>
      <c r="M260" s="255">
        <v>73.2</v>
      </c>
      <c r="N260" s="255">
        <v>11</v>
      </c>
      <c r="O260" s="255">
        <v>23.9</v>
      </c>
      <c r="P260" s="255">
        <v>34.9</v>
      </c>
      <c r="Q260" s="255">
        <v>15.5</v>
      </c>
      <c r="R260" s="255">
        <v>6.4</v>
      </c>
      <c r="S260" s="255">
        <v>2.8</v>
      </c>
      <c r="T260" s="255">
        <v>13</v>
      </c>
      <c r="U260" s="255">
        <v>18.100000000000001</v>
      </c>
    </row>
    <row r="261" spans="1:21" ht="15.75" customHeight="1" thickBot="1" x14ac:dyDescent="0.3">
      <c r="A261" s="257">
        <v>260</v>
      </c>
      <c r="B261" s="259" t="s">
        <v>246</v>
      </c>
      <c r="C261" s="255">
        <v>30</v>
      </c>
      <c r="D261" s="255">
        <v>77</v>
      </c>
      <c r="E261" s="255">
        <v>27.3</v>
      </c>
      <c r="F261" s="255">
        <v>60.8</v>
      </c>
      <c r="G261" s="255">
        <v>44.9</v>
      </c>
      <c r="H261" s="255">
        <v>8.4</v>
      </c>
      <c r="I261" s="255">
        <v>24.1</v>
      </c>
      <c r="J261" s="255">
        <v>34.9</v>
      </c>
      <c r="K261" s="255">
        <v>14</v>
      </c>
      <c r="L261" s="255">
        <v>19.3</v>
      </c>
      <c r="M261" s="255">
        <v>72.5</v>
      </c>
      <c r="N261" s="255">
        <v>11.6</v>
      </c>
      <c r="O261" s="255">
        <v>24.4</v>
      </c>
      <c r="P261" s="255">
        <v>36</v>
      </c>
      <c r="Q261" s="255">
        <v>14.7</v>
      </c>
      <c r="R261" s="255">
        <v>7.2</v>
      </c>
      <c r="S261" s="255">
        <v>3.2</v>
      </c>
      <c r="T261" s="255">
        <v>11.5</v>
      </c>
      <c r="U261" s="255">
        <v>18.8</v>
      </c>
    </row>
    <row r="262" spans="1:21" ht="15.75" customHeight="1" thickBot="1" x14ac:dyDescent="0.3">
      <c r="A262" s="257">
        <v>260</v>
      </c>
      <c r="B262" s="259" t="s">
        <v>196</v>
      </c>
      <c r="C262" s="255">
        <v>30</v>
      </c>
      <c r="D262" s="255">
        <v>77</v>
      </c>
      <c r="E262" s="255">
        <v>27.9</v>
      </c>
      <c r="F262" s="255">
        <v>61.7</v>
      </c>
      <c r="G262" s="255">
        <v>45.1</v>
      </c>
      <c r="H262" s="255">
        <v>7.5</v>
      </c>
      <c r="I262" s="255">
        <v>21.4</v>
      </c>
      <c r="J262" s="255">
        <v>34.9</v>
      </c>
      <c r="K262" s="255">
        <v>13.8</v>
      </c>
      <c r="L262" s="255">
        <v>18.3</v>
      </c>
      <c r="M262" s="255">
        <v>75.599999999999994</v>
      </c>
      <c r="N262" s="255">
        <v>11.3</v>
      </c>
      <c r="O262" s="255">
        <v>21.2</v>
      </c>
      <c r="P262" s="255">
        <v>32.5</v>
      </c>
      <c r="Q262" s="255">
        <v>13.7</v>
      </c>
      <c r="R262" s="255">
        <v>7</v>
      </c>
      <c r="S262" s="255">
        <v>3.2</v>
      </c>
      <c r="T262" s="255">
        <v>11</v>
      </c>
      <c r="U262" s="255">
        <v>18.3</v>
      </c>
    </row>
    <row r="263" spans="1:21" ht="15.75" customHeight="1" thickBot="1" x14ac:dyDescent="0.3">
      <c r="A263" s="257">
        <v>262</v>
      </c>
      <c r="B263" s="259" t="s">
        <v>308</v>
      </c>
      <c r="C263" s="255">
        <v>32</v>
      </c>
      <c r="D263" s="255">
        <v>77.099999999999994</v>
      </c>
      <c r="E263" s="255">
        <v>27.8</v>
      </c>
      <c r="F263" s="255">
        <v>59.1</v>
      </c>
      <c r="G263" s="255">
        <v>47.1</v>
      </c>
      <c r="H263" s="255">
        <v>7.4</v>
      </c>
      <c r="I263" s="255">
        <v>23</v>
      </c>
      <c r="J263" s="255">
        <v>32.299999999999997</v>
      </c>
      <c r="K263" s="255">
        <v>13.9</v>
      </c>
      <c r="L263" s="255">
        <v>19.2</v>
      </c>
      <c r="M263" s="255">
        <v>72.599999999999994</v>
      </c>
      <c r="N263" s="255">
        <v>9.5</v>
      </c>
      <c r="O263" s="255">
        <v>25.8</v>
      </c>
      <c r="P263" s="255">
        <v>35.299999999999997</v>
      </c>
      <c r="Q263" s="255">
        <v>15.4</v>
      </c>
      <c r="R263" s="255">
        <v>6.1</v>
      </c>
      <c r="S263" s="255">
        <v>2.6</v>
      </c>
      <c r="T263" s="255">
        <v>10.7</v>
      </c>
      <c r="U263" s="255">
        <v>16.2</v>
      </c>
    </row>
    <row r="264" spans="1:21" ht="15.75" customHeight="1" thickBot="1" x14ac:dyDescent="0.3">
      <c r="A264" s="257">
        <v>263</v>
      </c>
      <c r="B264" s="259" t="s">
        <v>379</v>
      </c>
      <c r="C264" s="255">
        <v>32</v>
      </c>
      <c r="D264" s="255">
        <v>77.099999999999994</v>
      </c>
      <c r="E264" s="255">
        <v>27.7</v>
      </c>
      <c r="F264" s="255">
        <v>59.3</v>
      </c>
      <c r="G264" s="255">
        <v>46.6</v>
      </c>
      <c r="H264" s="255">
        <v>9.5</v>
      </c>
      <c r="I264" s="255">
        <v>26</v>
      </c>
      <c r="J264" s="255">
        <v>36.5</v>
      </c>
      <c r="K264" s="255">
        <v>12.3</v>
      </c>
      <c r="L264" s="255">
        <v>16.2</v>
      </c>
      <c r="M264" s="255">
        <v>75.900000000000006</v>
      </c>
      <c r="N264" s="255">
        <v>10.8</v>
      </c>
      <c r="O264" s="255">
        <v>25.9</v>
      </c>
      <c r="P264" s="255">
        <v>36.799999999999997</v>
      </c>
      <c r="Q264" s="255">
        <v>15.3</v>
      </c>
      <c r="R264" s="255">
        <v>5</v>
      </c>
      <c r="S264" s="255">
        <v>2.7</v>
      </c>
      <c r="T264" s="255">
        <v>13.8</v>
      </c>
      <c r="U264" s="255">
        <v>16.100000000000001</v>
      </c>
    </row>
    <row r="265" spans="1:21" ht="15.75" customHeight="1" thickBot="1" x14ac:dyDescent="0.3">
      <c r="A265" s="257">
        <v>264</v>
      </c>
      <c r="B265" s="259" t="s">
        <v>430</v>
      </c>
      <c r="C265" s="255">
        <v>31</v>
      </c>
      <c r="D265" s="255">
        <v>77.099999999999994</v>
      </c>
      <c r="E265" s="255">
        <v>27.6</v>
      </c>
      <c r="F265" s="255">
        <v>57.3</v>
      </c>
      <c r="G265" s="255">
        <v>48.2</v>
      </c>
      <c r="H265" s="255">
        <v>9</v>
      </c>
      <c r="I265" s="255">
        <v>25</v>
      </c>
      <c r="J265" s="255">
        <v>36</v>
      </c>
      <c r="K265" s="255">
        <v>12.8</v>
      </c>
      <c r="L265" s="255">
        <v>18.7</v>
      </c>
      <c r="M265" s="255">
        <v>68.400000000000006</v>
      </c>
      <c r="N265" s="255">
        <v>10.1</v>
      </c>
      <c r="O265" s="255">
        <v>26.2</v>
      </c>
      <c r="P265" s="255">
        <v>36.299999999999997</v>
      </c>
      <c r="Q265" s="255">
        <v>14.2</v>
      </c>
      <c r="R265" s="255">
        <v>6.1</v>
      </c>
      <c r="S265" s="255">
        <v>3.2</v>
      </c>
      <c r="T265" s="255">
        <v>10.199999999999999</v>
      </c>
      <c r="U265" s="255">
        <v>15.2</v>
      </c>
    </row>
    <row r="266" spans="1:21" ht="15.75" customHeight="1" thickBot="1" x14ac:dyDescent="0.3">
      <c r="A266" s="257">
        <v>264</v>
      </c>
      <c r="B266" s="259" t="s">
        <v>464</v>
      </c>
      <c r="C266" s="255">
        <v>31</v>
      </c>
      <c r="D266" s="255">
        <v>77.099999999999994</v>
      </c>
      <c r="E266" s="255">
        <v>27.4</v>
      </c>
      <c r="F266" s="255">
        <v>58.9</v>
      </c>
      <c r="G266" s="255">
        <v>46.5</v>
      </c>
      <c r="H266" s="255">
        <v>7.4</v>
      </c>
      <c r="I266" s="255">
        <v>23.5</v>
      </c>
      <c r="J266" s="255">
        <v>31.6</v>
      </c>
      <c r="K266" s="255">
        <v>14.8</v>
      </c>
      <c r="L266" s="255">
        <v>20.399999999999999</v>
      </c>
      <c r="M266" s="255">
        <v>72.7</v>
      </c>
      <c r="N266" s="255">
        <v>8.9</v>
      </c>
      <c r="O266" s="255">
        <v>23.9</v>
      </c>
      <c r="P266" s="255">
        <v>32.799999999999997</v>
      </c>
      <c r="Q266" s="255">
        <v>13.6</v>
      </c>
      <c r="R266" s="255">
        <v>6.4</v>
      </c>
      <c r="S266" s="255">
        <v>4.3</v>
      </c>
      <c r="T266" s="255">
        <v>11.8</v>
      </c>
      <c r="U266" s="255">
        <v>18.3</v>
      </c>
    </row>
    <row r="267" spans="1:21" ht="15.75" customHeight="1" thickBot="1" x14ac:dyDescent="0.3">
      <c r="A267" s="257">
        <v>266</v>
      </c>
      <c r="B267" s="259" t="s">
        <v>52</v>
      </c>
      <c r="C267" s="255">
        <v>30</v>
      </c>
      <c r="D267" s="255">
        <v>77.099999999999994</v>
      </c>
      <c r="E267" s="255">
        <v>25.9</v>
      </c>
      <c r="F267" s="255">
        <v>62.1</v>
      </c>
      <c r="G267" s="255">
        <v>41.8</v>
      </c>
      <c r="H267" s="255">
        <v>8.4</v>
      </c>
      <c r="I267" s="255">
        <v>24.2</v>
      </c>
      <c r="J267" s="255">
        <v>34.9</v>
      </c>
      <c r="K267" s="255">
        <v>16.8</v>
      </c>
      <c r="L267" s="255">
        <v>23.8</v>
      </c>
      <c r="M267" s="255">
        <v>70.5</v>
      </c>
      <c r="N267" s="255">
        <v>12.4</v>
      </c>
      <c r="O267" s="255">
        <v>25.3</v>
      </c>
      <c r="P267" s="255">
        <v>37.700000000000003</v>
      </c>
      <c r="Q267" s="255">
        <v>13.4</v>
      </c>
      <c r="R267" s="255">
        <v>6.3</v>
      </c>
      <c r="S267" s="255">
        <v>4.9000000000000004</v>
      </c>
      <c r="T267" s="255">
        <v>14.3</v>
      </c>
      <c r="U267" s="255">
        <v>20.3</v>
      </c>
    </row>
    <row r="268" spans="1:21" ht="15.75" customHeight="1" thickBot="1" x14ac:dyDescent="0.3">
      <c r="A268" s="257">
        <v>267</v>
      </c>
      <c r="B268" s="259" t="s">
        <v>66</v>
      </c>
      <c r="C268" s="255">
        <v>31</v>
      </c>
      <c r="D268" s="255">
        <v>77.099999999999994</v>
      </c>
      <c r="E268" s="255">
        <v>26.8</v>
      </c>
      <c r="F268" s="255">
        <v>61.3</v>
      </c>
      <c r="G268" s="255">
        <v>43.7</v>
      </c>
      <c r="H268" s="255">
        <v>6.7</v>
      </c>
      <c r="I268" s="255">
        <v>20.8</v>
      </c>
      <c r="J268" s="255">
        <v>32.200000000000003</v>
      </c>
      <c r="K268" s="255">
        <v>16.8</v>
      </c>
      <c r="L268" s="255">
        <v>23.4</v>
      </c>
      <c r="M268" s="255">
        <v>71.900000000000006</v>
      </c>
      <c r="N268" s="255">
        <v>11.8</v>
      </c>
      <c r="O268" s="255">
        <v>23.8</v>
      </c>
      <c r="P268" s="255">
        <v>35.700000000000003</v>
      </c>
      <c r="Q268" s="255">
        <v>12.8</v>
      </c>
      <c r="R268" s="255">
        <v>8.6</v>
      </c>
      <c r="S268" s="255">
        <v>2.8</v>
      </c>
      <c r="T268" s="255">
        <v>11.7</v>
      </c>
      <c r="U268" s="255">
        <v>18.7</v>
      </c>
    </row>
    <row r="269" spans="1:21" ht="15.75" customHeight="1" thickBot="1" x14ac:dyDescent="0.3">
      <c r="A269" s="257">
        <v>268</v>
      </c>
      <c r="B269" s="259" t="s">
        <v>316</v>
      </c>
      <c r="C269" s="255">
        <v>30</v>
      </c>
      <c r="D269" s="255">
        <v>77.099999999999994</v>
      </c>
      <c r="E269" s="255">
        <v>26.7</v>
      </c>
      <c r="F269" s="255">
        <v>57.1</v>
      </c>
      <c r="G269" s="255">
        <v>46.7</v>
      </c>
      <c r="H269" s="255">
        <v>9.1999999999999993</v>
      </c>
      <c r="I269" s="255">
        <v>24.6</v>
      </c>
      <c r="J269" s="255">
        <v>37.200000000000003</v>
      </c>
      <c r="K269" s="255">
        <v>14.6</v>
      </c>
      <c r="L269" s="255">
        <v>20.100000000000001</v>
      </c>
      <c r="M269" s="255">
        <v>72.5</v>
      </c>
      <c r="N269" s="255">
        <v>9.6</v>
      </c>
      <c r="O269" s="255">
        <v>24.2</v>
      </c>
      <c r="P269" s="255">
        <v>33.799999999999997</v>
      </c>
      <c r="Q269" s="255">
        <v>16.3</v>
      </c>
      <c r="R269" s="255">
        <v>6.3</v>
      </c>
      <c r="S269" s="255">
        <v>3.6</v>
      </c>
      <c r="T269" s="255">
        <v>10.1</v>
      </c>
      <c r="U269" s="255">
        <v>17.8</v>
      </c>
    </row>
    <row r="270" spans="1:21" ht="15.75" customHeight="1" thickBot="1" x14ac:dyDescent="0.3">
      <c r="A270" s="257">
        <v>269</v>
      </c>
      <c r="B270" s="259" t="s">
        <v>474</v>
      </c>
      <c r="C270" s="255">
        <v>31</v>
      </c>
      <c r="D270" s="255">
        <v>77.2</v>
      </c>
      <c r="E270" s="255">
        <v>26.9</v>
      </c>
      <c r="F270" s="255">
        <v>57.6</v>
      </c>
      <c r="G270" s="255">
        <v>46.8</v>
      </c>
      <c r="H270" s="255">
        <v>7.9</v>
      </c>
      <c r="I270" s="255">
        <v>21.8</v>
      </c>
      <c r="J270" s="255">
        <v>36.299999999999997</v>
      </c>
      <c r="K270" s="255">
        <v>15.4</v>
      </c>
      <c r="L270" s="255">
        <v>20.2</v>
      </c>
      <c r="M270" s="255">
        <v>76.3</v>
      </c>
      <c r="N270" s="255">
        <v>9.5</v>
      </c>
      <c r="O270" s="255">
        <v>24.2</v>
      </c>
      <c r="P270" s="255">
        <v>33.700000000000003</v>
      </c>
      <c r="Q270" s="255">
        <v>13.3</v>
      </c>
      <c r="R270" s="255">
        <v>5.9</v>
      </c>
      <c r="S270" s="255">
        <v>3.1</v>
      </c>
      <c r="T270" s="255">
        <v>10.7</v>
      </c>
      <c r="U270" s="255">
        <v>17.100000000000001</v>
      </c>
    </row>
    <row r="271" spans="1:21" ht="15.75" customHeight="1" thickBot="1" x14ac:dyDescent="0.3">
      <c r="A271" s="257">
        <v>270</v>
      </c>
      <c r="B271" s="259" t="s">
        <v>193</v>
      </c>
      <c r="C271" s="255">
        <v>32</v>
      </c>
      <c r="D271" s="255">
        <v>77.2</v>
      </c>
      <c r="E271" s="255">
        <v>26.4</v>
      </c>
      <c r="F271" s="255">
        <v>56.5</v>
      </c>
      <c r="G271" s="255">
        <v>46.7</v>
      </c>
      <c r="H271" s="255">
        <v>8.1999999999999993</v>
      </c>
      <c r="I271" s="255">
        <v>23.4</v>
      </c>
      <c r="J271" s="255">
        <v>34.799999999999997</v>
      </c>
      <c r="K271" s="255">
        <v>16.3</v>
      </c>
      <c r="L271" s="255">
        <v>21.9</v>
      </c>
      <c r="M271" s="255">
        <v>74.400000000000006</v>
      </c>
      <c r="N271" s="255">
        <v>8.9</v>
      </c>
      <c r="O271" s="255">
        <v>26.1</v>
      </c>
      <c r="P271" s="255">
        <v>35</v>
      </c>
      <c r="Q271" s="255">
        <v>14</v>
      </c>
      <c r="R271" s="255">
        <v>7.2</v>
      </c>
      <c r="S271" s="255">
        <v>3.2</v>
      </c>
      <c r="T271" s="255">
        <v>11</v>
      </c>
      <c r="U271" s="255">
        <v>16</v>
      </c>
    </row>
    <row r="272" spans="1:21" ht="15.75" customHeight="1" thickBot="1" x14ac:dyDescent="0.3">
      <c r="A272" s="257">
        <v>270</v>
      </c>
      <c r="B272" s="259" t="s">
        <v>191</v>
      </c>
      <c r="C272" s="255">
        <v>32</v>
      </c>
      <c r="D272" s="255">
        <v>77.2</v>
      </c>
      <c r="E272" s="255">
        <v>26.9</v>
      </c>
      <c r="F272" s="255">
        <v>61.3</v>
      </c>
      <c r="G272" s="255">
        <v>43.9</v>
      </c>
      <c r="H272" s="255">
        <v>7.8</v>
      </c>
      <c r="I272" s="255">
        <v>23.9</v>
      </c>
      <c r="J272" s="255">
        <v>32.5</v>
      </c>
      <c r="K272" s="255">
        <v>15.6</v>
      </c>
      <c r="L272" s="255">
        <v>22.3</v>
      </c>
      <c r="M272" s="255">
        <v>70.099999999999994</v>
      </c>
      <c r="N272" s="255">
        <v>10.199999999999999</v>
      </c>
      <c r="O272" s="255">
        <v>23.2</v>
      </c>
      <c r="P272" s="255">
        <v>33.299999999999997</v>
      </c>
      <c r="Q272" s="255">
        <v>13.8</v>
      </c>
      <c r="R272" s="255">
        <v>8.9</v>
      </c>
      <c r="S272" s="255">
        <v>3.3</v>
      </c>
      <c r="T272" s="255">
        <v>11.5</v>
      </c>
      <c r="U272" s="255">
        <v>19.399999999999999</v>
      </c>
    </row>
    <row r="273" spans="1:21" ht="15.75" customHeight="1" thickBot="1" x14ac:dyDescent="0.3">
      <c r="A273" s="257">
        <v>272</v>
      </c>
      <c r="B273" s="259" t="s">
        <v>361</v>
      </c>
      <c r="C273" s="255">
        <v>30</v>
      </c>
      <c r="D273" s="255">
        <v>77.2</v>
      </c>
      <c r="E273" s="255">
        <v>27</v>
      </c>
      <c r="F273" s="255">
        <v>60.2</v>
      </c>
      <c r="G273" s="255">
        <v>44.9</v>
      </c>
      <c r="H273" s="255">
        <v>8.1</v>
      </c>
      <c r="I273" s="255">
        <v>23.5</v>
      </c>
      <c r="J273" s="255">
        <v>34.4</v>
      </c>
      <c r="K273" s="255">
        <v>15.2</v>
      </c>
      <c r="L273" s="255">
        <v>20.5</v>
      </c>
      <c r="M273" s="255">
        <v>74</v>
      </c>
      <c r="N273" s="255">
        <v>11.9</v>
      </c>
      <c r="O273" s="255">
        <v>22.9</v>
      </c>
      <c r="P273" s="255">
        <v>34.799999999999997</v>
      </c>
      <c r="Q273" s="255">
        <v>13.7</v>
      </c>
      <c r="R273" s="255">
        <v>5.7</v>
      </c>
      <c r="S273" s="255">
        <v>3.5</v>
      </c>
      <c r="T273" s="255">
        <v>10.6</v>
      </c>
      <c r="U273" s="255">
        <v>17.600000000000001</v>
      </c>
    </row>
    <row r="274" spans="1:21" ht="15.75" customHeight="1" thickBot="1" x14ac:dyDescent="0.3">
      <c r="A274" s="257">
        <v>273</v>
      </c>
      <c r="B274" s="259" t="s">
        <v>353</v>
      </c>
      <c r="C274" s="255">
        <v>29</v>
      </c>
      <c r="D274" s="255">
        <v>77.2</v>
      </c>
      <c r="E274" s="255">
        <v>27.2</v>
      </c>
      <c r="F274" s="255">
        <v>57</v>
      </c>
      <c r="G274" s="255">
        <v>47.7</v>
      </c>
      <c r="H274" s="255">
        <v>7.4</v>
      </c>
      <c r="I274" s="255">
        <v>21.9</v>
      </c>
      <c r="J274" s="255">
        <v>33.9</v>
      </c>
      <c r="K274" s="255">
        <v>15.5</v>
      </c>
      <c r="L274" s="255">
        <v>21.2</v>
      </c>
      <c r="M274" s="255">
        <v>72.900000000000006</v>
      </c>
      <c r="N274" s="255">
        <v>9.4</v>
      </c>
      <c r="O274" s="255">
        <v>24.3</v>
      </c>
      <c r="P274" s="255">
        <v>33.700000000000003</v>
      </c>
      <c r="Q274" s="255">
        <v>14.5</v>
      </c>
      <c r="R274" s="255">
        <v>8</v>
      </c>
      <c r="S274" s="255">
        <v>4.4000000000000004</v>
      </c>
      <c r="T274" s="255">
        <v>11.7</v>
      </c>
      <c r="U274" s="255">
        <v>18.100000000000001</v>
      </c>
    </row>
    <row r="275" spans="1:21" ht="15.75" customHeight="1" thickBot="1" x14ac:dyDescent="0.3">
      <c r="A275" s="257">
        <v>274</v>
      </c>
      <c r="B275" s="259" t="s">
        <v>258</v>
      </c>
      <c r="C275" s="255">
        <v>32</v>
      </c>
      <c r="D275" s="255">
        <v>77.3</v>
      </c>
      <c r="E275" s="255">
        <v>25.9</v>
      </c>
      <c r="F275" s="255">
        <v>57.6</v>
      </c>
      <c r="G275" s="255">
        <v>44.9</v>
      </c>
      <c r="H275" s="255">
        <v>9.3000000000000007</v>
      </c>
      <c r="I275" s="255">
        <v>26.1</v>
      </c>
      <c r="J275" s="255">
        <v>35.4</v>
      </c>
      <c r="K275" s="255">
        <v>16.3</v>
      </c>
      <c r="L275" s="255">
        <v>22</v>
      </c>
      <c r="M275" s="255">
        <v>74</v>
      </c>
      <c r="N275" s="255">
        <v>9.6</v>
      </c>
      <c r="O275" s="255">
        <v>24.7</v>
      </c>
      <c r="P275" s="255">
        <v>34.299999999999997</v>
      </c>
      <c r="Q275" s="255">
        <v>13.7</v>
      </c>
      <c r="R275" s="255">
        <v>6.3</v>
      </c>
      <c r="S275" s="255">
        <v>3.3</v>
      </c>
      <c r="T275" s="255">
        <v>11.9</v>
      </c>
      <c r="U275" s="255">
        <v>16.5</v>
      </c>
    </row>
    <row r="276" spans="1:21" ht="15.75" customHeight="1" thickBot="1" x14ac:dyDescent="0.3">
      <c r="A276" s="257">
        <v>275</v>
      </c>
      <c r="B276" s="259" t="s">
        <v>186</v>
      </c>
      <c r="C276" s="255">
        <v>31</v>
      </c>
      <c r="D276" s="255">
        <v>77.3</v>
      </c>
      <c r="E276" s="255">
        <v>25.8</v>
      </c>
      <c r="F276" s="255">
        <v>57.5</v>
      </c>
      <c r="G276" s="255">
        <v>44.9</v>
      </c>
      <c r="H276" s="255">
        <v>8</v>
      </c>
      <c r="I276" s="255">
        <v>23.5</v>
      </c>
      <c r="J276" s="255">
        <v>34.1</v>
      </c>
      <c r="K276" s="255">
        <v>17.600000000000001</v>
      </c>
      <c r="L276" s="255">
        <v>24</v>
      </c>
      <c r="M276" s="255">
        <v>73.3</v>
      </c>
      <c r="N276" s="255">
        <v>10.6</v>
      </c>
      <c r="O276" s="255">
        <v>25.6</v>
      </c>
      <c r="P276" s="255">
        <v>36.200000000000003</v>
      </c>
      <c r="Q276" s="255">
        <v>14.1</v>
      </c>
      <c r="R276" s="255">
        <v>7.6</v>
      </c>
      <c r="S276" s="255">
        <v>3.9</v>
      </c>
      <c r="T276" s="255">
        <v>13.9</v>
      </c>
      <c r="U276" s="255">
        <v>17.600000000000001</v>
      </c>
    </row>
    <row r="277" spans="1:21" ht="15.75" customHeight="1" thickBot="1" x14ac:dyDescent="0.3">
      <c r="A277" s="257">
        <v>276</v>
      </c>
      <c r="B277" s="259" t="s">
        <v>360</v>
      </c>
      <c r="C277" s="255">
        <v>30</v>
      </c>
      <c r="D277" s="255">
        <v>77.3</v>
      </c>
      <c r="E277" s="255">
        <v>27.2</v>
      </c>
      <c r="F277" s="255">
        <v>59.2</v>
      </c>
      <c r="G277" s="255">
        <v>45.9</v>
      </c>
      <c r="H277" s="255">
        <v>7.3</v>
      </c>
      <c r="I277" s="255">
        <v>20.3</v>
      </c>
      <c r="J277" s="255">
        <v>36.1</v>
      </c>
      <c r="K277" s="255">
        <v>15.6</v>
      </c>
      <c r="L277" s="255">
        <v>21.4</v>
      </c>
      <c r="M277" s="255">
        <v>72.599999999999994</v>
      </c>
      <c r="N277" s="255">
        <v>11.2</v>
      </c>
      <c r="O277" s="255">
        <v>24.8</v>
      </c>
      <c r="P277" s="255">
        <v>36</v>
      </c>
      <c r="Q277" s="255">
        <v>13.3</v>
      </c>
      <c r="R277" s="255">
        <v>6</v>
      </c>
      <c r="S277" s="255">
        <v>2.8</v>
      </c>
      <c r="T277" s="255">
        <v>12.2</v>
      </c>
      <c r="U277" s="255">
        <v>19.2</v>
      </c>
    </row>
    <row r="278" spans="1:21" ht="15.75" customHeight="1" thickBot="1" x14ac:dyDescent="0.3">
      <c r="A278" s="257">
        <v>276</v>
      </c>
      <c r="B278" s="259" t="s">
        <v>208</v>
      </c>
      <c r="C278" s="255">
        <v>30</v>
      </c>
      <c r="D278" s="255">
        <v>77.3</v>
      </c>
      <c r="E278" s="255">
        <v>29</v>
      </c>
      <c r="F278" s="255">
        <v>63.5</v>
      </c>
      <c r="G278" s="255">
        <v>45.7</v>
      </c>
      <c r="H278" s="255">
        <v>7.8</v>
      </c>
      <c r="I278" s="255">
        <v>23.7</v>
      </c>
      <c r="J278" s="255">
        <v>33</v>
      </c>
      <c r="K278" s="255">
        <v>11.4</v>
      </c>
      <c r="L278" s="255">
        <v>15.8</v>
      </c>
      <c r="M278" s="255">
        <v>72.2</v>
      </c>
      <c r="N278" s="255">
        <v>10.8</v>
      </c>
      <c r="O278" s="255">
        <v>23.4</v>
      </c>
      <c r="P278" s="255">
        <v>34.200000000000003</v>
      </c>
      <c r="Q278" s="255">
        <v>15.4</v>
      </c>
      <c r="R278" s="255">
        <v>6.8</v>
      </c>
      <c r="S278" s="255">
        <v>4.7</v>
      </c>
      <c r="T278" s="255">
        <v>10.8</v>
      </c>
      <c r="U278" s="255">
        <v>20.399999999999999</v>
      </c>
    </row>
    <row r="279" spans="1:21" ht="15.75" customHeight="1" thickBot="1" x14ac:dyDescent="0.3">
      <c r="A279" s="257">
        <v>278</v>
      </c>
      <c r="B279" s="259" t="s">
        <v>270</v>
      </c>
      <c r="C279" s="255">
        <v>30</v>
      </c>
      <c r="D279" s="255">
        <v>77.400000000000006</v>
      </c>
      <c r="E279" s="255">
        <v>26.6</v>
      </c>
      <c r="F279" s="255">
        <v>62.5</v>
      </c>
      <c r="G279" s="255">
        <v>42.5</v>
      </c>
      <c r="H279" s="255">
        <v>9.1999999999999993</v>
      </c>
      <c r="I279" s="255">
        <v>27.7</v>
      </c>
      <c r="J279" s="255">
        <v>33.1</v>
      </c>
      <c r="K279" s="255">
        <v>15.1</v>
      </c>
      <c r="L279" s="255">
        <v>21.2</v>
      </c>
      <c r="M279" s="255">
        <v>71.2</v>
      </c>
      <c r="N279" s="255">
        <v>11.7</v>
      </c>
      <c r="O279" s="255">
        <v>25.2</v>
      </c>
      <c r="P279" s="255">
        <v>36.9</v>
      </c>
      <c r="Q279" s="255">
        <v>14.9</v>
      </c>
      <c r="R279" s="255">
        <v>8</v>
      </c>
      <c r="S279" s="255">
        <v>4.4000000000000004</v>
      </c>
      <c r="T279" s="255">
        <v>11.3</v>
      </c>
      <c r="U279" s="255">
        <v>17.100000000000001</v>
      </c>
    </row>
    <row r="280" spans="1:21" ht="15.75" customHeight="1" thickBot="1" x14ac:dyDescent="0.3">
      <c r="A280" s="257">
        <v>279</v>
      </c>
      <c r="B280" s="259" t="s">
        <v>447</v>
      </c>
      <c r="C280" s="255">
        <v>30</v>
      </c>
      <c r="D280" s="255">
        <v>77.400000000000006</v>
      </c>
      <c r="E280" s="255">
        <v>26.7</v>
      </c>
      <c r="F280" s="255">
        <v>62.1</v>
      </c>
      <c r="G280" s="255">
        <v>43</v>
      </c>
      <c r="H280" s="255">
        <v>7.8</v>
      </c>
      <c r="I280" s="255">
        <v>25.4</v>
      </c>
      <c r="J280" s="255">
        <v>30.8</v>
      </c>
      <c r="K280" s="255">
        <v>16.100000000000001</v>
      </c>
      <c r="L280" s="255">
        <v>20.7</v>
      </c>
      <c r="M280" s="255">
        <v>77.8</v>
      </c>
      <c r="N280" s="255">
        <v>11.6</v>
      </c>
      <c r="O280" s="255">
        <v>22.5</v>
      </c>
      <c r="P280" s="255">
        <v>34.1</v>
      </c>
      <c r="Q280" s="255">
        <v>14.5</v>
      </c>
      <c r="R280" s="255">
        <v>7.6</v>
      </c>
      <c r="S280" s="255">
        <v>3.3</v>
      </c>
      <c r="T280" s="255">
        <v>12.2</v>
      </c>
      <c r="U280" s="255">
        <v>20.9</v>
      </c>
    </row>
    <row r="281" spans="1:21" ht="15.75" customHeight="1" thickBot="1" x14ac:dyDescent="0.3">
      <c r="A281" s="257">
        <v>280</v>
      </c>
      <c r="B281" s="259" t="s">
        <v>345</v>
      </c>
      <c r="C281" s="255">
        <v>29</v>
      </c>
      <c r="D281" s="255">
        <v>77.5</v>
      </c>
      <c r="E281" s="255">
        <v>27</v>
      </c>
      <c r="F281" s="255">
        <v>59.7</v>
      </c>
      <c r="G281" s="255">
        <v>45.2</v>
      </c>
      <c r="H281" s="255">
        <v>8.1999999999999993</v>
      </c>
      <c r="I281" s="255">
        <v>22.7</v>
      </c>
      <c r="J281" s="255">
        <v>36.200000000000003</v>
      </c>
      <c r="K281" s="255">
        <v>15.3</v>
      </c>
      <c r="L281" s="255">
        <v>22.1</v>
      </c>
      <c r="M281" s="255">
        <v>69.099999999999994</v>
      </c>
      <c r="N281" s="255">
        <v>10.199999999999999</v>
      </c>
      <c r="O281" s="255">
        <v>22.8</v>
      </c>
      <c r="P281" s="255">
        <v>33.1</v>
      </c>
      <c r="Q281" s="255">
        <v>15.5</v>
      </c>
      <c r="R281" s="255">
        <v>6.6</v>
      </c>
      <c r="S281" s="255">
        <v>3</v>
      </c>
      <c r="T281" s="255">
        <v>9.9</v>
      </c>
      <c r="U281" s="255">
        <v>20.100000000000001</v>
      </c>
    </row>
    <row r="282" spans="1:21" ht="15.75" customHeight="1" thickBot="1" x14ac:dyDescent="0.3">
      <c r="A282" s="257">
        <v>281</v>
      </c>
      <c r="B282" s="259" t="s">
        <v>317</v>
      </c>
      <c r="C282" s="255">
        <v>31</v>
      </c>
      <c r="D282" s="255">
        <v>77.5</v>
      </c>
      <c r="E282" s="255">
        <v>25.5</v>
      </c>
      <c r="F282" s="255">
        <v>57</v>
      </c>
      <c r="G282" s="255">
        <v>44.8</v>
      </c>
      <c r="H282" s="255">
        <v>7.8</v>
      </c>
      <c r="I282" s="255">
        <v>24.3</v>
      </c>
      <c r="J282" s="255">
        <v>32.1</v>
      </c>
      <c r="K282" s="255">
        <v>18.600000000000001</v>
      </c>
      <c r="L282" s="255">
        <v>25.5</v>
      </c>
      <c r="M282" s="255">
        <v>73.099999999999994</v>
      </c>
      <c r="N282" s="255">
        <v>8.6999999999999993</v>
      </c>
      <c r="O282" s="255">
        <v>23.6</v>
      </c>
      <c r="P282" s="255">
        <v>32.299999999999997</v>
      </c>
      <c r="Q282" s="255">
        <v>14.8</v>
      </c>
      <c r="R282" s="255">
        <v>7.5</v>
      </c>
      <c r="S282" s="255">
        <v>3</v>
      </c>
      <c r="T282" s="255">
        <v>12.4</v>
      </c>
      <c r="U282" s="255">
        <v>19.2</v>
      </c>
    </row>
    <row r="283" spans="1:21" ht="15.75" customHeight="1" thickBot="1" x14ac:dyDescent="0.3">
      <c r="A283" s="257">
        <v>282</v>
      </c>
      <c r="B283" s="259" t="s">
        <v>260</v>
      </c>
      <c r="C283" s="255">
        <v>30</v>
      </c>
      <c r="D283" s="255">
        <v>77.5</v>
      </c>
      <c r="E283" s="255">
        <v>27</v>
      </c>
      <c r="F283" s="255">
        <v>60.8</v>
      </c>
      <c r="G283" s="255">
        <v>44.4</v>
      </c>
      <c r="H283" s="255">
        <v>9.3000000000000007</v>
      </c>
      <c r="I283" s="255">
        <v>27.1</v>
      </c>
      <c r="J283" s="255">
        <v>34.5</v>
      </c>
      <c r="K283" s="255">
        <v>14.2</v>
      </c>
      <c r="L283" s="255">
        <v>19.8</v>
      </c>
      <c r="M283" s="255">
        <v>71.8</v>
      </c>
      <c r="N283" s="255">
        <v>11.8</v>
      </c>
      <c r="O283" s="255">
        <v>26.2</v>
      </c>
      <c r="P283" s="255">
        <v>38</v>
      </c>
      <c r="Q283" s="255">
        <v>15.3</v>
      </c>
      <c r="R283" s="255">
        <v>6.8</v>
      </c>
      <c r="S283" s="255">
        <v>4</v>
      </c>
      <c r="T283" s="255">
        <v>13.6</v>
      </c>
      <c r="U283" s="255">
        <v>17.899999999999999</v>
      </c>
    </row>
    <row r="284" spans="1:21" ht="15.75" customHeight="1" thickBot="1" x14ac:dyDescent="0.3">
      <c r="A284" s="257">
        <v>283</v>
      </c>
      <c r="B284" s="259" t="s">
        <v>366</v>
      </c>
      <c r="C284" s="255">
        <v>33</v>
      </c>
      <c r="D284" s="255">
        <v>77.5</v>
      </c>
      <c r="E284" s="255">
        <v>26.9</v>
      </c>
      <c r="F284" s="255">
        <v>59.3</v>
      </c>
      <c r="G284" s="255">
        <v>45.4</v>
      </c>
      <c r="H284" s="255">
        <v>7.8</v>
      </c>
      <c r="I284" s="255">
        <v>21.9</v>
      </c>
      <c r="J284" s="255">
        <v>35.6</v>
      </c>
      <c r="K284" s="255">
        <v>15.9</v>
      </c>
      <c r="L284" s="255">
        <v>22.8</v>
      </c>
      <c r="M284" s="255">
        <v>69.599999999999994</v>
      </c>
      <c r="N284" s="255">
        <v>10.8</v>
      </c>
      <c r="O284" s="255">
        <v>24.6</v>
      </c>
      <c r="P284" s="255">
        <v>35.5</v>
      </c>
      <c r="Q284" s="255">
        <v>12.4</v>
      </c>
      <c r="R284" s="255">
        <v>7.7</v>
      </c>
      <c r="S284" s="255">
        <v>3.1</v>
      </c>
      <c r="T284" s="255">
        <v>10.9</v>
      </c>
      <c r="U284" s="255">
        <v>17.5</v>
      </c>
    </row>
    <row r="285" spans="1:21" ht="15.75" customHeight="1" thickBot="1" x14ac:dyDescent="0.3">
      <c r="A285" s="257">
        <v>284</v>
      </c>
      <c r="B285" s="259" t="s">
        <v>344</v>
      </c>
      <c r="C285" s="255">
        <v>30</v>
      </c>
      <c r="D285" s="255">
        <v>77.599999999999994</v>
      </c>
      <c r="E285" s="255">
        <v>27.6</v>
      </c>
      <c r="F285" s="255">
        <v>58.3</v>
      </c>
      <c r="G285" s="255">
        <v>47.3</v>
      </c>
      <c r="H285" s="255">
        <v>9.1999999999999993</v>
      </c>
      <c r="I285" s="255">
        <v>25.2</v>
      </c>
      <c r="J285" s="255">
        <v>36.299999999999997</v>
      </c>
      <c r="K285" s="255">
        <v>13.3</v>
      </c>
      <c r="L285" s="255">
        <v>17.399999999999999</v>
      </c>
      <c r="M285" s="255">
        <v>76.400000000000006</v>
      </c>
      <c r="N285" s="255">
        <v>10.199999999999999</v>
      </c>
      <c r="O285" s="255">
        <v>24</v>
      </c>
      <c r="P285" s="255">
        <v>34.200000000000003</v>
      </c>
      <c r="Q285" s="255">
        <v>15.4</v>
      </c>
      <c r="R285" s="255">
        <v>7.3</v>
      </c>
      <c r="S285" s="255">
        <v>3.5</v>
      </c>
      <c r="T285" s="255">
        <v>9.9</v>
      </c>
      <c r="U285" s="255">
        <v>17.7</v>
      </c>
    </row>
    <row r="286" spans="1:21" ht="15.75" customHeight="1" thickBot="1" x14ac:dyDescent="0.3">
      <c r="A286" s="257">
        <v>285</v>
      </c>
      <c r="B286" s="259" t="s">
        <v>463</v>
      </c>
      <c r="C286" s="255">
        <v>31</v>
      </c>
      <c r="D286" s="255">
        <v>77.599999999999994</v>
      </c>
      <c r="E286" s="255">
        <v>27.6</v>
      </c>
      <c r="F286" s="255">
        <v>59.6</v>
      </c>
      <c r="G286" s="255">
        <v>46.3</v>
      </c>
      <c r="H286" s="255">
        <v>7.8</v>
      </c>
      <c r="I286" s="255">
        <v>22</v>
      </c>
      <c r="J286" s="255">
        <v>35.299999999999997</v>
      </c>
      <c r="K286" s="255">
        <v>14.7</v>
      </c>
      <c r="L286" s="255">
        <v>19.7</v>
      </c>
      <c r="M286" s="255">
        <v>74.3</v>
      </c>
      <c r="N286" s="255">
        <v>9.6</v>
      </c>
      <c r="O286" s="255">
        <v>22.5</v>
      </c>
      <c r="P286" s="255">
        <v>32.1</v>
      </c>
      <c r="Q286" s="255">
        <v>13.5</v>
      </c>
      <c r="R286" s="255">
        <v>7.3</v>
      </c>
      <c r="S286" s="255">
        <v>2.9</v>
      </c>
      <c r="T286" s="255">
        <v>10.1</v>
      </c>
      <c r="U286" s="255">
        <v>16.899999999999999</v>
      </c>
    </row>
    <row r="287" spans="1:21" ht="15.75" customHeight="1" thickBot="1" x14ac:dyDescent="0.3">
      <c r="A287" s="257">
        <v>285</v>
      </c>
      <c r="B287" s="259" t="s">
        <v>215</v>
      </c>
      <c r="C287" s="255">
        <v>31</v>
      </c>
      <c r="D287" s="255">
        <v>77.599999999999994</v>
      </c>
      <c r="E287" s="255">
        <v>28.2</v>
      </c>
      <c r="F287" s="255">
        <v>58.4</v>
      </c>
      <c r="G287" s="255">
        <v>48.2</v>
      </c>
      <c r="H287" s="255">
        <v>6.2</v>
      </c>
      <c r="I287" s="255">
        <v>17.2</v>
      </c>
      <c r="J287" s="255">
        <v>36.299999999999997</v>
      </c>
      <c r="K287" s="255">
        <v>15.1</v>
      </c>
      <c r="L287" s="255">
        <v>20.7</v>
      </c>
      <c r="M287" s="255">
        <v>72.7</v>
      </c>
      <c r="N287" s="255">
        <v>10.1</v>
      </c>
      <c r="O287" s="255">
        <v>23.3</v>
      </c>
      <c r="P287" s="255">
        <v>33.4</v>
      </c>
      <c r="Q287" s="255">
        <v>14</v>
      </c>
      <c r="R287" s="255">
        <v>6.8</v>
      </c>
      <c r="S287" s="255">
        <v>4</v>
      </c>
      <c r="T287" s="255">
        <v>12.5</v>
      </c>
      <c r="U287" s="255">
        <v>19.3</v>
      </c>
    </row>
    <row r="288" spans="1:21" ht="15.75" customHeight="1" thickBot="1" x14ac:dyDescent="0.3">
      <c r="A288" s="257">
        <v>287</v>
      </c>
      <c r="B288" s="259" t="s">
        <v>190</v>
      </c>
      <c r="C288" s="255">
        <v>30</v>
      </c>
      <c r="D288" s="255">
        <v>77.599999999999994</v>
      </c>
      <c r="E288" s="255">
        <v>27</v>
      </c>
      <c r="F288" s="255">
        <v>59.5</v>
      </c>
      <c r="G288" s="255">
        <v>45.3</v>
      </c>
      <c r="H288" s="255">
        <v>8.4</v>
      </c>
      <c r="I288" s="255">
        <v>23.8</v>
      </c>
      <c r="J288" s="255">
        <v>35.200000000000003</v>
      </c>
      <c r="K288" s="255">
        <v>15.3</v>
      </c>
      <c r="L288" s="255">
        <v>20.6</v>
      </c>
      <c r="M288" s="255">
        <v>74.599999999999994</v>
      </c>
      <c r="N288" s="255">
        <v>12.2</v>
      </c>
      <c r="O288" s="255">
        <v>24.3</v>
      </c>
      <c r="P288" s="255">
        <v>36.4</v>
      </c>
      <c r="Q288" s="255">
        <v>15</v>
      </c>
      <c r="R288" s="255">
        <v>7</v>
      </c>
      <c r="S288" s="255">
        <v>3.6</v>
      </c>
      <c r="T288" s="255">
        <v>13.4</v>
      </c>
      <c r="U288" s="255">
        <v>20.2</v>
      </c>
    </row>
    <row r="289" spans="1:21" ht="15.75" customHeight="1" thickBot="1" x14ac:dyDescent="0.3">
      <c r="A289" s="257">
        <v>288</v>
      </c>
      <c r="B289" s="259" t="s">
        <v>294</v>
      </c>
      <c r="C289" s="255">
        <v>30</v>
      </c>
      <c r="D289" s="255">
        <v>77.7</v>
      </c>
      <c r="E289" s="255">
        <v>26.8</v>
      </c>
      <c r="F289" s="255">
        <v>60.4</v>
      </c>
      <c r="G289" s="255">
        <v>44.3</v>
      </c>
      <c r="H289" s="255">
        <v>8.1999999999999993</v>
      </c>
      <c r="I289" s="255">
        <v>22.9</v>
      </c>
      <c r="J289" s="255">
        <v>35.9</v>
      </c>
      <c r="K289" s="255">
        <v>15.9</v>
      </c>
      <c r="L289" s="255">
        <v>22.9</v>
      </c>
      <c r="M289" s="255">
        <v>69.7</v>
      </c>
      <c r="N289" s="255">
        <v>11.7</v>
      </c>
      <c r="O289" s="255">
        <v>22.4</v>
      </c>
      <c r="P289" s="255">
        <v>34.200000000000003</v>
      </c>
      <c r="Q289" s="255">
        <v>12.5</v>
      </c>
      <c r="R289" s="255">
        <v>6.4</v>
      </c>
      <c r="S289" s="255">
        <v>3.2</v>
      </c>
      <c r="T289" s="255">
        <v>10</v>
      </c>
      <c r="U289" s="255">
        <v>19</v>
      </c>
    </row>
    <row r="290" spans="1:21" ht="15.75" customHeight="1" thickBot="1" x14ac:dyDescent="0.3">
      <c r="A290" s="257">
        <v>289</v>
      </c>
      <c r="B290" s="259" t="s">
        <v>428</v>
      </c>
      <c r="C290" s="255">
        <v>29</v>
      </c>
      <c r="D290" s="255">
        <v>77.7</v>
      </c>
      <c r="E290" s="255">
        <v>25.8</v>
      </c>
      <c r="F290" s="255">
        <v>58.6</v>
      </c>
      <c r="G290" s="255">
        <v>44.1</v>
      </c>
      <c r="H290" s="255">
        <v>8.1999999999999993</v>
      </c>
      <c r="I290" s="255">
        <v>24.8</v>
      </c>
      <c r="J290" s="255">
        <v>33.200000000000003</v>
      </c>
      <c r="K290" s="255">
        <v>17.8</v>
      </c>
      <c r="L290" s="255">
        <v>25.3</v>
      </c>
      <c r="M290" s="255">
        <v>70.5</v>
      </c>
      <c r="N290" s="255">
        <v>10.9</v>
      </c>
      <c r="O290" s="255">
        <v>24.8</v>
      </c>
      <c r="P290" s="255">
        <v>35.700000000000003</v>
      </c>
      <c r="Q290" s="255">
        <v>13.7</v>
      </c>
      <c r="R290" s="255">
        <v>7.9</v>
      </c>
      <c r="S290" s="255">
        <v>3.2</v>
      </c>
      <c r="T290" s="255">
        <v>12.4</v>
      </c>
      <c r="U290" s="255">
        <v>18.2</v>
      </c>
    </row>
    <row r="291" spans="1:21" ht="15.75" customHeight="1" thickBot="1" x14ac:dyDescent="0.3">
      <c r="A291" s="257">
        <v>290</v>
      </c>
      <c r="B291" s="259" t="s">
        <v>467</v>
      </c>
      <c r="C291" s="255">
        <v>29</v>
      </c>
      <c r="D291" s="255">
        <v>77.8</v>
      </c>
      <c r="E291" s="255">
        <v>26.3</v>
      </c>
      <c r="F291" s="255">
        <v>56.9</v>
      </c>
      <c r="G291" s="255">
        <v>46.2</v>
      </c>
      <c r="H291" s="255">
        <v>8.9</v>
      </c>
      <c r="I291" s="255">
        <v>24.7</v>
      </c>
      <c r="J291" s="255">
        <v>36.200000000000003</v>
      </c>
      <c r="K291" s="255">
        <v>16.3</v>
      </c>
      <c r="L291" s="255">
        <v>22</v>
      </c>
      <c r="M291" s="255">
        <v>74.099999999999994</v>
      </c>
      <c r="N291" s="255">
        <v>8.5</v>
      </c>
      <c r="O291" s="255">
        <v>24.1</v>
      </c>
      <c r="P291" s="255">
        <v>32.6</v>
      </c>
      <c r="Q291" s="255">
        <v>12.7</v>
      </c>
      <c r="R291" s="255">
        <v>6</v>
      </c>
      <c r="S291" s="255">
        <v>2.7</v>
      </c>
      <c r="T291" s="255">
        <v>10.9</v>
      </c>
      <c r="U291" s="255">
        <v>15.5</v>
      </c>
    </row>
    <row r="292" spans="1:21" ht="15.75" customHeight="1" thickBot="1" x14ac:dyDescent="0.3">
      <c r="A292" s="257">
        <v>291</v>
      </c>
      <c r="B292" s="259" t="s">
        <v>472</v>
      </c>
      <c r="C292" s="255">
        <v>30</v>
      </c>
      <c r="D292" s="255">
        <v>77.8</v>
      </c>
      <c r="E292" s="255">
        <v>27</v>
      </c>
      <c r="F292" s="255">
        <v>61.8</v>
      </c>
      <c r="G292" s="255">
        <v>43.7</v>
      </c>
      <c r="H292" s="255">
        <v>9</v>
      </c>
      <c r="I292" s="255">
        <v>27.6</v>
      </c>
      <c r="J292" s="255">
        <v>32.4</v>
      </c>
      <c r="K292" s="255">
        <v>14.8</v>
      </c>
      <c r="L292" s="255">
        <v>21</v>
      </c>
      <c r="M292" s="255">
        <v>70.5</v>
      </c>
      <c r="N292" s="255">
        <v>11.4</v>
      </c>
      <c r="O292" s="255">
        <v>24.1</v>
      </c>
      <c r="P292" s="255">
        <v>35.6</v>
      </c>
      <c r="Q292" s="255">
        <v>14.6</v>
      </c>
      <c r="R292" s="255">
        <v>7.3</v>
      </c>
      <c r="S292" s="255">
        <v>3.3</v>
      </c>
      <c r="T292" s="255">
        <v>14.3</v>
      </c>
      <c r="U292" s="255">
        <v>20.7</v>
      </c>
    </row>
    <row r="293" spans="1:21" ht="15.75" customHeight="1" thickBot="1" x14ac:dyDescent="0.3">
      <c r="A293" s="257">
        <v>292</v>
      </c>
      <c r="B293" s="259" t="s">
        <v>401</v>
      </c>
      <c r="C293" s="255">
        <v>30</v>
      </c>
      <c r="D293" s="255">
        <v>77.900000000000006</v>
      </c>
      <c r="E293" s="255">
        <v>27.4</v>
      </c>
      <c r="F293" s="255">
        <v>55.7</v>
      </c>
      <c r="G293" s="255">
        <v>49.2</v>
      </c>
      <c r="H293" s="255">
        <v>7.9</v>
      </c>
      <c r="I293" s="255">
        <v>22.1</v>
      </c>
      <c r="J293" s="255">
        <v>35.799999999999997</v>
      </c>
      <c r="K293" s="255">
        <v>15.2</v>
      </c>
      <c r="L293" s="255">
        <v>19.7</v>
      </c>
      <c r="M293" s="255">
        <v>77.2</v>
      </c>
      <c r="N293" s="255">
        <v>10.3</v>
      </c>
      <c r="O293" s="255">
        <v>24.2</v>
      </c>
      <c r="P293" s="255">
        <v>34.5</v>
      </c>
      <c r="Q293" s="255">
        <v>15.9</v>
      </c>
      <c r="R293" s="255">
        <v>5.5</v>
      </c>
      <c r="S293" s="255">
        <v>3.1</v>
      </c>
      <c r="T293" s="255">
        <v>11.4</v>
      </c>
      <c r="U293" s="255">
        <v>16.399999999999999</v>
      </c>
    </row>
    <row r="294" spans="1:21" ht="15.75" customHeight="1" thickBot="1" x14ac:dyDescent="0.3">
      <c r="A294" s="257">
        <v>293</v>
      </c>
      <c r="B294" s="259" t="s">
        <v>303</v>
      </c>
      <c r="C294" s="255">
        <v>31</v>
      </c>
      <c r="D294" s="255">
        <v>77.900000000000006</v>
      </c>
      <c r="E294" s="255">
        <v>26.7</v>
      </c>
      <c r="F294" s="255">
        <v>56.5</v>
      </c>
      <c r="G294" s="255">
        <v>47.2</v>
      </c>
      <c r="H294" s="255">
        <v>6.8</v>
      </c>
      <c r="I294" s="255">
        <v>19.5</v>
      </c>
      <c r="J294" s="255">
        <v>35</v>
      </c>
      <c r="K294" s="255">
        <v>17.7</v>
      </c>
      <c r="L294" s="255">
        <v>23.5</v>
      </c>
      <c r="M294" s="255">
        <v>75.2</v>
      </c>
      <c r="N294" s="255">
        <v>8.8000000000000007</v>
      </c>
      <c r="O294" s="255">
        <v>25.6</v>
      </c>
      <c r="P294" s="255">
        <v>34.4</v>
      </c>
      <c r="Q294" s="255">
        <v>14.2</v>
      </c>
      <c r="R294" s="255">
        <v>6.6</v>
      </c>
      <c r="S294" s="255">
        <v>2.7</v>
      </c>
      <c r="T294" s="255">
        <v>13.2</v>
      </c>
      <c r="U294" s="255">
        <v>16.7</v>
      </c>
    </row>
    <row r="295" spans="1:21" ht="15.75" customHeight="1" thickBot="1" x14ac:dyDescent="0.3">
      <c r="A295" s="257">
        <v>294</v>
      </c>
      <c r="B295" s="259" t="s">
        <v>137</v>
      </c>
      <c r="C295" s="255">
        <v>32</v>
      </c>
      <c r="D295" s="255">
        <v>77.900000000000006</v>
      </c>
      <c r="E295" s="255">
        <v>27.7</v>
      </c>
      <c r="F295" s="255">
        <v>58.8</v>
      </c>
      <c r="G295" s="255">
        <v>47.1</v>
      </c>
      <c r="H295" s="255">
        <v>6.2</v>
      </c>
      <c r="I295" s="255">
        <v>18.3</v>
      </c>
      <c r="J295" s="255">
        <v>33.700000000000003</v>
      </c>
      <c r="K295" s="255">
        <v>16.3</v>
      </c>
      <c r="L295" s="255">
        <v>23.1</v>
      </c>
      <c r="M295" s="255">
        <v>70.5</v>
      </c>
      <c r="N295" s="255">
        <v>10.3</v>
      </c>
      <c r="O295" s="255">
        <v>25.3</v>
      </c>
      <c r="P295" s="255">
        <v>35.6</v>
      </c>
      <c r="Q295" s="255">
        <v>13.7</v>
      </c>
      <c r="R295" s="255">
        <v>7</v>
      </c>
      <c r="S295" s="255">
        <v>3</v>
      </c>
      <c r="T295" s="255">
        <v>11.2</v>
      </c>
      <c r="U295" s="255">
        <v>17.100000000000001</v>
      </c>
    </row>
    <row r="296" spans="1:21" ht="15.75" customHeight="1" thickBot="1" x14ac:dyDescent="0.3">
      <c r="A296" s="257">
        <v>295</v>
      </c>
      <c r="B296" s="259" t="s">
        <v>363</v>
      </c>
      <c r="C296" s="255">
        <v>33</v>
      </c>
      <c r="D296" s="255">
        <v>77.900000000000006</v>
      </c>
      <c r="E296" s="255">
        <v>26.3</v>
      </c>
      <c r="F296" s="255">
        <v>59.4</v>
      </c>
      <c r="G296" s="255">
        <v>44.3</v>
      </c>
      <c r="H296" s="255">
        <v>6.9</v>
      </c>
      <c r="I296" s="255">
        <v>21.5</v>
      </c>
      <c r="J296" s="255">
        <v>32.1</v>
      </c>
      <c r="K296" s="255">
        <v>18.3</v>
      </c>
      <c r="L296" s="255">
        <v>24.7</v>
      </c>
      <c r="M296" s="255">
        <v>74</v>
      </c>
      <c r="N296" s="255">
        <v>10.8</v>
      </c>
      <c r="O296" s="255">
        <v>26.4</v>
      </c>
      <c r="P296" s="255">
        <v>37.200000000000003</v>
      </c>
      <c r="Q296" s="255">
        <v>13.5</v>
      </c>
      <c r="R296" s="255">
        <v>6.5</v>
      </c>
      <c r="S296" s="255">
        <v>4.2</v>
      </c>
      <c r="T296" s="255">
        <v>10.3</v>
      </c>
      <c r="U296" s="255">
        <v>17.399999999999999</v>
      </c>
    </row>
    <row r="297" spans="1:21" ht="15.75" customHeight="1" thickBot="1" x14ac:dyDescent="0.3">
      <c r="A297" s="257">
        <v>296</v>
      </c>
      <c r="B297" s="259" t="s">
        <v>314</v>
      </c>
      <c r="C297" s="255">
        <v>31</v>
      </c>
      <c r="D297" s="255">
        <v>77.900000000000006</v>
      </c>
      <c r="E297" s="255">
        <v>26.1</v>
      </c>
      <c r="F297" s="255">
        <v>60.2</v>
      </c>
      <c r="G297" s="255">
        <v>43.4</v>
      </c>
      <c r="H297" s="255">
        <v>8.1</v>
      </c>
      <c r="I297" s="255">
        <v>24</v>
      </c>
      <c r="J297" s="255">
        <v>33.700000000000003</v>
      </c>
      <c r="K297" s="255">
        <v>17.600000000000001</v>
      </c>
      <c r="L297" s="255">
        <v>24.4</v>
      </c>
      <c r="M297" s="255">
        <v>72.2</v>
      </c>
      <c r="N297" s="255">
        <v>12.5</v>
      </c>
      <c r="O297" s="255">
        <v>23.6</v>
      </c>
      <c r="P297" s="255">
        <v>36.1</v>
      </c>
      <c r="Q297" s="255">
        <v>12.1</v>
      </c>
      <c r="R297" s="255">
        <v>7.2</v>
      </c>
      <c r="S297" s="255">
        <v>2.6</v>
      </c>
      <c r="T297" s="255">
        <v>11.7</v>
      </c>
      <c r="U297" s="255">
        <v>17</v>
      </c>
    </row>
    <row r="298" spans="1:21" ht="15.75" customHeight="1" thickBot="1" x14ac:dyDescent="0.3">
      <c r="A298" s="257">
        <v>297</v>
      </c>
      <c r="B298" s="259" t="s">
        <v>98</v>
      </c>
      <c r="C298" s="255">
        <v>30</v>
      </c>
      <c r="D298" s="255">
        <v>78</v>
      </c>
      <c r="E298" s="255">
        <v>26.8</v>
      </c>
      <c r="F298" s="255">
        <v>62</v>
      </c>
      <c r="G298" s="255">
        <v>43.3</v>
      </c>
      <c r="H298" s="255">
        <v>9.8000000000000007</v>
      </c>
      <c r="I298" s="255">
        <v>28.9</v>
      </c>
      <c r="J298" s="255">
        <v>33.9</v>
      </c>
      <c r="K298" s="255">
        <v>14.5</v>
      </c>
      <c r="L298" s="255">
        <v>20</v>
      </c>
      <c r="M298" s="255">
        <v>72.400000000000006</v>
      </c>
      <c r="N298" s="255">
        <v>12</v>
      </c>
      <c r="O298" s="255">
        <v>22.4</v>
      </c>
      <c r="P298" s="255">
        <v>34.4</v>
      </c>
      <c r="Q298" s="255">
        <v>16.399999999999999</v>
      </c>
      <c r="R298" s="255">
        <v>6.7</v>
      </c>
      <c r="S298" s="255">
        <v>3.1</v>
      </c>
      <c r="T298" s="255">
        <v>12.4</v>
      </c>
      <c r="U298" s="255">
        <v>17.5</v>
      </c>
    </row>
    <row r="299" spans="1:21" ht="15.75" customHeight="1" thickBot="1" x14ac:dyDescent="0.3">
      <c r="A299" s="257">
        <v>298</v>
      </c>
      <c r="B299" s="259" t="s">
        <v>252</v>
      </c>
      <c r="C299" s="255">
        <v>31</v>
      </c>
      <c r="D299" s="255">
        <v>78.099999999999994</v>
      </c>
      <c r="E299" s="255">
        <v>27.3</v>
      </c>
      <c r="F299" s="255">
        <v>59.9</v>
      </c>
      <c r="G299" s="255">
        <v>45.6</v>
      </c>
      <c r="H299" s="255">
        <v>9.5</v>
      </c>
      <c r="I299" s="255">
        <v>26.6</v>
      </c>
      <c r="J299" s="255">
        <v>35.799999999999997</v>
      </c>
      <c r="K299" s="255">
        <v>13.9</v>
      </c>
      <c r="L299" s="255">
        <v>19.7</v>
      </c>
      <c r="M299" s="255">
        <v>70.400000000000006</v>
      </c>
      <c r="N299" s="255">
        <v>11.5</v>
      </c>
      <c r="O299" s="255">
        <v>24</v>
      </c>
      <c r="P299" s="255">
        <v>35.5</v>
      </c>
      <c r="Q299" s="255">
        <v>15.1</v>
      </c>
      <c r="R299" s="255">
        <v>6.1</v>
      </c>
      <c r="S299" s="255">
        <v>3.5</v>
      </c>
      <c r="T299" s="255">
        <v>11.6</v>
      </c>
      <c r="U299" s="255">
        <v>17.399999999999999</v>
      </c>
    </row>
    <row r="300" spans="1:21" ht="15.75" customHeight="1" thickBot="1" x14ac:dyDescent="0.3">
      <c r="A300" s="257">
        <v>299</v>
      </c>
      <c r="B300" s="259" t="s">
        <v>375</v>
      </c>
      <c r="C300" s="255">
        <v>31</v>
      </c>
      <c r="D300" s="255">
        <v>78.2</v>
      </c>
      <c r="E300" s="255">
        <v>26.5</v>
      </c>
      <c r="F300" s="255">
        <v>59.5</v>
      </c>
      <c r="G300" s="255">
        <v>44.5</v>
      </c>
      <c r="H300" s="255">
        <v>7.2</v>
      </c>
      <c r="I300" s="255">
        <v>21.1</v>
      </c>
      <c r="J300" s="255">
        <v>33.9</v>
      </c>
      <c r="K300" s="255">
        <v>18</v>
      </c>
      <c r="L300" s="255">
        <v>24.7</v>
      </c>
      <c r="M300" s="255">
        <v>72.900000000000006</v>
      </c>
      <c r="N300" s="255">
        <v>11.9</v>
      </c>
      <c r="O300" s="255">
        <v>26.2</v>
      </c>
      <c r="P300" s="255">
        <v>38.1</v>
      </c>
      <c r="Q300" s="255">
        <v>12.7</v>
      </c>
      <c r="R300" s="255">
        <v>6.6</v>
      </c>
      <c r="S300" s="255">
        <v>3.1</v>
      </c>
      <c r="T300" s="255">
        <v>15.9</v>
      </c>
      <c r="U300" s="255">
        <v>20.9</v>
      </c>
    </row>
    <row r="301" spans="1:21" ht="15.75" customHeight="1" thickBot="1" x14ac:dyDescent="0.3">
      <c r="A301" s="257">
        <v>300</v>
      </c>
      <c r="B301" s="259" t="s">
        <v>242</v>
      </c>
      <c r="C301" s="255">
        <v>30</v>
      </c>
      <c r="D301" s="255">
        <v>78.2</v>
      </c>
      <c r="E301" s="255">
        <v>26.7</v>
      </c>
      <c r="F301" s="255">
        <v>60</v>
      </c>
      <c r="G301" s="255">
        <v>44.4</v>
      </c>
      <c r="H301" s="255">
        <v>8.6</v>
      </c>
      <c r="I301" s="255">
        <v>25.8</v>
      </c>
      <c r="J301" s="255">
        <v>33.200000000000003</v>
      </c>
      <c r="K301" s="255">
        <v>16.3</v>
      </c>
      <c r="L301" s="255">
        <v>22.7</v>
      </c>
      <c r="M301" s="255">
        <v>71.8</v>
      </c>
      <c r="N301" s="255">
        <v>10.8</v>
      </c>
      <c r="O301" s="255">
        <v>23.7</v>
      </c>
      <c r="P301" s="255">
        <v>34.5</v>
      </c>
      <c r="Q301" s="255">
        <v>15.5</v>
      </c>
      <c r="R301" s="255">
        <v>6.3</v>
      </c>
      <c r="S301" s="255">
        <v>3.2</v>
      </c>
      <c r="T301" s="255">
        <v>10.199999999999999</v>
      </c>
      <c r="U301" s="255">
        <v>18.100000000000001</v>
      </c>
    </row>
    <row r="302" spans="1:21" ht="15.75" customHeight="1" thickBot="1" x14ac:dyDescent="0.3">
      <c r="A302" s="257">
        <v>301</v>
      </c>
      <c r="B302" s="259" t="s">
        <v>347</v>
      </c>
      <c r="C302" s="255">
        <v>32</v>
      </c>
      <c r="D302" s="255">
        <v>78.2</v>
      </c>
      <c r="E302" s="255">
        <v>26.4</v>
      </c>
      <c r="F302" s="255">
        <v>54.7</v>
      </c>
      <c r="G302" s="255">
        <v>48.3</v>
      </c>
      <c r="H302" s="255">
        <v>8.6</v>
      </c>
      <c r="I302" s="255">
        <v>23.5</v>
      </c>
      <c r="J302" s="255">
        <v>36.799999999999997</v>
      </c>
      <c r="K302" s="255">
        <v>16.8</v>
      </c>
      <c r="L302" s="255">
        <v>23.6</v>
      </c>
      <c r="M302" s="255">
        <v>71.099999999999994</v>
      </c>
      <c r="N302" s="255">
        <v>9.8000000000000007</v>
      </c>
      <c r="O302" s="255">
        <v>26.1</v>
      </c>
      <c r="P302" s="255">
        <v>35.9</v>
      </c>
      <c r="Q302" s="255">
        <v>15.8</v>
      </c>
      <c r="R302" s="255">
        <v>5.3</v>
      </c>
      <c r="S302" s="255">
        <v>3.2</v>
      </c>
      <c r="T302" s="255">
        <v>14.6</v>
      </c>
      <c r="U302" s="255">
        <v>18.5</v>
      </c>
    </row>
    <row r="303" spans="1:21" ht="15.75" customHeight="1" thickBot="1" x14ac:dyDescent="0.3">
      <c r="A303" s="257">
        <v>302</v>
      </c>
      <c r="B303" s="259" t="s">
        <v>414</v>
      </c>
      <c r="C303" s="255">
        <v>31</v>
      </c>
      <c r="D303" s="255">
        <v>78.3</v>
      </c>
      <c r="E303" s="255">
        <v>26.2</v>
      </c>
      <c r="F303" s="255">
        <v>58</v>
      </c>
      <c r="G303" s="255">
        <v>45.1</v>
      </c>
      <c r="H303" s="255">
        <v>7.7</v>
      </c>
      <c r="I303" s="255">
        <v>22.4</v>
      </c>
      <c r="J303" s="255">
        <v>34.5</v>
      </c>
      <c r="K303" s="255">
        <v>18.3</v>
      </c>
      <c r="L303" s="255">
        <v>24.3</v>
      </c>
      <c r="M303" s="255">
        <v>75.3</v>
      </c>
      <c r="N303" s="255">
        <v>10.5</v>
      </c>
      <c r="O303" s="255">
        <v>25.1</v>
      </c>
      <c r="P303" s="255">
        <v>35.700000000000003</v>
      </c>
      <c r="Q303" s="255">
        <v>14</v>
      </c>
      <c r="R303" s="255">
        <v>6.5</v>
      </c>
      <c r="S303" s="255">
        <v>4</v>
      </c>
      <c r="T303" s="255">
        <v>14.9</v>
      </c>
      <c r="U303" s="255">
        <v>19.399999999999999</v>
      </c>
    </row>
    <row r="304" spans="1:21" ht="15.75" customHeight="1" thickBot="1" x14ac:dyDescent="0.3">
      <c r="A304" s="257">
        <v>303</v>
      </c>
      <c r="B304" s="259" t="s">
        <v>259</v>
      </c>
      <c r="C304" s="255">
        <v>30</v>
      </c>
      <c r="D304" s="255">
        <v>78.3</v>
      </c>
      <c r="E304" s="255">
        <v>26.7</v>
      </c>
      <c r="F304" s="255">
        <v>61.5</v>
      </c>
      <c r="G304" s="255">
        <v>43.5</v>
      </c>
      <c r="H304" s="255">
        <v>9.6999999999999993</v>
      </c>
      <c r="I304" s="255">
        <v>27.4</v>
      </c>
      <c r="J304" s="255">
        <v>35.6</v>
      </c>
      <c r="K304" s="255">
        <v>15.1</v>
      </c>
      <c r="L304" s="255">
        <v>21.1</v>
      </c>
      <c r="M304" s="255">
        <v>71.599999999999994</v>
      </c>
      <c r="N304" s="255">
        <v>12.8</v>
      </c>
      <c r="O304" s="255">
        <v>24.3</v>
      </c>
      <c r="P304" s="255">
        <v>37.1</v>
      </c>
      <c r="Q304" s="255">
        <v>16.5</v>
      </c>
      <c r="R304" s="255">
        <v>7.8</v>
      </c>
      <c r="S304" s="255">
        <v>3.5</v>
      </c>
      <c r="T304" s="255">
        <v>15.3</v>
      </c>
      <c r="U304" s="255">
        <v>19</v>
      </c>
    </row>
    <row r="305" spans="1:21" ht="15.75" customHeight="1" thickBot="1" x14ac:dyDescent="0.3">
      <c r="A305" s="257">
        <v>304</v>
      </c>
      <c r="B305" s="259" t="s">
        <v>332</v>
      </c>
      <c r="C305" s="255">
        <v>29</v>
      </c>
      <c r="D305" s="255">
        <v>78.3</v>
      </c>
      <c r="E305" s="255">
        <v>26.4</v>
      </c>
      <c r="F305" s="255">
        <v>57.2</v>
      </c>
      <c r="G305" s="255">
        <v>46.1</v>
      </c>
      <c r="H305" s="255">
        <v>5.9</v>
      </c>
      <c r="I305" s="255">
        <v>18.600000000000001</v>
      </c>
      <c r="J305" s="255">
        <v>31.9</v>
      </c>
      <c r="K305" s="255">
        <v>19.7</v>
      </c>
      <c r="L305" s="255">
        <v>28.7</v>
      </c>
      <c r="M305" s="255">
        <v>68.599999999999994</v>
      </c>
      <c r="N305" s="255">
        <v>11.7</v>
      </c>
      <c r="O305" s="255">
        <v>24.9</v>
      </c>
      <c r="P305" s="255">
        <v>36.6</v>
      </c>
      <c r="Q305" s="255">
        <v>14.9</v>
      </c>
      <c r="R305" s="255">
        <v>6.7</v>
      </c>
      <c r="S305" s="255">
        <v>3.6</v>
      </c>
      <c r="T305" s="255">
        <v>12.1</v>
      </c>
      <c r="U305" s="255">
        <v>19.3</v>
      </c>
    </row>
    <row r="306" spans="1:21" ht="15.75" customHeight="1" thickBot="1" x14ac:dyDescent="0.3">
      <c r="A306" s="257">
        <v>305</v>
      </c>
      <c r="B306" s="259" t="s">
        <v>340</v>
      </c>
      <c r="C306" s="255">
        <v>31</v>
      </c>
      <c r="D306" s="255">
        <v>78.400000000000006</v>
      </c>
      <c r="E306" s="255">
        <v>26.2</v>
      </c>
      <c r="F306" s="255">
        <v>62</v>
      </c>
      <c r="G306" s="255">
        <v>42.3</v>
      </c>
      <c r="H306" s="255">
        <v>8</v>
      </c>
      <c r="I306" s="255">
        <v>24.9</v>
      </c>
      <c r="J306" s="255">
        <v>32</v>
      </c>
      <c r="K306" s="255">
        <v>17.899999999999999</v>
      </c>
      <c r="L306" s="255">
        <v>24.8</v>
      </c>
      <c r="M306" s="255">
        <v>72.3</v>
      </c>
      <c r="N306" s="255">
        <v>13.5</v>
      </c>
      <c r="O306" s="255">
        <v>21.7</v>
      </c>
      <c r="P306" s="255">
        <v>35.299999999999997</v>
      </c>
      <c r="Q306" s="255">
        <v>15.9</v>
      </c>
      <c r="R306" s="255">
        <v>7.8</v>
      </c>
      <c r="S306" s="255">
        <v>3.6</v>
      </c>
      <c r="T306" s="255">
        <v>10.199999999999999</v>
      </c>
      <c r="U306" s="255">
        <v>20.7</v>
      </c>
    </row>
    <row r="307" spans="1:21" ht="15.75" customHeight="1" thickBot="1" x14ac:dyDescent="0.3">
      <c r="A307" s="257">
        <v>306</v>
      </c>
      <c r="B307" s="259" t="s">
        <v>382</v>
      </c>
      <c r="C307" s="255">
        <v>31</v>
      </c>
      <c r="D307" s="255">
        <v>78.5</v>
      </c>
      <c r="E307" s="255">
        <v>27</v>
      </c>
      <c r="F307" s="255">
        <v>59.5</v>
      </c>
      <c r="G307" s="255">
        <v>45.3</v>
      </c>
      <c r="H307" s="255">
        <v>8</v>
      </c>
      <c r="I307" s="255">
        <v>22.8</v>
      </c>
      <c r="J307" s="255">
        <v>35.1</v>
      </c>
      <c r="K307" s="255">
        <v>16.5</v>
      </c>
      <c r="L307" s="255">
        <v>23</v>
      </c>
      <c r="M307" s="255">
        <v>71.900000000000006</v>
      </c>
      <c r="N307" s="255">
        <v>11.1</v>
      </c>
      <c r="O307" s="255">
        <v>25.6</v>
      </c>
      <c r="P307" s="255">
        <v>36.700000000000003</v>
      </c>
      <c r="Q307" s="255">
        <v>14.4</v>
      </c>
      <c r="R307" s="255">
        <v>7.4</v>
      </c>
      <c r="S307" s="255">
        <v>3.1</v>
      </c>
      <c r="T307" s="255">
        <v>13.9</v>
      </c>
      <c r="U307" s="255">
        <v>19.899999999999999</v>
      </c>
    </row>
    <row r="308" spans="1:21" ht="15.75" customHeight="1" thickBot="1" x14ac:dyDescent="0.3">
      <c r="A308" s="257">
        <v>307</v>
      </c>
      <c r="B308" s="259" t="s">
        <v>446</v>
      </c>
      <c r="C308" s="255">
        <v>30</v>
      </c>
      <c r="D308" s="255">
        <v>78.5</v>
      </c>
      <c r="E308" s="255">
        <v>25.8</v>
      </c>
      <c r="F308" s="255">
        <v>56.9</v>
      </c>
      <c r="G308" s="255">
        <v>45.4</v>
      </c>
      <c r="H308" s="255">
        <v>7.5</v>
      </c>
      <c r="I308" s="255">
        <v>21</v>
      </c>
      <c r="J308" s="255">
        <v>35.700000000000003</v>
      </c>
      <c r="K308" s="255">
        <v>19.3</v>
      </c>
      <c r="L308" s="255">
        <v>26.4</v>
      </c>
      <c r="M308" s="255">
        <v>73.099999999999994</v>
      </c>
      <c r="N308" s="255">
        <v>10.8</v>
      </c>
      <c r="O308" s="255">
        <v>23.8</v>
      </c>
      <c r="P308" s="255">
        <v>34.6</v>
      </c>
      <c r="Q308" s="255">
        <v>14.7</v>
      </c>
      <c r="R308" s="255">
        <v>6.3</v>
      </c>
      <c r="S308" s="255">
        <v>2.9</v>
      </c>
      <c r="T308" s="255">
        <v>13</v>
      </c>
      <c r="U308" s="255">
        <v>19.8</v>
      </c>
    </row>
    <row r="309" spans="1:21" ht="15.75" customHeight="1" thickBot="1" x14ac:dyDescent="0.3">
      <c r="A309" s="257">
        <v>308</v>
      </c>
      <c r="B309" s="259" t="s">
        <v>399</v>
      </c>
      <c r="C309" s="255">
        <v>32</v>
      </c>
      <c r="D309" s="255">
        <v>78.5</v>
      </c>
      <c r="E309" s="255">
        <v>27.6</v>
      </c>
      <c r="F309" s="255">
        <v>57.9</v>
      </c>
      <c r="G309" s="255">
        <v>47.6</v>
      </c>
      <c r="H309" s="255">
        <v>7.5</v>
      </c>
      <c r="I309" s="255">
        <v>23.2</v>
      </c>
      <c r="J309" s="255">
        <v>32.5</v>
      </c>
      <c r="K309" s="255">
        <v>15.8</v>
      </c>
      <c r="L309" s="255">
        <v>21.6</v>
      </c>
      <c r="M309" s="255">
        <v>73.3</v>
      </c>
      <c r="N309" s="255">
        <v>11.1</v>
      </c>
      <c r="O309" s="255">
        <v>24.8</v>
      </c>
      <c r="P309" s="255">
        <v>35.9</v>
      </c>
      <c r="Q309" s="255">
        <v>15.7</v>
      </c>
      <c r="R309" s="255">
        <v>7.1</v>
      </c>
      <c r="S309" s="255">
        <v>3.3</v>
      </c>
      <c r="T309" s="255">
        <v>13.4</v>
      </c>
      <c r="U309" s="255">
        <v>16.2</v>
      </c>
    </row>
    <row r="310" spans="1:21" ht="15.75" customHeight="1" thickBot="1" x14ac:dyDescent="0.3">
      <c r="A310" s="257">
        <v>309</v>
      </c>
      <c r="B310" s="259" t="s">
        <v>454</v>
      </c>
      <c r="C310" s="255">
        <v>30</v>
      </c>
      <c r="D310" s="255">
        <v>78.599999999999994</v>
      </c>
      <c r="E310" s="255">
        <v>29.1</v>
      </c>
      <c r="F310" s="255">
        <v>61.1</v>
      </c>
      <c r="G310" s="255">
        <v>47.6</v>
      </c>
      <c r="H310" s="255">
        <v>7.2</v>
      </c>
      <c r="I310" s="255">
        <v>20.7</v>
      </c>
      <c r="J310" s="255">
        <v>34.700000000000003</v>
      </c>
      <c r="K310" s="255">
        <v>13.2</v>
      </c>
      <c r="L310" s="255">
        <v>18.399999999999999</v>
      </c>
      <c r="M310" s="255">
        <v>71.599999999999994</v>
      </c>
      <c r="N310" s="255">
        <v>10.8</v>
      </c>
      <c r="O310" s="255">
        <v>24.3</v>
      </c>
      <c r="P310" s="255">
        <v>35.200000000000003</v>
      </c>
      <c r="Q310" s="255">
        <v>13.9</v>
      </c>
      <c r="R310" s="255">
        <v>6</v>
      </c>
      <c r="S310" s="255">
        <v>4.4000000000000004</v>
      </c>
      <c r="T310" s="255">
        <v>9.4</v>
      </c>
      <c r="U310" s="255">
        <v>15.9</v>
      </c>
    </row>
    <row r="311" spans="1:21" ht="15.75" customHeight="1" thickBot="1" x14ac:dyDescent="0.3">
      <c r="A311" s="257">
        <v>310</v>
      </c>
      <c r="B311" s="259" t="s">
        <v>229</v>
      </c>
      <c r="C311" s="255">
        <v>30</v>
      </c>
      <c r="D311" s="255">
        <v>78.7</v>
      </c>
      <c r="E311" s="255">
        <v>27.5</v>
      </c>
      <c r="F311" s="255">
        <v>59.8</v>
      </c>
      <c r="G311" s="255">
        <v>46</v>
      </c>
      <c r="H311" s="255">
        <v>8.1</v>
      </c>
      <c r="I311" s="255">
        <v>22</v>
      </c>
      <c r="J311" s="255">
        <v>37</v>
      </c>
      <c r="K311" s="255">
        <v>15.5</v>
      </c>
      <c r="L311" s="255">
        <v>21.2</v>
      </c>
      <c r="M311" s="255">
        <v>73.2</v>
      </c>
      <c r="N311" s="255">
        <v>10.199999999999999</v>
      </c>
      <c r="O311" s="255">
        <v>24.1</v>
      </c>
      <c r="P311" s="255">
        <v>34.299999999999997</v>
      </c>
      <c r="Q311" s="255">
        <v>13.8</v>
      </c>
      <c r="R311" s="255">
        <v>5.8</v>
      </c>
      <c r="S311" s="255">
        <v>3.3</v>
      </c>
      <c r="T311" s="255">
        <v>11.1</v>
      </c>
      <c r="U311" s="255">
        <v>18.600000000000001</v>
      </c>
    </row>
    <row r="312" spans="1:21" ht="15.75" customHeight="1" thickBot="1" x14ac:dyDescent="0.3">
      <c r="A312" s="257">
        <v>310</v>
      </c>
      <c r="B312" s="259" t="s">
        <v>87</v>
      </c>
      <c r="C312" s="255">
        <v>30</v>
      </c>
      <c r="D312" s="255">
        <v>78.7</v>
      </c>
      <c r="E312" s="255">
        <v>28.1</v>
      </c>
      <c r="F312" s="255">
        <v>64.900000000000006</v>
      </c>
      <c r="G312" s="255">
        <v>43.3</v>
      </c>
      <c r="H312" s="255">
        <v>8.1</v>
      </c>
      <c r="I312" s="255">
        <v>24.5</v>
      </c>
      <c r="J312" s="255">
        <v>33.200000000000003</v>
      </c>
      <c r="K312" s="255">
        <v>14.4</v>
      </c>
      <c r="L312" s="255">
        <v>20.2</v>
      </c>
      <c r="M312" s="255">
        <v>71.5</v>
      </c>
      <c r="N312" s="255">
        <v>13.9</v>
      </c>
      <c r="O312" s="255">
        <v>23.8</v>
      </c>
      <c r="P312" s="255">
        <v>37.700000000000003</v>
      </c>
      <c r="Q312" s="255">
        <v>13.4</v>
      </c>
      <c r="R312" s="255">
        <v>6.9</v>
      </c>
      <c r="S312" s="255">
        <v>3.5</v>
      </c>
      <c r="T312" s="255">
        <v>13.6</v>
      </c>
      <c r="U312" s="255">
        <v>19</v>
      </c>
    </row>
    <row r="313" spans="1:21" ht="15.75" customHeight="1" thickBot="1" x14ac:dyDescent="0.3">
      <c r="A313" s="257">
        <v>312</v>
      </c>
      <c r="B313" s="259" t="s">
        <v>374</v>
      </c>
      <c r="C313" s="255">
        <v>32</v>
      </c>
      <c r="D313" s="255">
        <v>78.7</v>
      </c>
      <c r="E313" s="255">
        <v>26.9</v>
      </c>
      <c r="F313" s="255">
        <v>60.4</v>
      </c>
      <c r="G313" s="255">
        <v>44.6</v>
      </c>
      <c r="H313" s="255">
        <v>10.3</v>
      </c>
      <c r="I313" s="255">
        <v>28</v>
      </c>
      <c r="J313" s="255">
        <v>36.6</v>
      </c>
      <c r="K313" s="255">
        <v>14.6</v>
      </c>
      <c r="L313" s="255">
        <v>19.5</v>
      </c>
      <c r="M313" s="255">
        <v>74.8</v>
      </c>
      <c r="N313" s="255">
        <v>11.1</v>
      </c>
      <c r="O313" s="255">
        <v>22.8</v>
      </c>
      <c r="P313" s="255">
        <v>33.9</v>
      </c>
      <c r="Q313" s="255">
        <v>17.899999999999999</v>
      </c>
      <c r="R313" s="255">
        <v>7.6</v>
      </c>
      <c r="S313" s="255">
        <v>2.4</v>
      </c>
      <c r="T313" s="255">
        <v>12.3</v>
      </c>
      <c r="U313" s="255">
        <v>18</v>
      </c>
    </row>
    <row r="314" spans="1:21" ht="15.75" customHeight="1" thickBot="1" x14ac:dyDescent="0.3">
      <c r="A314" s="257">
        <v>313</v>
      </c>
      <c r="B314" s="259" t="s">
        <v>407</v>
      </c>
      <c r="C314" s="255">
        <v>30</v>
      </c>
      <c r="D314" s="255">
        <v>78.7</v>
      </c>
      <c r="E314" s="255">
        <v>25.8</v>
      </c>
      <c r="F314" s="255">
        <v>55.1</v>
      </c>
      <c r="G314" s="255">
        <v>46.9</v>
      </c>
      <c r="H314" s="255">
        <v>7.2</v>
      </c>
      <c r="I314" s="255">
        <v>21</v>
      </c>
      <c r="J314" s="255">
        <v>34.200000000000003</v>
      </c>
      <c r="K314" s="255">
        <v>19.899999999999999</v>
      </c>
      <c r="L314" s="255">
        <v>27.3</v>
      </c>
      <c r="M314" s="255">
        <v>72.7</v>
      </c>
      <c r="N314" s="255">
        <v>11.2</v>
      </c>
      <c r="O314" s="255">
        <v>23.7</v>
      </c>
      <c r="P314" s="255">
        <v>34.9</v>
      </c>
      <c r="Q314" s="255">
        <v>15</v>
      </c>
      <c r="R314" s="255">
        <v>7.5</v>
      </c>
      <c r="S314" s="255">
        <v>3.4</v>
      </c>
      <c r="T314" s="255">
        <v>13.2</v>
      </c>
      <c r="U314" s="255">
        <v>19.5</v>
      </c>
    </row>
    <row r="315" spans="1:21" ht="15.75" customHeight="1" thickBot="1" x14ac:dyDescent="0.3">
      <c r="A315" s="257">
        <v>314</v>
      </c>
      <c r="B315" s="259" t="s">
        <v>21</v>
      </c>
      <c r="C315" s="255">
        <v>29</v>
      </c>
      <c r="D315" s="255">
        <v>78.900000000000006</v>
      </c>
      <c r="E315" s="255">
        <v>27.7</v>
      </c>
      <c r="F315" s="255">
        <v>60.2</v>
      </c>
      <c r="G315" s="255">
        <v>45.9</v>
      </c>
      <c r="H315" s="255">
        <v>8.1</v>
      </c>
      <c r="I315" s="255">
        <v>23.9</v>
      </c>
      <c r="J315" s="255">
        <v>33.799999999999997</v>
      </c>
      <c r="K315" s="255">
        <v>15.5</v>
      </c>
      <c r="L315" s="255">
        <v>20.8</v>
      </c>
      <c r="M315" s="255">
        <v>74.599999999999994</v>
      </c>
      <c r="N315" s="255">
        <v>9.9</v>
      </c>
      <c r="O315" s="255">
        <v>22.8</v>
      </c>
      <c r="P315" s="255">
        <v>32.700000000000003</v>
      </c>
      <c r="Q315" s="255">
        <v>14.2</v>
      </c>
      <c r="R315" s="255">
        <v>6</v>
      </c>
      <c r="S315" s="255">
        <v>3.5</v>
      </c>
      <c r="T315" s="255">
        <v>11.2</v>
      </c>
      <c r="U315" s="255">
        <v>17.2</v>
      </c>
    </row>
    <row r="316" spans="1:21" ht="15.75" customHeight="1" thickBot="1" x14ac:dyDescent="0.3">
      <c r="A316" s="257">
        <v>315</v>
      </c>
      <c r="B316" s="259" t="s">
        <v>251</v>
      </c>
      <c r="C316" s="255">
        <v>31</v>
      </c>
      <c r="D316" s="255">
        <v>78.900000000000006</v>
      </c>
      <c r="E316" s="255">
        <v>27.7</v>
      </c>
      <c r="F316" s="255">
        <v>57.9</v>
      </c>
      <c r="G316" s="255">
        <v>47.8</v>
      </c>
      <c r="H316" s="255">
        <v>8</v>
      </c>
      <c r="I316" s="255">
        <v>22.5</v>
      </c>
      <c r="J316" s="255">
        <v>35.6</v>
      </c>
      <c r="K316" s="255">
        <v>15.5</v>
      </c>
      <c r="L316" s="255">
        <v>20.5</v>
      </c>
      <c r="M316" s="255">
        <v>75.900000000000006</v>
      </c>
      <c r="N316" s="255">
        <v>10</v>
      </c>
      <c r="O316" s="255">
        <v>22</v>
      </c>
      <c r="P316" s="255">
        <v>31.9</v>
      </c>
      <c r="Q316" s="255">
        <v>14</v>
      </c>
      <c r="R316" s="255">
        <v>7.5</v>
      </c>
      <c r="S316" s="255">
        <v>3</v>
      </c>
      <c r="T316" s="255">
        <v>11.5</v>
      </c>
      <c r="U316" s="255">
        <v>18.600000000000001</v>
      </c>
    </row>
    <row r="317" spans="1:21" ht="15.75" customHeight="1" thickBot="1" x14ac:dyDescent="0.3">
      <c r="A317" s="257">
        <v>316</v>
      </c>
      <c r="B317" s="259" t="s">
        <v>311</v>
      </c>
      <c r="C317" s="255">
        <v>32</v>
      </c>
      <c r="D317" s="255">
        <v>78.900000000000006</v>
      </c>
      <c r="E317" s="255">
        <v>29.3</v>
      </c>
      <c r="F317" s="255">
        <v>62.8</v>
      </c>
      <c r="G317" s="255">
        <v>46.6</v>
      </c>
      <c r="H317" s="255">
        <v>8.8000000000000007</v>
      </c>
      <c r="I317" s="255">
        <v>24</v>
      </c>
      <c r="J317" s="255">
        <v>36.5</v>
      </c>
      <c r="K317" s="255">
        <v>11.7</v>
      </c>
      <c r="L317" s="255">
        <v>16</v>
      </c>
      <c r="M317" s="255">
        <v>72.900000000000006</v>
      </c>
      <c r="N317" s="255">
        <v>12.8</v>
      </c>
      <c r="O317" s="255">
        <v>25.4</v>
      </c>
      <c r="P317" s="255">
        <v>38.299999999999997</v>
      </c>
      <c r="Q317" s="255">
        <v>17.899999999999999</v>
      </c>
      <c r="R317" s="255">
        <v>5.7</v>
      </c>
      <c r="S317" s="255">
        <v>3.9</v>
      </c>
      <c r="T317" s="255">
        <v>11.6</v>
      </c>
      <c r="U317" s="255">
        <v>17.100000000000001</v>
      </c>
    </row>
    <row r="318" spans="1:21" ht="15.75" customHeight="1" thickBot="1" x14ac:dyDescent="0.3">
      <c r="A318" s="257">
        <v>317</v>
      </c>
      <c r="B318" s="259" t="s">
        <v>79</v>
      </c>
      <c r="C318" s="255">
        <v>30</v>
      </c>
      <c r="D318" s="255">
        <v>79.099999999999994</v>
      </c>
      <c r="E318" s="255">
        <v>27.2</v>
      </c>
      <c r="F318" s="255">
        <v>61.6</v>
      </c>
      <c r="G318" s="255">
        <v>44.1</v>
      </c>
      <c r="H318" s="255">
        <v>8.1999999999999993</v>
      </c>
      <c r="I318" s="255">
        <v>25.5</v>
      </c>
      <c r="J318" s="255">
        <v>32</v>
      </c>
      <c r="K318" s="255">
        <v>16.5</v>
      </c>
      <c r="L318" s="255">
        <v>22</v>
      </c>
      <c r="M318" s="255">
        <v>75.099999999999994</v>
      </c>
      <c r="N318" s="255">
        <v>12</v>
      </c>
      <c r="O318" s="255">
        <v>25</v>
      </c>
      <c r="P318" s="255">
        <v>37.1</v>
      </c>
      <c r="Q318" s="255">
        <v>15.4</v>
      </c>
      <c r="R318" s="255">
        <v>6.6</v>
      </c>
      <c r="S318" s="255">
        <v>3.8</v>
      </c>
      <c r="T318" s="255">
        <v>13.5</v>
      </c>
      <c r="U318" s="255">
        <v>18.899999999999999</v>
      </c>
    </row>
    <row r="319" spans="1:21" ht="15.75" customHeight="1" thickBot="1" x14ac:dyDescent="0.3">
      <c r="A319" s="257">
        <v>318</v>
      </c>
      <c r="B319" s="259" t="s">
        <v>470</v>
      </c>
      <c r="C319" s="255">
        <v>30</v>
      </c>
      <c r="D319" s="255">
        <v>79.3</v>
      </c>
      <c r="E319" s="255">
        <v>27.3</v>
      </c>
      <c r="F319" s="255">
        <v>59.4</v>
      </c>
      <c r="G319" s="255">
        <v>46</v>
      </c>
      <c r="H319" s="255">
        <v>9.1</v>
      </c>
      <c r="I319" s="255">
        <v>25.7</v>
      </c>
      <c r="J319" s="255">
        <v>35.4</v>
      </c>
      <c r="K319" s="255">
        <v>15.5</v>
      </c>
      <c r="L319" s="255">
        <v>22.1</v>
      </c>
      <c r="M319" s="255">
        <v>70</v>
      </c>
      <c r="N319" s="255">
        <v>10.1</v>
      </c>
      <c r="O319" s="255">
        <v>24.4</v>
      </c>
      <c r="P319" s="255">
        <v>34.5</v>
      </c>
      <c r="Q319" s="255">
        <v>15</v>
      </c>
      <c r="R319" s="255">
        <v>6.6</v>
      </c>
      <c r="S319" s="255">
        <v>4.5999999999999996</v>
      </c>
      <c r="T319" s="255">
        <v>9.8000000000000007</v>
      </c>
      <c r="U319" s="255">
        <v>17.399999999999999</v>
      </c>
    </row>
    <row r="320" spans="1:21" ht="15.75" customHeight="1" thickBot="1" x14ac:dyDescent="0.3">
      <c r="A320" s="257">
        <v>319</v>
      </c>
      <c r="B320" s="259" t="s">
        <v>212</v>
      </c>
      <c r="C320" s="255">
        <v>31</v>
      </c>
      <c r="D320" s="255">
        <v>79.400000000000006</v>
      </c>
      <c r="E320" s="255">
        <v>26.5</v>
      </c>
      <c r="F320" s="255">
        <v>62.6</v>
      </c>
      <c r="G320" s="255">
        <v>42.3</v>
      </c>
      <c r="H320" s="255">
        <v>10.1</v>
      </c>
      <c r="I320" s="255">
        <v>30</v>
      </c>
      <c r="J320" s="255">
        <v>33.6</v>
      </c>
      <c r="K320" s="255">
        <v>16.399999999999999</v>
      </c>
      <c r="L320" s="255">
        <v>21.7</v>
      </c>
      <c r="M320" s="255">
        <v>75.400000000000006</v>
      </c>
      <c r="N320" s="255">
        <v>10.1</v>
      </c>
      <c r="O320" s="255">
        <v>25.9</v>
      </c>
      <c r="P320" s="255">
        <v>36</v>
      </c>
      <c r="Q320" s="255">
        <v>15.3</v>
      </c>
      <c r="R320" s="255">
        <v>7.9</v>
      </c>
      <c r="S320" s="255">
        <v>4.3</v>
      </c>
      <c r="T320" s="255">
        <v>12.7</v>
      </c>
      <c r="U320" s="255">
        <v>18.7</v>
      </c>
    </row>
    <row r="321" spans="1:21" ht="15.75" customHeight="1" thickBot="1" x14ac:dyDescent="0.3">
      <c r="A321" s="257">
        <v>320</v>
      </c>
      <c r="B321" s="259" t="s">
        <v>334</v>
      </c>
      <c r="C321" s="255">
        <v>31</v>
      </c>
      <c r="D321" s="255">
        <v>79.5</v>
      </c>
      <c r="E321" s="255">
        <v>29.4</v>
      </c>
      <c r="F321" s="255">
        <v>62.4</v>
      </c>
      <c r="G321" s="255">
        <v>47.1</v>
      </c>
      <c r="H321" s="255">
        <v>6.3</v>
      </c>
      <c r="I321" s="255">
        <v>17.2</v>
      </c>
      <c r="J321" s="255">
        <v>36.4</v>
      </c>
      <c r="K321" s="255">
        <v>14.5</v>
      </c>
      <c r="L321" s="255">
        <v>20.2</v>
      </c>
      <c r="M321" s="255">
        <v>71.8</v>
      </c>
      <c r="N321" s="255">
        <v>11.3</v>
      </c>
      <c r="O321" s="255">
        <v>23.5</v>
      </c>
      <c r="P321" s="255">
        <v>34.799999999999997</v>
      </c>
      <c r="Q321" s="255">
        <v>12.8</v>
      </c>
      <c r="R321" s="255">
        <v>6.9</v>
      </c>
      <c r="S321" s="255">
        <v>2.7</v>
      </c>
      <c r="T321" s="255">
        <v>11.5</v>
      </c>
      <c r="U321" s="255">
        <v>20</v>
      </c>
    </row>
    <row r="322" spans="1:21" ht="15.75" customHeight="1" thickBot="1" x14ac:dyDescent="0.3">
      <c r="A322" s="257">
        <v>321</v>
      </c>
      <c r="B322" s="259" t="s">
        <v>372</v>
      </c>
      <c r="C322" s="255">
        <v>32</v>
      </c>
      <c r="D322" s="255">
        <v>79.599999999999994</v>
      </c>
      <c r="E322" s="255">
        <v>29</v>
      </c>
      <c r="F322" s="255">
        <v>61.7</v>
      </c>
      <c r="G322" s="255">
        <v>46.9</v>
      </c>
      <c r="H322" s="255">
        <v>9</v>
      </c>
      <c r="I322" s="255">
        <v>25.1</v>
      </c>
      <c r="J322" s="255">
        <v>35.9</v>
      </c>
      <c r="K322" s="255">
        <v>12.6</v>
      </c>
      <c r="L322" s="255">
        <v>17.5</v>
      </c>
      <c r="M322" s="255">
        <v>72.3</v>
      </c>
      <c r="N322" s="255">
        <v>11.5</v>
      </c>
      <c r="O322" s="255">
        <v>24.4</v>
      </c>
      <c r="P322" s="255">
        <v>35.9</v>
      </c>
      <c r="Q322" s="255">
        <v>16.100000000000001</v>
      </c>
      <c r="R322" s="255">
        <v>7.6</v>
      </c>
      <c r="S322" s="255">
        <v>3.7</v>
      </c>
      <c r="T322" s="255">
        <v>11.5</v>
      </c>
      <c r="U322" s="255">
        <v>18.3</v>
      </c>
    </row>
    <row r="323" spans="1:21" ht="15.75" customHeight="1" thickBot="1" x14ac:dyDescent="0.3">
      <c r="A323" s="257">
        <v>322</v>
      </c>
      <c r="B323" s="259" t="s">
        <v>323</v>
      </c>
      <c r="C323" s="255">
        <v>32</v>
      </c>
      <c r="D323" s="255">
        <v>79.599999999999994</v>
      </c>
      <c r="E323" s="255">
        <v>27.8</v>
      </c>
      <c r="F323" s="255">
        <v>57.9</v>
      </c>
      <c r="G323" s="255">
        <v>48</v>
      </c>
      <c r="H323" s="255">
        <v>8.6</v>
      </c>
      <c r="I323" s="255">
        <v>23.5</v>
      </c>
      <c r="J323" s="255">
        <v>36.4</v>
      </c>
      <c r="K323" s="255">
        <v>15.4</v>
      </c>
      <c r="L323" s="255">
        <v>21.1</v>
      </c>
      <c r="M323" s="255">
        <v>73.3</v>
      </c>
      <c r="N323" s="255">
        <v>9.4</v>
      </c>
      <c r="O323" s="255">
        <v>24.9</v>
      </c>
      <c r="P323" s="255">
        <v>34.299999999999997</v>
      </c>
      <c r="Q323" s="255">
        <v>15.6</v>
      </c>
      <c r="R323" s="255">
        <v>5.7</v>
      </c>
      <c r="S323" s="255">
        <v>3.6</v>
      </c>
      <c r="T323" s="255">
        <v>11.2</v>
      </c>
      <c r="U323" s="255">
        <v>17.3</v>
      </c>
    </row>
    <row r="324" spans="1:21" ht="15.75" customHeight="1" thickBot="1" x14ac:dyDescent="0.3">
      <c r="A324" s="257">
        <v>323</v>
      </c>
      <c r="B324" s="259" t="s">
        <v>370</v>
      </c>
      <c r="C324" s="255">
        <v>30</v>
      </c>
      <c r="D324" s="255">
        <v>79.599999999999994</v>
      </c>
      <c r="E324" s="255">
        <v>28.9</v>
      </c>
      <c r="F324" s="255">
        <v>57.5</v>
      </c>
      <c r="G324" s="255">
        <v>50.2</v>
      </c>
      <c r="H324" s="255">
        <v>9.9</v>
      </c>
      <c r="I324" s="255">
        <v>25.3</v>
      </c>
      <c r="J324" s="255">
        <v>39.299999999999997</v>
      </c>
      <c r="K324" s="255">
        <v>12</v>
      </c>
      <c r="L324" s="255">
        <v>15.6</v>
      </c>
      <c r="M324" s="255">
        <v>76.900000000000006</v>
      </c>
      <c r="N324" s="255">
        <v>9.4</v>
      </c>
      <c r="O324" s="255">
        <v>23.8</v>
      </c>
      <c r="P324" s="255">
        <v>33.200000000000003</v>
      </c>
      <c r="Q324" s="255">
        <v>17.3</v>
      </c>
      <c r="R324" s="255">
        <v>5.7</v>
      </c>
      <c r="S324" s="255">
        <v>3.5</v>
      </c>
      <c r="T324" s="255">
        <v>12.2</v>
      </c>
      <c r="U324" s="255">
        <v>16.899999999999999</v>
      </c>
    </row>
    <row r="325" spans="1:21" ht="15.75" customHeight="1" thickBot="1" x14ac:dyDescent="0.3">
      <c r="A325" s="257">
        <v>324</v>
      </c>
      <c r="B325" s="259" t="s">
        <v>476</v>
      </c>
      <c r="C325" s="255">
        <v>30</v>
      </c>
      <c r="D325" s="255">
        <v>79.7</v>
      </c>
      <c r="E325" s="255">
        <v>28.9</v>
      </c>
      <c r="F325" s="255">
        <v>61.1</v>
      </c>
      <c r="G325" s="255">
        <v>47.3</v>
      </c>
      <c r="H325" s="255">
        <v>7.5</v>
      </c>
      <c r="I325" s="255">
        <v>21.5</v>
      </c>
      <c r="J325" s="255">
        <v>34.700000000000003</v>
      </c>
      <c r="K325" s="255">
        <v>14.4</v>
      </c>
      <c r="L325" s="255">
        <v>20.7</v>
      </c>
      <c r="M325" s="255">
        <v>69.7</v>
      </c>
      <c r="N325" s="255">
        <v>10.1</v>
      </c>
      <c r="O325" s="255">
        <v>27.6</v>
      </c>
      <c r="P325" s="255">
        <v>37.700000000000003</v>
      </c>
      <c r="Q325" s="255">
        <v>18.3</v>
      </c>
      <c r="R325" s="255">
        <v>6</v>
      </c>
      <c r="S325" s="255">
        <v>3.8</v>
      </c>
      <c r="T325" s="255">
        <v>11.2</v>
      </c>
      <c r="U325" s="255">
        <v>15.6</v>
      </c>
    </row>
    <row r="326" spans="1:21" ht="15.75" customHeight="1" thickBot="1" x14ac:dyDescent="0.3">
      <c r="A326" s="257">
        <v>325</v>
      </c>
      <c r="B326" s="259" t="s">
        <v>194</v>
      </c>
      <c r="C326" s="255">
        <v>30</v>
      </c>
      <c r="D326" s="255">
        <v>79.7</v>
      </c>
      <c r="E326" s="255">
        <v>27.5</v>
      </c>
      <c r="F326" s="255">
        <v>59.2</v>
      </c>
      <c r="G326" s="255">
        <v>46.4</v>
      </c>
      <c r="H326" s="255">
        <v>8.9</v>
      </c>
      <c r="I326" s="255">
        <v>23.9</v>
      </c>
      <c r="J326" s="255">
        <v>37.299999999999997</v>
      </c>
      <c r="K326" s="255">
        <v>15.8</v>
      </c>
      <c r="L326" s="255">
        <v>20.7</v>
      </c>
      <c r="M326" s="255">
        <v>76</v>
      </c>
      <c r="N326" s="255">
        <v>10.7</v>
      </c>
      <c r="O326" s="255">
        <v>21.8</v>
      </c>
      <c r="P326" s="255">
        <v>32.4</v>
      </c>
      <c r="Q326" s="255">
        <v>14.3</v>
      </c>
      <c r="R326" s="255">
        <v>6.7</v>
      </c>
      <c r="S326" s="255">
        <v>4.5</v>
      </c>
      <c r="T326" s="255">
        <v>11.7</v>
      </c>
      <c r="U326" s="255">
        <v>20.2</v>
      </c>
    </row>
    <row r="327" spans="1:21" ht="15.75" customHeight="1" thickBot="1" x14ac:dyDescent="0.3">
      <c r="A327" s="257">
        <v>326</v>
      </c>
      <c r="B327" s="259" t="s">
        <v>416</v>
      </c>
      <c r="C327" s="255">
        <v>30</v>
      </c>
      <c r="D327" s="255">
        <v>79.8</v>
      </c>
      <c r="E327" s="255">
        <v>29.6</v>
      </c>
      <c r="F327" s="255">
        <v>63.7</v>
      </c>
      <c r="G327" s="255">
        <v>46.5</v>
      </c>
      <c r="H327" s="255">
        <v>6.9</v>
      </c>
      <c r="I327" s="255">
        <v>18.7</v>
      </c>
      <c r="J327" s="255">
        <v>36.700000000000003</v>
      </c>
      <c r="K327" s="255">
        <v>13.6</v>
      </c>
      <c r="L327" s="255">
        <v>19.2</v>
      </c>
      <c r="M327" s="255">
        <v>71</v>
      </c>
      <c r="N327" s="255">
        <v>11.4</v>
      </c>
      <c r="O327" s="255">
        <v>24.1</v>
      </c>
      <c r="P327" s="255">
        <v>35.5</v>
      </c>
      <c r="Q327" s="255">
        <v>13.6</v>
      </c>
      <c r="R327" s="255">
        <v>8.8000000000000007</v>
      </c>
      <c r="S327" s="255">
        <v>3.7</v>
      </c>
      <c r="T327" s="255">
        <v>10.8</v>
      </c>
      <c r="U327" s="255">
        <v>17.8</v>
      </c>
    </row>
    <row r="328" spans="1:21" ht="15.75" customHeight="1" thickBot="1" x14ac:dyDescent="0.3">
      <c r="A328" s="257">
        <v>327</v>
      </c>
      <c r="B328" s="259" t="s">
        <v>70</v>
      </c>
      <c r="C328" s="255">
        <v>30</v>
      </c>
      <c r="D328" s="255">
        <v>79.8</v>
      </c>
      <c r="E328" s="255">
        <v>28.9</v>
      </c>
      <c r="F328" s="255">
        <v>63.7</v>
      </c>
      <c r="G328" s="255">
        <v>45.3</v>
      </c>
      <c r="H328" s="255">
        <v>7.8</v>
      </c>
      <c r="I328" s="255">
        <v>24.7</v>
      </c>
      <c r="J328" s="255">
        <v>31.6</v>
      </c>
      <c r="K328" s="255">
        <v>14.3</v>
      </c>
      <c r="L328" s="255">
        <v>20.3</v>
      </c>
      <c r="M328" s="255">
        <v>70.599999999999994</v>
      </c>
      <c r="N328" s="255">
        <v>11.6</v>
      </c>
      <c r="O328" s="255">
        <v>23.1</v>
      </c>
      <c r="P328" s="255">
        <v>34.700000000000003</v>
      </c>
      <c r="Q328" s="255">
        <v>14.7</v>
      </c>
      <c r="R328" s="255">
        <v>4.9000000000000004</v>
      </c>
      <c r="S328" s="255">
        <v>2.8</v>
      </c>
      <c r="T328" s="255">
        <v>11.8</v>
      </c>
      <c r="U328" s="255">
        <v>18.100000000000001</v>
      </c>
    </row>
    <row r="329" spans="1:21" ht="15.75" customHeight="1" thickBot="1" x14ac:dyDescent="0.3">
      <c r="A329" s="257">
        <v>328</v>
      </c>
      <c r="B329" s="259" t="s">
        <v>456</v>
      </c>
      <c r="C329" s="255">
        <v>31</v>
      </c>
      <c r="D329" s="255">
        <v>79.900000000000006</v>
      </c>
      <c r="E329" s="255">
        <v>27.9</v>
      </c>
      <c r="F329" s="255">
        <v>60.3</v>
      </c>
      <c r="G329" s="255">
        <v>46.3</v>
      </c>
      <c r="H329" s="255">
        <v>9.6999999999999993</v>
      </c>
      <c r="I329" s="255">
        <v>27.4</v>
      </c>
      <c r="J329" s="255">
        <v>35.4</v>
      </c>
      <c r="K329" s="255">
        <v>14.4</v>
      </c>
      <c r="L329" s="255">
        <v>20</v>
      </c>
      <c r="M329" s="255">
        <v>72.099999999999994</v>
      </c>
      <c r="N329" s="255">
        <v>12.2</v>
      </c>
      <c r="O329" s="255">
        <v>28.3</v>
      </c>
      <c r="P329" s="255">
        <v>40.5</v>
      </c>
      <c r="Q329" s="255">
        <v>17.600000000000001</v>
      </c>
      <c r="R329" s="255">
        <v>5.5</v>
      </c>
      <c r="S329" s="255">
        <v>2.7</v>
      </c>
      <c r="T329" s="255">
        <v>11.1</v>
      </c>
      <c r="U329" s="255">
        <v>15.9</v>
      </c>
    </row>
    <row r="330" spans="1:21" ht="15.75" customHeight="1" thickBot="1" x14ac:dyDescent="0.3">
      <c r="A330" s="257">
        <v>328</v>
      </c>
      <c r="B330" s="259" t="s">
        <v>465</v>
      </c>
      <c r="C330" s="255">
        <v>31</v>
      </c>
      <c r="D330" s="255">
        <v>79.900000000000006</v>
      </c>
      <c r="E330" s="255">
        <v>28.4</v>
      </c>
      <c r="F330" s="255">
        <v>61</v>
      </c>
      <c r="G330" s="255">
        <v>46.5</v>
      </c>
      <c r="H330" s="255">
        <v>7.5</v>
      </c>
      <c r="I330" s="255">
        <v>22.6</v>
      </c>
      <c r="J330" s="255">
        <v>33</v>
      </c>
      <c r="K330" s="255">
        <v>15.7</v>
      </c>
      <c r="L330" s="255">
        <v>21.4</v>
      </c>
      <c r="M330" s="255">
        <v>73.3</v>
      </c>
      <c r="N330" s="255">
        <v>10.5</v>
      </c>
      <c r="O330" s="255">
        <v>25.5</v>
      </c>
      <c r="P330" s="255">
        <v>36</v>
      </c>
      <c r="Q330" s="255">
        <v>14.3</v>
      </c>
      <c r="R330" s="255">
        <v>6.5</v>
      </c>
      <c r="S330" s="255">
        <v>2.2999999999999998</v>
      </c>
      <c r="T330" s="255">
        <v>10.5</v>
      </c>
      <c r="U330" s="255">
        <v>17</v>
      </c>
    </row>
    <row r="331" spans="1:21" ht="15.75" customHeight="1" thickBot="1" x14ac:dyDescent="0.3">
      <c r="A331" s="257">
        <v>330</v>
      </c>
      <c r="B331" s="259" t="s">
        <v>221</v>
      </c>
      <c r="C331" s="255">
        <v>31</v>
      </c>
      <c r="D331" s="255">
        <v>79.900000000000006</v>
      </c>
      <c r="E331" s="255">
        <v>27.2</v>
      </c>
      <c r="F331" s="255">
        <v>65.7</v>
      </c>
      <c r="G331" s="255">
        <v>41.4</v>
      </c>
      <c r="H331" s="255">
        <v>6.3</v>
      </c>
      <c r="I331" s="255">
        <v>20.5</v>
      </c>
      <c r="J331" s="255">
        <v>30.8</v>
      </c>
      <c r="K331" s="255">
        <v>19.100000000000001</v>
      </c>
      <c r="L331" s="255">
        <v>27.2</v>
      </c>
      <c r="M331" s="255">
        <v>70.3</v>
      </c>
      <c r="N331" s="255">
        <v>12.4</v>
      </c>
      <c r="O331" s="255">
        <v>26.6</v>
      </c>
      <c r="P331" s="255">
        <v>39</v>
      </c>
      <c r="Q331" s="255">
        <v>10.6</v>
      </c>
      <c r="R331" s="255">
        <v>8.4</v>
      </c>
      <c r="S331" s="255">
        <v>2.9</v>
      </c>
      <c r="T331" s="255">
        <v>9.6</v>
      </c>
      <c r="U331" s="255">
        <v>17.399999999999999</v>
      </c>
    </row>
    <row r="332" spans="1:21" ht="15.75" customHeight="1" thickBot="1" x14ac:dyDescent="0.3">
      <c r="A332" s="257">
        <v>331</v>
      </c>
      <c r="B332" s="259" t="s">
        <v>268</v>
      </c>
      <c r="C332" s="255">
        <v>33</v>
      </c>
      <c r="D332" s="255">
        <v>79.900000000000006</v>
      </c>
      <c r="E332" s="255">
        <v>27</v>
      </c>
      <c r="F332" s="255">
        <v>60</v>
      </c>
      <c r="G332" s="255">
        <v>45</v>
      </c>
      <c r="H332" s="255">
        <v>8.1</v>
      </c>
      <c r="I332" s="255">
        <v>23.7</v>
      </c>
      <c r="J332" s="255">
        <v>34.1</v>
      </c>
      <c r="K332" s="255">
        <v>17.899999999999999</v>
      </c>
      <c r="L332" s="255">
        <v>24.1</v>
      </c>
      <c r="M332" s="255">
        <v>74.3</v>
      </c>
      <c r="N332" s="255">
        <v>12.3</v>
      </c>
      <c r="O332" s="255">
        <v>27</v>
      </c>
      <c r="P332" s="255">
        <v>39.299999999999997</v>
      </c>
      <c r="Q332" s="255">
        <v>12.6</v>
      </c>
      <c r="R332" s="255">
        <v>6.4</v>
      </c>
      <c r="S332" s="255">
        <v>3</v>
      </c>
      <c r="T332" s="255">
        <v>13.7</v>
      </c>
      <c r="U332" s="255">
        <v>18.399999999999999</v>
      </c>
    </row>
    <row r="333" spans="1:21" ht="15.75" customHeight="1" thickBot="1" x14ac:dyDescent="0.3">
      <c r="A333" s="257">
        <v>332</v>
      </c>
      <c r="B333" s="259" t="s">
        <v>293</v>
      </c>
      <c r="C333" s="255">
        <v>30</v>
      </c>
      <c r="D333" s="255">
        <v>80</v>
      </c>
      <c r="E333" s="255">
        <v>27</v>
      </c>
      <c r="F333" s="255">
        <v>61.7</v>
      </c>
      <c r="G333" s="255">
        <v>43.8</v>
      </c>
      <c r="H333" s="255">
        <v>9.1</v>
      </c>
      <c r="I333" s="255">
        <v>26.4</v>
      </c>
      <c r="J333" s="255">
        <v>34.4</v>
      </c>
      <c r="K333" s="255">
        <v>16.8</v>
      </c>
      <c r="L333" s="255">
        <v>23.3</v>
      </c>
      <c r="M333" s="255">
        <v>72.2</v>
      </c>
      <c r="N333" s="255">
        <v>10.7</v>
      </c>
      <c r="O333" s="255">
        <v>23.3</v>
      </c>
      <c r="P333" s="255">
        <v>34</v>
      </c>
      <c r="Q333" s="255">
        <v>14.7</v>
      </c>
      <c r="R333" s="255">
        <v>7.4</v>
      </c>
      <c r="S333" s="255">
        <v>3</v>
      </c>
      <c r="T333" s="255">
        <v>12.4</v>
      </c>
      <c r="U333" s="255">
        <v>21.3</v>
      </c>
    </row>
    <row r="334" spans="1:21" ht="15.75" customHeight="1" thickBot="1" x14ac:dyDescent="0.3">
      <c r="A334" s="257">
        <v>333</v>
      </c>
      <c r="B334" s="259" t="s">
        <v>420</v>
      </c>
      <c r="C334" s="255">
        <v>32</v>
      </c>
      <c r="D334" s="255">
        <v>80.099999999999994</v>
      </c>
      <c r="E334" s="255">
        <v>29</v>
      </c>
      <c r="F334" s="255">
        <v>60.8</v>
      </c>
      <c r="G334" s="255">
        <v>47.8</v>
      </c>
      <c r="H334" s="255">
        <v>8.6999999999999993</v>
      </c>
      <c r="I334" s="255">
        <v>25</v>
      </c>
      <c r="J334" s="255">
        <v>34.700000000000003</v>
      </c>
      <c r="K334" s="255">
        <v>13.3</v>
      </c>
      <c r="L334" s="255">
        <v>18</v>
      </c>
      <c r="M334" s="255">
        <v>73.7</v>
      </c>
      <c r="N334" s="255">
        <v>10.6</v>
      </c>
      <c r="O334" s="255">
        <v>24.3</v>
      </c>
      <c r="P334" s="255">
        <v>34.799999999999997</v>
      </c>
      <c r="Q334" s="255">
        <v>15.8</v>
      </c>
      <c r="R334" s="255">
        <v>8</v>
      </c>
      <c r="S334" s="255">
        <v>2.4</v>
      </c>
      <c r="T334" s="255">
        <v>10.3</v>
      </c>
      <c r="U334" s="255">
        <v>16.899999999999999</v>
      </c>
    </row>
    <row r="335" spans="1:21" ht="15.75" customHeight="1" thickBot="1" x14ac:dyDescent="0.3">
      <c r="A335" s="257">
        <v>334</v>
      </c>
      <c r="B335" s="259" t="s">
        <v>183</v>
      </c>
      <c r="C335" s="255">
        <v>30</v>
      </c>
      <c r="D335" s="255">
        <v>80.099999999999994</v>
      </c>
      <c r="E335" s="255">
        <v>28.2</v>
      </c>
      <c r="F335" s="255">
        <v>57.4</v>
      </c>
      <c r="G335" s="255">
        <v>49.2</v>
      </c>
      <c r="H335" s="255">
        <v>8.6</v>
      </c>
      <c r="I335" s="255">
        <v>22.5</v>
      </c>
      <c r="J335" s="255">
        <v>38.4</v>
      </c>
      <c r="K335" s="255">
        <v>15</v>
      </c>
      <c r="L335" s="255">
        <v>20.7</v>
      </c>
      <c r="M335" s="255">
        <v>72.3</v>
      </c>
      <c r="N335" s="255">
        <v>9.9</v>
      </c>
      <c r="O335" s="255">
        <v>25.4</v>
      </c>
      <c r="P335" s="255">
        <v>35.4</v>
      </c>
      <c r="Q335" s="255">
        <v>15.2</v>
      </c>
      <c r="R335" s="255">
        <v>8</v>
      </c>
      <c r="S335" s="255">
        <v>3.4</v>
      </c>
      <c r="T335" s="255">
        <v>10.1</v>
      </c>
      <c r="U335" s="255">
        <v>17.899999999999999</v>
      </c>
    </row>
    <row r="336" spans="1:21" ht="15.75" customHeight="1" thickBot="1" x14ac:dyDescent="0.3">
      <c r="A336" s="257">
        <v>335</v>
      </c>
      <c r="B336" s="259" t="s">
        <v>409</v>
      </c>
      <c r="C336" s="255">
        <v>31</v>
      </c>
      <c r="D336" s="255">
        <v>80.3</v>
      </c>
      <c r="E336" s="255">
        <v>30.2</v>
      </c>
      <c r="F336" s="255">
        <v>61.5</v>
      </c>
      <c r="G336" s="255">
        <v>49.1</v>
      </c>
      <c r="H336" s="255">
        <v>6.3</v>
      </c>
      <c r="I336" s="255">
        <v>18.5</v>
      </c>
      <c r="J336" s="255">
        <v>33.9</v>
      </c>
      <c r="K336" s="255">
        <v>13.6</v>
      </c>
      <c r="L336" s="255">
        <v>18.600000000000001</v>
      </c>
      <c r="M336" s="255">
        <v>73.2</v>
      </c>
      <c r="N336" s="255">
        <v>9.8000000000000007</v>
      </c>
      <c r="O336" s="255">
        <v>24.5</v>
      </c>
      <c r="P336" s="255">
        <v>34.4</v>
      </c>
      <c r="Q336" s="255">
        <v>13</v>
      </c>
      <c r="R336" s="255">
        <v>7.2</v>
      </c>
      <c r="S336" s="255">
        <v>3.4</v>
      </c>
      <c r="T336" s="255">
        <v>11.9</v>
      </c>
      <c r="U336" s="255">
        <v>20.5</v>
      </c>
    </row>
    <row r="337" spans="1:21" ht="15.75" customHeight="1" thickBot="1" x14ac:dyDescent="0.3">
      <c r="A337" s="257">
        <v>336</v>
      </c>
      <c r="B337" s="259" t="s">
        <v>291</v>
      </c>
      <c r="C337" s="255">
        <v>30</v>
      </c>
      <c r="D337" s="255">
        <v>80.3</v>
      </c>
      <c r="E337" s="255">
        <v>28.1</v>
      </c>
      <c r="F337" s="255">
        <v>62.2</v>
      </c>
      <c r="G337" s="255">
        <v>45.1</v>
      </c>
      <c r="H337" s="255">
        <v>8</v>
      </c>
      <c r="I337" s="255">
        <v>23.9</v>
      </c>
      <c r="J337" s="255">
        <v>33.299999999999997</v>
      </c>
      <c r="K337" s="255">
        <v>16.2</v>
      </c>
      <c r="L337" s="255">
        <v>22.5</v>
      </c>
      <c r="M337" s="255">
        <v>72.3</v>
      </c>
      <c r="N337" s="255">
        <v>12.1</v>
      </c>
      <c r="O337" s="255">
        <v>24.9</v>
      </c>
      <c r="P337" s="255">
        <v>37</v>
      </c>
      <c r="Q337" s="255">
        <v>16.100000000000001</v>
      </c>
      <c r="R337" s="255">
        <v>7.4</v>
      </c>
      <c r="S337" s="255">
        <v>4</v>
      </c>
      <c r="T337" s="255">
        <v>12.7</v>
      </c>
      <c r="U337" s="255">
        <v>15.5</v>
      </c>
    </row>
    <row r="338" spans="1:21" ht="15.75" customHeight="1" thickBot="1" x14ac:dyDescent="0.3">
      <c r="A338" s="257">
        <v>337</v>
      </c>
      <c r="B338" s="259" t="s">
        <v>232</v>
      </c>
      <c r="C338" s="255">
        <v>31</v>
      </c>
      <c r="D338" s="255">
        <v>80.400000000000006</v>
      </c>
      <c r="E338" s="255">
        <v>26.6</v>
      </c>
      <c r="F338" s="255">
        <v>57</v>
      </c>
      <c r="G338" s="255">
        <v>46.7</v>
      </c>
      <c r="H338" s="255">
        <v>9.4</v>
      </c>
      <c r="I338" s="255">
        <v>24.8</v>
      </c>
      <c r="J338" s="255">
        <v>37.799999999999997</v>
      </c>
      <c r="K338" s="255">
        <v>17.8</v>
      </c>
      <c r="L338" s="255">
        <v>23.9</v>
      </c>
      <c r="M338" s="255">
        <v>74.400000000000006</v>
      </c>
      <c r="N338" s="255">
        <v>11.2</v>
      </c>
      <c r="O338" s="255">
        <v>24.6</v>
      </c>
      <c r="P338" s="255">
        <v>35.700000000000003</v>
      </c>
      <c r="Q338" s="255">
        <v>16.600000000000001</v>
      </c>
      <c r="R338" s="255">
        <v>8.9</v>
      </c>
      <c r="S338" s="255">
        <v>4.2</v>
      </c>
      <c r="T338" s="255">
        <v>12.5</v>
      </c>
      <c r="U338" s="255">
        <v>17.899999999999999</v>
      </c>
    </row>
    <row r="339" spans="1:21" ht="15.75" customHeight="1" thickBot="1" x14ac:dyDescent="0.3">
      <c r="A339" s="257">
        <v>338</v>
      </c>
      <c r="B339" s="259" t="s">
        <v>452</v>
      </c>
      <c r="C339" s="255">
        <v>29</v>
      </c>
      <c r="D339" s="255">
        <v>80.8</v>
      </c>
      <c r="E339" s="255">
        <v>28.1</v>
      </c>
      <c r="F339" s="255">
        <v>62.7</v>
      </c>
      <c r="G339" s="255">
        <v>44.9</v>
      </c>
      <c r="H339" s="255">
        <v>9.1999999999999993</v>
      </c>
      <c r="I339" s="255">
        <v>26.9</v>
      </c>
      <c r="J339" s="255">
        <v>34.299999999999997</v>
      </c>
      <c r="K339" s="255">
        <v>15.3</v>
      </c>
      <c r="L339" s="255">
        <v>21.4</v>
      </c>
      <c r="M339" s="255">
        <v>71.5</v>
      </c>
      <c r="N339" s="255">
        <v>13.8</v>
      </c>
      <c r="O339" s="255">
        <v>27.4</v>
      </c>
      <c r="P339" s="255">
        <v>41.2</v>
      </c>
      <c r="Q339" s="255">
        <v>15.8</v>
      </c>
      <c r="R339" s="255">
        <v>8.1999999999999993</v>
      </c>
      <c r="S339" s="255">
        <v>4.5</v>
      </c>
      <c r="T339" s="255">
        <v>11.1</v>
      </c>
      <c r="U339" s="255">
        <v>15.4</v>
      </c>
    </row>
    <row r="340" spans="1:21" ht="15.75" customHeight="1" thickBot="1" x14ac:dyDescent="0.3">
      <c r="A340" s="257">
        <v>339</v>
      </c>
      <c r="B340" s="259" t="s">
        <v>192</v>
      </c>
      <c r="C340" s="255">
        <v>31</v>
      </c>
      <c r="D340" s="255">
        <v>80.900000000000006</v>
      </c>
      <c r="E340" s="255">
        <v>27.3</v>
      </c>
      <c r="F340" s="255">
        <v>59.9</v>
      </c>
      <c r="G340" s="255">
        <v>45.6</v>
      </c>
      <c r="H340" s="255">
        <v>7.4</v>
      </c>
      <c r="I340" s="255">
        <v>22.4</v>
      </c>
      <c r="J340" s="255">
        <v>32.799999999999997</v>
      </c>
      <c r="K340" s="255">
        <v>18.899999999999999</v>
      </c>
      <c r="L340" s="255">
        <v>25.4</v>
      </c>
      <c r="M340" s="255">
        <v>74.7</v>
      </c>
      <c r="N340" s="255">
        <v>11.5</v>
      </c>
      <c r="O340" s="255">
        <v>25</v>
      </c>
      <c r="P340" s="255">
        <v>36.4</v>
      </c>
      <c r="Q340" s="255">
        <v>14.6</v>
      </c>
      <c r="R340" s="255">
        <v>7.8</v>
      </c>
      <c r="S340" s="255">
        <v>3.1</v>
      </c>
      <c r="T340" s="255">
        <v>12.4</v>
      </c>
      <c r="U340" s="255">
        <v>16.5</v>
      </c>
    </row>
    <row r="341" spans="1:21" ht="15.75" customHeight="1" thickBot="1" x14ac:dyDescent="0.3">
      <c r="A341" s="257">
        <v>340</v>
      </c>
      <c r="B341" s="259" t="s">
        <v>393</v>
      </c>
      <c r="C341" s="255">
        <v>31</v>
      </c>
      <c r="D341" s="255">
        <v>81</v>
      </c>
      <c r="E341" s="255">
        <v>28.6</v>
      </c>
      <c r="F341" s="255">
        <v>58.1</v>
      </c>
      <c r="G341" s="255">
        <v>49.2</v>
      </c>
      <c r="H341" s="255">
        <v>8.6</v>
      </c>
      <c r="I341" s="255">
        <v>23.5</v>
      </c>
      <c r="J341" s="255">
        <v>36.799999999999997</v>
      </c>
      <c r="K341" s="255">
        <v>15.2</v>
      </c>
      <c r="L341" s="255">
        <v>21.3</v>
      </c>
      <c r="M341" s="255">
        <v>71.3</v>
      </c>
      <c r="N341" s="255">
        <v>10.4</v>
      </c>
      <c r="O341" s="255">
        <v>26</v>
      </c>
      <c r="P341" s="255">
        <v>36.4</v>
      </c>
      <c r="Q341" s="255">
        <v>15.9</v>
      </c>
      <c r="R341" s="255">
        <v>6.6</v>
      </c>
      <c r="S341" s="255">
        <v>3.8</v>
      </c>
      <c r="T341" s="255">
        <v>12.8</v>
      </c>
      <c r="U341" s="255">
        <v>16.7</v>
      </c>
    </row>
    <row r="342" spans="1:21" ht="15.75" customHeight="1" thickBot="1" x14ac:dyDescent="0.3">
      <c r="A342" s="257">
        <v>341</v>
      </c>
      <c r="B342" s="259" t="s">
        <v>445</v>
      </c>
      <c r="C342" s="255">
        <v>31</v>
      </c>
      <c r="D342" s="255">
        <v>81.099999999999994</v>
      </c>
      <c r="E342" s="255">
        <v>28.7</v>
      </c>
      <c r="F342" s="255">
        <v>62</v>
      </c>
      <c r="G342" s="255">
        <v>46.4</v>
      </c>
      <c r="H342" s="255">
        <v>10.7</v>
      </c>
      <c r="I342" s="255">
        <v>28.9</v>
      </c>
      <c r="J342" s="255">
        <v>37.1</v>
      </c>
      <c r="K342" s="255">
        <v>12.9</v>
      </c>
      <c r="L342" s="255">
        <v>18</v>
      </c>
      <c r="M342" s="255">
        <v>71.5</v>
      </c>
      <c r="N342" s="255">
        <v>9.9</v>
      </c>
      <c r="O342" s="255">
        <v>25.5</v>
      </c>
      <c r="P342" s="255">
        <v>35.4</v>
      </c>
      <c r="Q342" s="255">
        <v>14.3</v>
      </c>
      <c r="R342" s="255">
        <v>6</v>
      </c>
      <c r="S342" s="255">
        <v>3.2</v>
      </c>
      <c r="T342" s="255">
        <v>9.6</v>
      </c>
      <c r="U342" s="255">
        <v>18.7</v>
      </c>
    </row>
    <row r="343" spans="1:21" ht="15.75" customHeight="1" thickBot="1" x14ac:dyDescent="0.3">
      <c r="A343" s="257">
        <v>342</v>
      </c>
      <c r="B343" s="259" t="s">
        <v>350</v>
      </c>
      <c r="C343" s="255">
        <v>29</v>
      </c>
      <c r="D343" s="255">
        <v>81.2</v>
      </c>
      <c r="E343" s="255">
        <v>28.5</v>
      </c>
      <c r="F343" s="255">
        <v>56.6</v>
      </c>
      <c r="G343" s="255">
        <v>50.4</v>
      </c>
      <c r="H343" s="255">
        <v>7.2</v>
      </c>
      <c r="I343" s="255">
        <v>20.2</v>
      </c>
      <c r="J343" s="255">
        <v>35.700000000000003</v>
      </c>
      <c r="K343" s="255">
        <v>16.899999999999999</v>
      </c>
      <c r="L343" s="255">
        <v>22.9</v>
      </c>
      <c r="M343" s="255">
        <v>73.8</v>
      </c>
      <c r="N343" s="255">
        <v>9.3000000000000007</v>
      </c>
      <c r="O343" s="255">
        <v>25.6</v>
      </c>
      <c r="P343" s="255">
        <v>34.9</v>
      </c>
      <c r="Q343" s="255">
        <v>14.4</v>
      </c>
      <c r="R343" s="255">
        <v>6.6</v>
      </c>
      <c r="S343" s="255">
        <v>3.4</v>
      </c>
      <c r="T343" s="255">
        <v>11.6</v>
      </c>
      <c r="U343" s="255">
        <v>16</v>
      </c>
    </row>
    <row r="344" spans="1:21" ht="15.75" customHeight="1" thickBot="1" x14ac:dyDescent="0.3">
      <c r="A344" s="257">
        <v>343</v>
      </c>
      <c r="B344" s="259" t="s">
        <v>187</v>
      </c>
      <c r="C344" s="255">
        <v>30</v>
      </c>
      <c r="D344" s="255">
        <v>81.2</v>
      </c>
      <c r="E344" s="255">
        <v>28.9</v>
      </c>
      <c r="F344" s="255">
        <v>57.6</v>
      </c>
      <c r="G344" s="255">
        <v>50.2</v>
      </c>
      <c r="H344" s="255">
        <v>6.8</v>
      </c>
      <c r="I344" s="255">
        <v>20.100000000000001</v>
      </c>
      <c r="J344" s="255">
        <v>33.9</v>
      </c>
      <c r="K344" s="255">
        <v>16.600000000000001</v>
      </c>
      <c r="L344" s="255">
        <v>22.7</v>
      </c>
      <c r="M344" s="255">
        <v>72.900000000000006</v>
      </c>
      <c r="N344" s="255">
        <v>11.4</v>
      </c>
      <c r="O344" s="255">
        <v>25.4</v>
      </c>
      <c r="P344" s="255">
        <v>36.799999999999997</v>
      </c>
      <c r="Q344" s="255">
        <v>16.100000000000001</v>
      </c>
      <c r="R344" s="255">
        <v>7.5</v>
      </c>
      <c r="S344" s="255">
        <v>4.2</v>
      </c>
      <c r="T344" s="255">
        <v>12.9</v>
      </c>
      <c r="U344" s="255">
        <v>15.2</v>
      </c>
    </row>
    <row r="345" spans="1:21" ht="15.75" customHeight="1" thickBot="1" x14ac:dyDescent="0.3">
      <c r="A345" s="257">
        <v>344</v>
      </c>
      <c r="B345" s="259" t="s">
        <v>325</v>
      </c>
      <c r="C345" s="255">
        <v>30</v>
      </c>
      <c r="D345" s="255">
        <v>81.2</v>
      </c>
      <c r="E345" s="255">
        <v>28.7</v>
      </c>
      <c r="F345" s="255">
        <v>64.900000000000006</v>
      </c>
      <c r="G345" s="255">
        <v>44.1</v>
      </c>
      <c r="H345" s="255">
        <v>8.3000000000000007</v>
      </c>
      <c r="I345" s="255">
        <v>25.3</v>
      </c>
      <c r="J345" s="255">
        <v>32.9</v>
      </c>
      <c r="K345" s="255">
        <v>15.6</v>
      </c>
      <c r="L345" s="255">
        <v>20.7</v>
      </c>
      <c r="M345" s="255">
        <v>75.099999999999994</v>
      </c>
      <c r="N345" s="255">
        <v>12</v>
      </c>
      <c r="O345" s="255">
        <v>26.7</v>
      </c>
      <c r="P345" s="255">
        <v>38.700000000000003</v>
      </c>
      <c r="Q345" s="255">
        <v>14.8</v>
      </c>
      <c r="R345" s="255">
        <v>6.6</v>
      </c>
      <c r="S345" s="255">
        <v>4.2</v>
      </c>
      <c r="T345" s="255">
        <v>9.1999999999999993</v>
      </c>
      <c r="U345" s="255">
        <v>16.899999999999999</v>
      </c>
    </row>
    <row r="346" spans="1:21" ht="15.75" customHeight="1" thickBot="1" x14ac:dyDescent="0.3">
      <c r="A346" s="257">
        <v>345</v>
      </c>
      <c r="B346" s="259" t="s">
        <v>210</v>
      </c>
      <c r="C346" s="255">
        <v>31</v>
      </c>
      <c r="D346" s="255">
        <v>81.3</v>
      </c>
      <c r="E346" s="255">
        <v>27.5</v>
      </c>
      <c r="F346" s="255">
        <v>59.2</v>
      </c>
      <c r="G346" s="255">
        <v>46.4</v>
      </c>
      <c r="H346" s="255">
        <v>8</v>
      </c>
      <c r="I346" s="255">
        <v>22.5</v>
      </c>
      <c r="J346" s="255">
        <v>35.6</v>
      </c>
      <c r="K346" s="255">
        <v>18.3</v>
      </c>
      <c r="L346" s="255">
        <v>25.5</v>
      </c>
      <c r="M346" s="255">
        <v>71.7</v>
      </c>
      <c r="N346" s="255">
        <v>12.5</v>
      </c>
      <c r="O346" s="255">
        <v>25.6</v>
      </c>
      <c r="P346" s="255">
        <v>38.1</v>
      </c>
      <c r="Q346" s="255">
        <v>14.6</v>
      </c>
      <c r="R346" s="255">
        <v>7.4</v>
      </c>
      <c r="S346" s="255">
        <v>3.6</v>
      </c>
      <c r="T346" s="255">
        <v>13.5</v>
      </c>
      <c r="U346" s="255">
        <v>19.399999999999999</v>
      </c>
    </row>
    <row r="347" spans="1:21" ht="15.75" customHeight="1" thickBot="1" x14ac:dyDescent="0.3">
      <c r="A347" s="257">
        <v>346</v>
      </c>
      <c r="B347" s="259" t="s">
        <v>197</v>
      </c>
      <c r="C347" s="255">
        <v>31</v>
      </c>
      <c r="D347" s="255">
        <v>81.5</v>
      </c>
      <c r="E347" s="255">
        <v>28</v>
      </c>
      <c r="F347" s="255">
        <v>58.2</v>
      </c>
      <c r="G347" s="255">
        <v>48.1</v>
      </c>
      <c r="H347" s="255">
        <v>11.6</v>
      </c>
      <c r="I347" s="255">
        <v>29.4</v>
      </c>
      <c r="J347" s="255">
        <v>39.5</v>
      </c>
      <c r="K347" s="255">
        <v>14</v>
      </c>
      <c r="L347" s="255">
        <v>19.100000000000001</v>
      </c>
      <c r="M347" s="255">
        <v>73.5</v>
      </c>
      <c r="N347" s="255">
        <v>10.8</v>
      </c>
      <c r="O347" s="255">
        <v>21.5</v>
      </c>
      <c r="P347" s="255">
        <v>32.299999999999997</v>
      </c>
      <c r="Q347" s="255">
        <v>17.3</v>
      </c>
      <c r="R347" s="255">
        <v>6</v>
      </c>
      <c r="S347" s="255">
        <v>2.9</v>
      </c>
      <c r="T347" s="255">
        <v>10.3</v>
      </c>
      <c r="U347" s="255">
        <v>17.5</v>
      </c>
    </row>
    <row r="348" spans="1:21" ht="15.75" customHeight="1" thickBot="1" x14ac:dyDescent="0.3">
      <c r="A348" s="257">
        <v>347</v>
      </c>
      <c r="B348" s="259" t="s">
        <v>359</v>
      </c>
      <c r="C348" s="255">
        <v>32</v>
      </c>
      <c r="D348" s="255">
        <v>81.7</v>
      </c>
      <c r="E348" s="255">
        <v>30.6</v>
      </c>
      <c r="F348" s="255">
        <v>64.8</v>
      </c>
      <c r="G348" s="255">
        <v>47.2</v>
      </c>
      <c r="H348" s="255">
        <v>9.1999999999999993</v>
      </c>
      <c r="I348" s="255">
        <v>26.9</v>
      </c>
      <c r="J348" s="255">
        <v>34</v>
      </c>
      <c r="K348" s="255">
        <v>11.4</v>
      </c>
      <c r="L348" s="255">
        <v>15.8</v>
      </c>
      <c r="M348" s="255">
        <v>72.400000000000006</v>
      </c>
      <c r="N348" s="255">
        <v>12.3</v>
      </c>
      <c r="O348" s="255">
        <v>24</v>
      </c>
      <c r="P348" s="255">
        <v>36.299999999999997</v>
      </c>
      <c r="Q348" s="255">
        <v>20.100000000000001</v>
      </c>
      <c r="R348" s="255">
        <v>5.5</v>
      </c>
      <c r="S348" s="255">
        <v>4.5999999999999996</v>
      </c>
      <c r="T348" s="255">
        <v>11.2</v>
      </c>
      <c r="U348" s="255">
        <v>18.8</v>
      </c>
    </row>
    <row r="349" spans="1:21" ht="15.75" customHeight="1" thickBot="1" x14ac:dyDescent="0.3">
      <c r="A349" s="257">
        <v>348</v>
      </c>
      <c r="B349" s="259" t="s">
        <v>249</v>
      </c>
      <c r="C349" s="255">
        <v>32</v>
      </c>
      <c r="D349" s="255">
        <v>81.8</v>
      </c>
      <c r="E349" s="255">
        <v>28.4</v>
      </c>
      <c r="F349" s="255">
        <v>58.9</v>
      </c>
      <c r="G349" s="255">
        <v>48.1</v>
      </c>
      <c r="H349" s="255">
        <v>8.8000000000000007</v>
      </c>
      <c r="I349" s="255">
        <v>24.4</v>
      </c>
      <c r="J349" s="255">
        <v>36.1</v>
      </c>
      <c r="K349" s="255">
        <v>16.3</v>
      </c>
      <c r="L349" s="255">
        <v>22.5</v>
      </c>
      <c r="M349" s="255">
        <v>72.3</v>
      </c>
      <c r="N349" s="255">
        <v>10.5</v>
      </c>
      <c r="O349" s="255">
        <v>25.1</v>
      </c>
      <c r="P349" s="255">
        <v>35.5</v>
      </c>
      <c r="Q349" s="255">
        <v>15.3</v>
      </c>
      <c r="R349" s="255">
        <v>7.1</v>
      </c>
      <c r="S349" s="255">
        <v>2.7</v>
      </c>
      <c r="T349" s="255">
        <v>11.5</v>
      </c>
      <c r="U349" s="255">
        <v>16.8</v>
      </c>
    </row>
    <row r="350" spans="1:21" ht="15.75" customHeight="1" thickBot="1" x14ac:dyDescent="0.3">
      <c r="A350" s="257">
        <v>349</v>
      </c>
      <c r="B350" s="259" t="s">
        <v>211</v>
      </c>
      <c r="C350" s="255">
        <v>31</v>
      </c>
      <c r="D350" s="255">
        <v>82.4</v>
      </c>
      <c r="E350" s="255">
        <v>28.5</v>
      </c>
      <c r="F350" s="255">
        <v>61.4</v>
      </c>
      <c r="G350" s="255">
        <v>46.5</v>
      </c>
      <c r="H350" s="255">
        <v>9.9</v>
      </c>
      <c r="I350" s="255">
        <v>28.2</v>
      </c>
      <c r="J350" s="255">
        <v>35</v>
      </c>
      <c r="K350" s="255">
        <v>15.4</v>
      </c>
      <c r="L350" s="255">
        <v>20.9</v>
      </c>
      <c r="M350" s="255">
        <v>73.7</v>
      </c>
      <c r="N350" s="255">
        <v>9.9</v>
      </c>
      <c r="O350" s="255">
        <v>27.9</v>
      </c>
      <c r="P350" s="255">
        <v>37.799999999999997</v>
      </c>
      <c r="Q350" s="255">
        <v>16.600000000000001</v>
      </c>
      <c r="R350" s="255">
        <v>6</v>
      </c>
      <c r="S350" s="255">
        <v>2.8</v>
      </c>
      <c r="T350" s="255">
        <v>14.8</v>
      </c>
      <c r="U350" s="255">
        <v>20.399999999999999</v>
      </c>
    </row>
    <row r="351" spans="1:21" ht="15.75" customHeight="1" thickBot="1" x14ac:dyDescent="0.3">
      <c r="A351" s="257">
        <v>350</v>
      </c>
      <c r="B351" s="259" t="s">
        <v>391</v>
      </c>
      <c r="C351" s="255">
        <v>30</v>
      </c>
      <c r="D351" s="255">
        <v>82.5</v>
      </c>
      <c r="E351" s="255">
        <v>28.7</v>
      </c>
      <c r="F351" s="255">
        <v>62.1</v>
      </c>
      <c r="G351" s="255">
        <v>46.3</v>
      </c>
      <c r="H351" s="255">
        <v>9.3000000000000007</v>
      </c>
      <c r="I351" s="255">
        <v>26.8</v>
      </c>
      <c r="J351" s="255">
        <v>34.5</v>
      </c>
      <c r="K351" s="255">
        <v>15.7</v>
      </c>
      <c r="L351" s="255">
        <v>21.7</v>
      </c>
      <c r="M351" s="255">
        <v>72.5</v>
      </c>
      <c r="N351" s="255">
        <v>11.5</v>
      </c>
      <c r="O351" s="255">
        <v>27.9</v>
      </c>
      <c r="P351" s="255">
        <v>39.5</v>
      </c>
      <c r="Q351" s="255">
        <v>16.899999999999999</v>
      </c>
      <c r="R351" s="255">
        <v>6.8</v>
      </c>
      <c r="S351" s="255">
        <v>3.1</v>
      </c>
      <c r="T351" s="255">
        <v>12.4</v>
      </c>
      <c r="U351" s="255">
        <v>19.399999999999999</v>
      </c>
    </row>
    <row r="352" spans="1:21" ht="15.75" customHeight="1" thickBot="1" x14ac:dyDescent="0.3">
      <c r="A352" s="257">
        <v>351</v>
      </c>
      <c r="B352" s="259" t="s">
        <v>362</v>
      </c>
      <c r="C352" s="255">
        <v>30</v>
      </c>
      <c r="D352" s="255">
        <v>82.5</v>
      </c>
      <c r="E352" s="255">
        <v>28.8</v>
      </c>
      <c r="F352" s="255">
        <v>64.2</v>
      </c>
      <c r="G352" s="255">
        <v>44.9</v>
      </c>
      <c r="H352" s="255">
        <v>9.6999999999999993</v>
      </c>
      <c r="I352" s="255">
        <v>27.6</v>
      </c>
      <c r="J352" s="255">
        <v>35.299999999999997</v>
      </c>
      <c r="K352" s="255">
        <v>15.2</v>
      </c>
      <c r="L352" s="255">
        <v>21.2</v>
      </c>
      <c r="M352" s="255">
        <v>71.599999999999994</v>
      </c>
      <c r="N352" s="255">
        <v>11.6</v>
      </c>
      <c r="O352" s="255">
        <v>25.6</v>
      </c>
      <c r="P352" s="255">
        <v>37.200000000000003</v>
      </c>
      <c r="Q352" s="255">
        <v>16.600000000000001</v>
      </c>
      <c r="R352" s="255">
        <v>7</v>
      </c>
      <c r="S352" s="255">
        <v>4.0999999999999996</v>
      </c>
      <c r="T352" s="255">
        <v>12.4</v>
      </c>
      <c r="U352" s="255">
        <v>18.7</v>
      </c>
    </row>
    <row r="353" spans="1:21" ht="15.75" customHeight="1" thickBot="1" x14ac:dyDescent="0.3">
      <c r="A353" s="257">
        <v>352</v>
      </c>
      <c r="B353" s="259" t="s">
        <v>241</v>
      </c>
      <c r="C353" s="255">
        <v>31</v>
      </c>
      <c r="D353" s="255">
        <v>82.8</v>
      </c>
      <c r="E353" s="255">
        <v>29.7</v>
      </c>
      <c r="F353" s="255">
        <v>60.9</v>
      </c>
      <c r="G353" s="255">
        <v>48.7</v>
      </c>
      <c r="H353" s="255">
        <v>8.4</v>
      </c>
      <c r="I353" s="255">
        <v>22.7</v>
      </c>
      <c r="J353" s="255">
        <v>36.9</v>
      </c>
      <c r="K353" s="255">
        <v>15.1</v>
      </c>
      <c r="L353" s="255">
        <v>21.5</v>
      </c>
      <c r="M353" s="255">
        <v>69.900000000000006</v>
      </c>
      <c r="N353" s="255">
        <v>11</v>
      </c>
      <c r="O353" s="255">
        <v>23.3</v>
      </c>
      <c r="P353" s="255">
        <v>34.299999999999997</v>
      </c>
      <c r="Q353" s="255">
        <v>12.7</v>
      </c>
      <c r="R353" s="255">
        <v>5.8</v>
      </c>
      <c r="S353" s="255">
        <v>2.8</v>
      </c>
      <c r="T353" s="255">
        <v>9.1</v>
      </c>
      <c r="U353" s="255">
        <v>18.600000000000001</v>
      </c>
    </row>
    <row r="354" spans="1:21" ht="15.75" customHeight="1" thickBot="1" x14ac:dyDescent="0.3">
      <c r="A354" s="257">
        <v>353</v>
      </c>
      <c r="B354" s="259" t="s">
        <v>233</v>
      </c>
      <c r="C354" s="255">
        <v>26</v>
      </c>
      <c r="D354" s="255">
        <v>83</v>
      </c>
      <c r="E354" s="255">
        <v>29.3</v>
      </c>
      <c r="F354" s="255">
        <v>61.7</v>
      </c>
      <c r="G354" s="255">
        <v>47.5</v>
      </c>
      <c r="H354" s="255">
        <v>8.8000000000000007</v>
      </c>
      <c r="I354" s="255">
        <v>23.6</v>
      </c>
      <c r="J354" s="255">
        <v>37.299999999999997</v>
      </c>
      <c r="K354" s="255">
        <v>15.5</v>
      </c>
      <c r="L354" s="255">
        <v>21.8</v>
      </c>
      <c r="M354" s="255">
        <v>70.900000000000006</v>
      </c>
      <c r="N354" s="255">
        <v>10.199999999999999</v>
      </c>
      <c r="O354" s="255">
        <v>23.3</v>
      </c>
      <c r="P354" s="255">
        <v>33.5</v>
      </c>
      <c r="Q354" s="255">
        <v>16.600000000000001</v>
      </c>
      <c r="R354" s="255">
        <v>6.9</v>
      </c>
      <c r="S354" s="255">
        <v>2.7</v>
      </c>
      <c r="T354" s="255">
        <v>11.5</v>
      </c>
      <c r="U354" s="255">
        <v>17.5</v>
      </c>
    </row>
    <row r="355" spans="1:21" ht="15.75" customHeight="1" thickBot="1" x14ac:dyDescent="0.3">
      <c r="A355" s="257">
        <v>354</v>
      </c>
      <c r="B355" s="259" t="s">
        <v>326</v>
      </c>
      <c r="C355" s="255">
        <v>32</v>
      </c>
      <c r="D355" s="255">
        <v>83.2</v>
      </c>
      <c r="E355" s="255">
        <v>26.6</v>
      </c>
      <c r="F355" s="255">
        <v>56.2</v>
      </c>
      <c r="G355" s="255">
        <v>47.4</v>
      </c>
      <c r="H355" s="255">
        <v>8.6</v>
      </c>
      <c r="I355" s="255">
        <v>23.8</v>
      </c>
      <c r="J355" s="255">
        <v>36.299999999999997</v>
      </c>
      <c r="K355" s="255">
        <v>21.3</v>
      </c>
      <c r="L355" s="255">
        <v>28.3</v>
      </c>
      <c r="M355" s="255">
        <v>75.400000000000006</v>
      </c>
      <c r="N355" s="255">
        <v>11.5</v>
      </c>
      <c r="O355" s="255">
        <v>25.3</v>
      </c>
      <c r="P355" s="255">
        <v>36.799999999999997</v>
      </c>
      <c r="Q355" s="255">
        <v>15.8</v>
      </c>
      <c r="R355" s="255">
        <v>8.6999999999999993</v>
      </c>
      <c r="S355" s="255">
        <v>3.4</v>
      </c>
      <c r="T355" s="255">
        <v>12.3</v>
      </c>
      <c r="U355" s="255">
        <v>17.3</v>
      </c>
    </row>
    <row r="356" spans="1:21" ht="15.75" customHeight="1" thickBot="1" x14ac:dyDescent="0.3">
      <c r="A356" s="257">
        <v>355</v>
      </c>
      <c r="B356" s="259" t="s">
        <v>380</v>
      </c>
      <c r="C356" s="255">
        <v>31</v>
      </c>
      <c r="D356" s="255">
        <v>83.3</v>
      </c>
      <c r="E356" s="255">
        <v>28.5</v>
      </c>
      <c r="F356" s="255">
        <v>60.4</v>
      </c>
      <c r="G356" s="255">
        <v>47.1</v>
      </c>
      <c r="H356" s="255">
        <v>8.6</v>
      </c>
      <c r="I356" s="255">
        <v>23.8</v>
      </c>
      <c r="J356" s="255">
        <v>36</v>
      </c>
      <c r="K356" s="255">
        <v>17.7</v>
      </c>
      <c r="L356" s="255">
        <v>24.1</v>
      </c>
      <c r="M356" s="255">
        <v>73.599999999999994</v>
      </c>
      <c r="N356" s="255">
        <v>11.4</v>
      </c>
      <c r="O356" s="255">
        <v>23.3</v>
      </c>
      <c r="P356" s="255">
        <v>34.700000000000003</v>
      </c>
      <c r="Q356" s="255">
        <v>13.6</v>
      </c>
      <c r="R356" s="255">
        <v>6.5</v>
      </c>
      <c r="S356" s="255">
        <v>2.9</v>
      </c>
      <c r="T356" s="255">
        <v>10.8</v>
      </c>
      <c r="U356" s="255">
        <v>19.100000000000001</v>
      </c>
    </row>
    <row r="357" spans="1:21" ht="15.75" customHeight="1" thickBot="1" x14ac:dyDescent="0.3">
      <c r="A357" s="257">
        <v>356</v>
      </c>
      <c r="B357" s="259" t="s">
        <v>90</v>
      </c>
      <c r="C357" s="255">
        <v>30</v>
      </c>
      <c r="D357" s="255">
        <v>83.6</v>
      </c>
      <c r="E357" s="255">
        <v>29.8</v>
      </c>
      <c r="F357" s="255">
        <v>69.3</v>
      </c>
      <c r="G357" s="255">
        <v>43</v>
      </c>
      <c r="H357" s="255">
        <v>8.1</v>
      </c>
      <c r="I357" s="255">
        <v>24.4</v>
      </c>
      <c r="J357" s="255">
        <v>33.200000000000003</v>
      </c>
      <c r="K357" s="255">
        <v>15.9</v>
      </c>
      <c r="L357" s="255">
        <v>22.9</v>
      </c>
      <c r="M357" s="255">
        <v>69.400000000000006</v>
      </c>
      <c r="N357" s="255">
        <v>14.2</v>
      </c>
      <c r="O357" s="255">
        <v>26.2</v>
      </c>
      <c r="P357" s="255">
        <v>40.299999999999997</v>
      </c>
      <c r="Q357" s="255">
        <v>13.9</v>
      </c>
      <c r="R357" s="255">
        <v>6.6</v>
      </c>
      <c r="S357" s="255">
        <v>3.6</v>
      </c>
      <c r="T357" s="255">
        <v>9.4</v>
      </c>
      <c r="U357" s="255">
        <v>19.899999999999999</v>
      </c>
    </row>
    <row r="358" spans="1:21" ht="15.75" customHeight="1" thickBot="1" x14ac:dyDescent="0.3">
      <c r="A358" s="257">
        <v>357</v>
      </c>
      <c r="B358" s="259" t="s">
        <v>290</v>
      </c>
      <c r="C358" s="255">
        <v>31</v>
      </c>
      <c r="D358" s="255">
        <v>83.9</v>
      </c>
      <c r="E358" s="255">
        <v>30.7</v>
      </c>
      <c r="F358" s="255">
        <v>63.5</v>
      </c>
      <c r="G358" s="255">
        <v>48.3</v>
      </c>
      <c r="H358" s="255">
        <v>8.9</v>
      </c>
      <c r="I358" s="255">
        <v>24.5</v>
      </c>
      <c r="J358" s="255">
        <v>36.4</v>
      </c>
      <c r="K358" s="255">
        <v>13.6</v>
      </c>
      <c r="L358" s="255">
        <v>19.3</v>
      </c>
      <c r="M358" s="255">
        <v>70.7</v>
      </c>
      <c r="N358" s="255">
        <v>12.3</v>
      </c>
      <c r="O358" s="255">
        <v>27.8</v>
      </c>
      <c r="P358" s="255">
        <v>40</v>
      </c>
      <c r="Q358" s="255">
        <v>16</v>
      </c>
      <c r="R358" s="255">
        <v>8</v>
      </c>
      <c r="S358" s="255">
        <v>3.6</v>
      </c>
      <c r="T358" s="255">
        <v>11.9</v>
      </c>
      <c r="U358" s="255">
        <v>17.5</v>
      </c>
    </row>
    <row r="359" spans="1:21" ht="15.75" customHeight="1" thickBot="1" x14ac:dyDescent="0.3">
      <c r="A359" s="257">
        <v>358</v>
      </c>
      <c r="B359" s="259" t="s">
        <v>442</v>
      </c>
      <c r="C359" s="255">
        <v>32</v>
      </c>
      <c r="D359" s="255">
        <v>83.9</v>
      </c>
      <c r="E359" s="255">
        <v>31.1</v>
      </c>
      <c r="F359" s="255">
        <v>64.3</v>
      </c>
      <c r="G359" s="255">
        <v>48.4</v>
      </c>
      <c r="H359" s="255">
        <v>9.4</v>
      </c>
      <c r="I359" s="255">
        <v>26.4</v>
      </c>
      <c r="J359" s="255">
        <v>35.700000000000003</v>
      </c>
      <c r="K359" s="255">
        <v>12.2</v>
      </c>
      <c r="L359" s="255">
        <v>17.3</v>
      </c>
      <c r="M359" s="255">
        <v>70.5</v>
      </c>
      <c r="N359" s="255">
        <v>12.3</v>
      </c>
      <c r="O359" s="255">
        <v>27.6</v>
      </c>
      <c r="P359" s="255">
        <v>39.9</v>
      </c>
      <c r="Q359" s="255">
        <v>17.600000000000001</v>
      </c>
      <c r="R359" s="255">
        <v>7.5</v>
      </c>
      <c r="S359" s="255">
        <v>4</v>
      </c>
      <c r="T359" s="255">
        <v>11.3</v>
      </c>
      <c r="U359" s="255">
        <v>18.8</v>
      </c>
    </row>
    <row r="360" spans="1:21" ht="15.75" customHeight="1" thickBot="1" x14ac:dyDescent="0.3">
      <c r="A360" s="257">
        <v>359</v>
      </c>
      <c r="B360" s="259" t="s">
        <v>378</v>
      </c>
      <c r="C360" s="255">
        <v>30</v>
      </c>
      <c r="D360" s="255">
        <v>84.2</v>
      </c>
      <c r="E360" s="255">
        <v>29.5</v>
      </c>
      <c r="F360" s="255">
        <v>66.400000000000006</v>
      </c>
      <c r="G360" s="255">
        <v>44.4</v>
      </c>
      <c r="H360" s="255">
        <v>9.4</v>
      </c>
      <c r="I360" s="255">
        <v>26.2</v>
      </c>
      <c r="J360" s="255">
        <v>35.799999999999997</v>
      </c>
      <c r="K360" s="255">
        <v>15.9</v>
      </c>
      <c r="L360" s="255">
        <v>22.2</v>
      </c>
      <c r="M360" s="255">
        <v>71.7</v>
      </c>
      <c r="N360" s="255">
        <v>12.4</v>
      </c>
      <c r="O360" s="255">
        <v>23.5</v>
      </c>
      <c r="P360" s="255">
        <v>35.9</v>
      </c>
      <c r="Q360" s="255">
        <v>16</v>
      </c>
      <c r="R360" s="255">
        <v>7.7</v>
      </c>
      <c r="S360" s="255">
        <v>3.2</v>
      </c>
      <c r="T360" s="255">
        <v>9.6999999999999993</v>
      </c>
      <c r="U360" s="255">
        <v>18.8</v>
      </c>
    </row>
    <row r="361" spans="1:21" ht="15.75" customHeight="1" thickBot="1" x14ac:dyDescent="0.3">
      <c r="A361" s="257">
        <v>360</v>
      </c>
      <c r="B361" s="259" t="s">
        <v>286</v>
      </c>
      <c r="C361" s="255">
        <v>31</v>
      </c>
      <c r="D361" s="255">
        <v>84.8</v>
      </c>
      <c r="E361" s="255">
        <v>28.5</v>
      </c>
      <c r="F361" s="255">
        <v>61.3</v>
      </c>
      <c r="G361" s="255">
        <v>46.5</v>
      </c>
      <c r="H361" s="255">
        <v>8.6</v>
      </c>
      <c r="I361" s="255">
        <v>24.6</v>
      </c>
      <c r="J361" s="255">
        <v>34.9</v>
      </c>
      <c r="K361" s="255">
        <v>19.3</v>
      </c>
      <c r="L361" s="255">
        <v>25.8</v>
      </c>
      <c r="M361" s="255">
        <v>74.5</v>
      </c>
      <c r="N361" s="255">
        <v>13.4</v>
      </c>
      <c r="O361" s="255">
        <v>27.1</v>
      </c>
      <c r="P361" s="255">
        <v>40.5</v>
      </c>
      <c r="Q361" s="255">
        <v>17.399999999999999</v>
      </c>
      <c r="R361" s="255">
        <v>7.7</v>
      </c>
      <c r="S361" s="255">
        <v>4.2</v>
      </c>
      <c r="T361" s="255">
        <v>11.6</v>
      </c>
      <c r="U361" s="255">
        <v>18.3</v>
      </c>
    </row>
    <row r="362" spans="1:21" ht="15.75" customHeight="1" thickBot="1" x14ac:dyDescent="0.3">
      <c r="A362" s="257">
        <v>361</v>
      </c>
      <c r="B362" s="259" t="s">
        <v>264</v>
      </c>
      <c r="C362" s="255">
        <v>32</v>
      </c>
      <c r="D362" s="255">
        <v>85.6</v>
      </c>
      <c r="E362" s="255">
        <v>30.4</v>
      </c>
      <c r="F362" s="255">
        <v>61.4</v>
      </c>
      <c r="G362" s="255">
        <v>49.5</v>
      </c>
      <c r="H362" s="255">
        <v>9.1</v>
      </c>
      <c r="I362" s="255">
        <v>25.3</v>
      </c>
      <c r="J362" s="255">
        <v>36.1</v>
      </c>
      <c r="K362" s="255">
        <v>15.7</v>
      </c>
      <c r="L362" s="255">
        <v>21.5</v>
      </c>
      <c r="M362" s="255">
        <v>72.7</v>
      </c>
      <c r="N362" s="255">
        <v>11.9</v>
      </c>
      <c r="O362" s="255">
        <v>27.2</v>
      </c>
      <c r="P362" s="255">
        <v>39.1</v>
      </c>
      <c r="Q362" s="255">
        <v>16.899999999999999</v>
      </c>
      <c r="R362" s="255">
        <v>8.1</v>
      </c>
      <c r="S362" s="255">
        <v>3.5</v>
      </c>
      <c r="T362" s="255">
        <v>11.3</v>
      </c>
      <c r="U362" s="255">
        <v>15.5</v>
      </c>
    </row>
    <row r="363" spans="1:21" ht="15.75" customHeight="1" thickBot="1" x14ac:dyDescent="0.3">
      <c r="A363" s="257">
        <v>362</v>
      </c>
      <c r="B363" s="259" t="s">
        <v>209</v>
      </c>
      <c r="C363" s="255">
        <v>31</v>
      </c>
      <c r="D363" s="255">
        <v>85.7</v>
      </c>
      <c r="E363" s="255">
        <v>30.3</v>
      </c>
      <c r="F363" s="255">
        <v>65.5</v>
      </c>
      <c r="G363" s="255">
        <v>46.2</v>
      </c>
      <c r="H363" s="255">
        <v>9.5</v>
      </c>
      <c r="I363" s="255">
        <v>27.5</v>
      </c>
      <c r="J363" s="255">
        <v>34.700000000000003</v>
      </c>
      <c r="K363" s="255">
        <v>15.6</v>
      </c>
      <c r="L363" s="255">
        <v>21.5</v>
      </c>
      <c r="M363" s="255">
        <v>72.8</v>
      </c>
      <c r="N363" s="255">
        <v>11.7</v>
      </c>
      <c r="O363" s="255">
        <v>26</v>
      </c>
      <c r="P363" s="255">
        <v>37.700000000000003</v>
      </c>
      <c r="Q363" s="255">
        <v>15.9</v>
      </c>
      <c r="R363" s="255">
        <v>7.4</v>
      </c>
      <c r="S363" s="255">
        <v>3.3</v>
      </c>
      <c r="T363" s="255">
        <v>12.3</v>
      </c>
      <c r="U363" s="255">
        <v>19.899999999999999</v>
      </c>
    </row>
    <row r="364" spans="1:21" ht="15.75" customHeight="1" thickBot="1" x14ac:dyDescent="0.3">
      <c r="A364" s="257">
        <v>363</v>
      </c>
      <c r="B364" s="259" t="s">
        <v>226</v>
      </c>
      <c r="C364" s="255">
        <v>33</v>
      </c>
      <c r="D364" s="255">
        <v>85.9</v>
      </c>
      <c r="E364" s="255">
        <v>29.8</v>
      </c>
      <c r="F364" s="255">
        <v>62.3</v>
      </c>
      <c r="G364" s="255">
        <v>47.9</v>
      </c>
      <c r="H364" s="255">
        <v>9.6999999999999993</v>
      </c>
      <c r="I364" s="255">
        <v>27.4</v>
      </c>
      <c r="J364" s="255">
        <v>35.5</v>
      </c>
      <c r="K364" s="255">
        <v>16.600000000000001</v>
      </c>
      <c r="L364" s="255">
        <v>21.9</v>
      </c>
      <c r="M364" s="255">
        <v>75.599999999999994</v>
      </c>
      <c r="N364" s="255">
        <v>12.3</v>
      </c>
      <c r="O364" s="255">
        <v>23.9</v>
      </c>
      <c r="P364" s="255">
        <v>36.200000000000003</v>
      </c>
      <c r="Q364" s="255">
        <v>17.3</v>
      </c>
      <c r="R364" s="255">
        <v>6.8</v>
      </c>
      <c r="S364" s="255">
        <v>3.9</v>
      </c>
      <c r="T364" s="255">
        <v>11.2</v>
      </c>
      <c r="U364" s="255">
        <v>18.899999999999999</v>
      </c>
    </row>
    <row r="365" spans="1:21" ht="15.75" customHeight="1" thickBot="1" x14ac:dyDescent="0.3">
      <c r="A365" s="257">
        <v>364</v>
      </c>
      <c r="B365" s="259" t="s">
        <v>348</v>
      </c>
      <c r="C365" s="255">
        <v>32</v>
      </c>
      <c r="D365" s="255">
        <v>88.2</v>
      </c>
      <c r="E365" s="255">
        <v>32.4</v>
      </c>
      <c r="F365" s="255">
        <v>66.3</v>
      </c>
      <c r="G365" s="255">
        <v>48.9</v>
      </c>
      <c r="H365" s="255">
        <v>9.1</v>
      </c>
      <c r="I365" s="255">
        <v>25.9</v>
      </c>
      <c r="J365" s="255">
        <v>35</v>
      </c>
      <c r="K365" s="255">
        <v>14.3</v>
      </c>
      <c r="L365" s="255">
        <v>20.3</v>
      </c>
      <c r="M365" s="255">
        <v>70.400000000000006</v>
      </c>
      <c r="N365" s="255">
        <v>13.5</v>
      </c>
      <c r="O365" s="255">
        <v>25.6</v>
      </c>
      <c r="P365" s="255">
        <v>39.1</v>
      </c>
      <c r="Q365" s="255">
        <v>16.7</v>
      </c>
      <c r="R365" s="255">
        <v>7.8</v>
      </c>
      <c r="S365" s="255">
        <v>3.6</v>
      </c>
      <c r="T365" s="255">
        <v>10</v>
      </c>
      <c r="U365" s="255">
        <v>16.100000000000001</v>
      </c>
    </row>
    <row r="366" spans="1:21" ht="15.75" customHeight="1" thickBot="1" x14ac:dyDescent="0.3">
      <c r="A366" s="257">
        <v>365</v>
      </c>
      <c r="B366" s="259" t="s">
        <v>279</v>
      </c>
      <c r="C366" s="255">
        <v>32</v>
      </c>
      <c r="D366" s="255">
        <v>88.3</v>
      </c>
      <c r="E366" s="255">
        <v>30</v>
      </c>
      <c r="F366" s="255">
        <v>59</v>
      </c>
      <c r="G366" s="255">
        <v>50.9</v>
      </c>
      <c r="H366" s="255">
        <v>8</v>
      </c>
      <c r="I366" s="255">
        <v>20.8</v>
      </c>
      <c r="J366" s="255">
        <v>38.6</v>
      </c>
      <c r="K366" s="255">
        <v>20.3</v>
      </c>
      <c r="L366" s="255">
        <v>27.4</v>
      </c>
      <c r="M366" s="255">
        <v>74</v>
      </c>
      <c r="N366" s="255">
        <v>11.2</v>
      </c>
      <c r="O366" s="255">
        <v>27</v>
      </c>
      <c r="P366" s="255">
        <v>38.200000000000003</v>
      </c>
      <c r="Q366" s="255">
        <v>15.8</v>
      </c>
      <c r="R366" s="255">
        <v>7.6</v>
      </c>
      <c r="S366" s="255">
        <v>3.1</v>
      </c>
      <c r="T366" s="255">
        <v>15.5</v>
      </c>
      <c r="U366" s="255">
        <v>14.6</v>
      </c>
    </row>
  </sheetData>
  <autoFilter ref="A1:U351" xr:uid="{00000000-0009-0000-0000-000008000000}"/>
  <hyperlinks>
    <hyperlink ref="D1" r:id="rId1" display="https://www.espn.com/mens-college-basketball/stats/team/_/view/opponent/table/offensive/sort/avgPoints/dir/desc" xr:uid="{00000000-0004-0000-0800-000000000000}"/>
    <hyperlink ref="E1" r:id="rId2" display="https://www.espn.com/mens-college-basketball/stats/team/_/view/opponent/table/offensive/sort/avgFieldGoalsMade/dir/asc" xr:uid="{00000000-0004-0000-0800-000001000000}"/>
    <hyperlink ref="F1" r:id="rId3" display="https://www.espn.com/mens-college-basketball/stats/team/_/view/opponent/table/offensive/sort/avgFieldGoalsAttempted/dir/asc" xr:uid="{00000000-0004-0000-0800-000002000000}"/>
    <hyperlink ref="G1" r:id="rId4" display="https://www.espn.com/mens-college-basketball/stats/team/_/view/opponent/table/offensive/sort/fieldGoalPct/dir/asc" xr:uid="{00000000-0004-0000-0800-000003000000}"/>
    <hyperlink ref="H1" r:id="rId5" display="https://www.espn.com/mens-college-basketball/stats/team/_/view/opponent/table/offensive/sort/avgThreePointFieldGoalsMade/dir/asc" xr:uid="{00000000-0004-0000-0800-000004000000}"/>
    <hyperlink ref="I1" r:id="rId6" display="https://www.espn.com/mens-college-basketball/stats/team/_/view/opponent/table/offensive/sort/avgThreePointFieldGoalsAttempted/dir/asc" xr:uid="{00000000-0004-0000-0800-000005000000}"/>
    <hyperlink ref="J1" r:id="rId7" display="https://www.espn.com/mens-college-basketball/stats/team/_/view/opponent/table/offensive/sort/threePointFieldGoalPct/dir/asc" xr:uid="{00000000-0004-0000-0800-000006000000}"/>
    <hyperlink ref="K1" r:id="rId8" display="https://www.espn.com/mens-college-basketball/stats/team/_/view/opponent/table/offensive/sort/avgFreeThrowsMade/dir/asc" xr:uid="{00000000-0004-0000-0800-000007000000}"/>
    <hyperlink ref="L1" r:id="rId9" display="https://www.espn.com/mens-college-basketball/stats/team/_/view/opponent/table/offensive/sort/avgFreeThrowsAttempted/dir/asc" xr:uid="{00000000-0004-0000-0800-000008000000}"/>
    <hyperlink ref="M1" r:id="rId10" display="https://www.espn.com/mens-college-basketball/stats/team/_/view/opponent/table/offensive/sort/freeThrowPct/dir/asc" xr:uid="{00000000-0004-0000-0800-000009000000}"/>
    <hyperlink ref="N1" r:id="rId11" display="https://www.espn.com/mens-college-basketball/stats/team/_/view/opponent/table/offensive/sort/avgOffensiveRebounds/dir/asc" xr:uid="{00000000-0004-0000-0800-00000A000000}"/>
    <hyperlink ref="O1" r:id="rId12" display="https://www.espn.com/mens-college-basketball/stats/team/_/view/opponent/table/defensive/sort/avgDefensiveRebounds/dir/asc" xr:uid="{00000000-0004-0000-0800-00000B000000}"/>
    <hyperlink ref="P1" r:id="rId13" display="https://www.espn.com/mens-college-basketball/stats/team/_/view/opponent/table/general/sort/avgRebounds/dir/asc" xr:uid="{00000000-0004-0000-0800-00000C000000}"/>
    <hyperlink ref="Q1" r:id="rId14" display="https://www.espn.com/mens-college-basketball/stats/team/_/view/opponent/table/offensive/sort/avgAssists/dir/asc" xr:uid="{00000000-0004-0000-0800-00000D000000}"/>
    <hyperlink ref="R1" r:id="rId15" display="https://www.espn.com/mens-college-basketball/stats/team/_/view/opponent/table/defensive/sort/avgSteals/dir/asc" xr:uid="{00000000-0004-0000-0800-00000E000000}"/>
    <hyperlink ref="S1" r:id="rId16" display="https://www.espn.com/mens-college-basketball/stats/team/_/view/opponent/table/defensive/sort/avgBlocks/dir/asc" xr:uid="{00000000-0004-0000-0800-00000F000000}"/>
    <hyperlink ref="T1" r:id="rId17" display="https://www.espn.com/mens-college-basketball/stats/team/_/view/opponent/table/offensive/sort/avgTurnovers/dir/desc" xr:uid="{00000000-0004-0000-0800-000010000000}"/>
    <hyperlink ref="U1" r:id="rId18" display="https://www.espn.com/mens-college-basketball/stats/team/_/view/opponent/table/general/sort/avgFouls/dir/desc" xr:uid="{00000000-0004-0000-0800-000011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366"/>
  <sheetViews>
    <sheetView zoomScaleNormal="100" workbookViewId="0">
      <selection activeCell="A292" sqref="A292"/>
    </sheetView>
  </sheetViews>
  <sheetFormatPr defaultColWidth="8.5703125" defaultRowHeight="15" x14ac:dyDescent="0.25"/>
  <cols>
    <col min="1" max="1" width="32.28515625" customWidth="1"/>
    <col min="2" max="2" width="12.7109375" customWidth="1"/>
    <col min="3" max="4" width="7.5703125" customWidth="1"/>
    <col min="5" max="5" width="8" customWidth="1"/>
    <col min="6" max="9" width="5" customWidth="1"/>
    <col min="10" max="10" width="12" style="234" customWidth="1"/>
  </cols>
  <sheetData>
    <row r="1" spans="1:10" ht="15.75" customHeight="1" x14ac:dyDescent="0.25">
      <c r="A1" s="196" t="s">
        <v>627</v>
      </c>
      <c r="B1" s="197" t="s">
        <v>647</v>
      </c>
      <c r="C1" s="198" t="s">
        <v>648</v>
      </c>
      <c r="D1" s="198" t="s">
        <v>179</v>
      </c>
      <c r="E1" s="198" t="s">
        <v>649</v>
      </c>
      <c r="F1" s="200" t="s">
        <v>650</v>
      </c>
      <c r="G1" s="200" t="s">
        <v>651</v>
      </c>
      <c r="H1" s="200" t="s">
        <v>652</v>
      </c>
      <c r="I1" s="200" t="s">
        <v>653</v>
      </c>
      <c r="J1" s="234" t="s">
        <v>654</v>
      </c>
    </row>
    <row r="2" spans="1:10" ht="15.75" customHeight="1" x14ac:dyDescent="0.25">
      <c r="A2" s="201" t="s">
        <v>67</v>
      </c>
      <c r="B2" s="202" t="s">
        <v>655</v>
      </c>
      <c r="C2" s="199">
        <f t="shared" ref="C2:C65" si="0">RANK(J2,J$2:J$366,0)</f>
        <v>1</v>
      </c>
      <c r="D2" s="199">
        <v>2</v>
      </c>
      <c r="E2" s="199">
        <v>3</v>
      </c>
      <c r="F2" s="203">
        <v>28</v>
      </c>
      <c r="G2" s="203">
        <v>2</v>
      </c>
      <c r="H2" s="203">
        <v>14</v>
      </c>
      <c r="I2" s="203">
        <v>2</v>
      </c>
      <c r="J2" s="234">
        <f t="shared" ref="J2:J65" si="1">0.35*(F2/(F2+G2))*((366-D2)/(366-1))+0.3*(F2/(F2+G2))*(0.7*((366-D2)/(366-1))+0.3*((366-E2)/(366-1)))+0.2*IF((H2+I2)&gt;0,H2/(H2+I2),0)*(H2+I2)/(F2+G2)+0.15*(F2/(F2+G2))</f>
        <v>0.83810776255707764</v>
      </c>
    </row>
    <row r="3" spans="1:10" ht="15.75" customHeight="1" x14ac:dyDescent="0.25">
      <c r="A3" s="201" t="s">
        <v>17</v>
      </c>
      <c r="B3" s="202" t="s">
        <v>656</v>
      </c>
      <c r="C3" s="199">
        <f t="shared" si="0"/>
        <v>2</v>
      </c>
      <c r="D3" s="199">
        <v>17</v>
      </c>
      <c r="E3" s="199">
        <v>13</v>
      </c>
      <c r="F3" s="203">
        <v>28</v>
      </c>
      <c r="G3" s="203">
        <v>2</v>
      </c>
      <c r="H3" s="203">
        <v>12</v>
      </c>
      <c r="I3" s="203">
        <v>2</v>
      </c>
      <c r="J3" s="234">
        <f t="shared" si="1"/>
        <v>0.80099360730593605</v>
      </c>
    </row>
    <row r="4" spans="1:10" ht="15.75" customHeight="1" x14ac:dyDescent="0.25">
      <c r="A4" s="201" t="s">
        <v>84</v>
      </c>
      <c r="B4" s="202" t="s">
        <v>657</v>
      </c>
      <c r="C4" s="199">
        <f t="shared" si="0"/>
        <v>3</v>
      </c>
      <c r="D4" s="199">
        <v>26</v>
      </c>
      <c r="E4" s="199">
        <v>49</v>
      </c>
      <c r="F4" s="203">
        <v>28</v>
      </c>
      <c r="G4" s="203">
        <v>2</v>
      </c>
      <c r="H4" s="203">
        <v>14</v>
      </c>
      <c r="I4" s="203">
        <v>2</v>
      </c>
      <c r="J4" s="234">
        <f t="shared" si="1"/>
        <v>0.79315433789954337</v>
      </c>
    </row>
    <row r="5" spans="1:10" ht="15.75" customHeight="1" x14ac:dyDescent="0.25">
      <c r="A5" s="201" t="s">
        <v>47</v>
      </c>
      <c r="B5" s="202" t="s">
        <v>658</v>
      </c>
      <c r="C5" s="199">
        <f t="shared" si="0"/>
        <v>4</v>
      </c>
      <c r="D5" s="199">
        <v>22</v>
      </c>
      <c r="E5" s="199">
        <v>22</v>
      </c>
      <c r="F5" s="203">
        <v>27</v>
      </c>
      <c r="G5" s="203">
        <v>3</v>
      </c>
      <c r="H5" s="203">
        <v>8</v>
      </c>
      <c r="I5" s="203">
        <v>2</v>
      </c>
      <c r="J5" s="234">
        <f t="shared" si="1"/>
        <v>0.73967579908675807</v>
      </c>
    </row>
    <row r="6" spans="1:10" ht="15.75" customHeight="1" x14ac:dyDescent="0.25">
      <c r="A6" s="201" t="s">
        <v>99</v>
      </c>
      <c r="B6" s="202" t="s">
        <v>655</v>
      </c>
      <c r="C6" s="199">
        <f t="shared" si="0"/>
        <v>5</v>
      </c>
      <c r="D6" s="199">
        <v>16</v>
      </c>
      <c r="E6" s="199">
        <v>41</v>
      </c>
      <c r="F6" s="203">
        <v>25</v>
      </c>
      <c r="G6" s="203">
        <v>5</v>
      </c>
      <c r="H6" s="203">
        <v>11</v>
      </c>
      <c r="I6" s="203">
        <v>4</v>
      </c>
      <c r="J6" s="234">
        <f t="shared" si="1"/>
        <v>0.71260273972602739</v>
      </c>
    </row>
    <row r="7" spans="1:10" ht="15.75" customHeight="1" x14ac:dyDescent="0.25">
      <c r="A7" s="201" t="s">
        <v>61</v>
      </c>
      <c r="B7" s="202" t="s">
        <v>659</v>
      </c>
      <c r="C7" s="199">
        <f t="shared" si="0"/>
        <v>6</v>
      </c>
      <c r="D7" s="199">
        <v>6</v>
      </c>
      <c r="E7" s="199">
        <v>19</v>
      </c>
      <c r="F7" s="203">
        <v>24</v>
      </c>
      <c r="G7" s="203">
        <v>6</v>
      </c>
      <c r="H7" s="203">
        <v>11</v>
      </c>
      <c r="I7" s="203">
        <v>6</v>
      </c>
      <c r="J7" s="234">
        <f t="shared" si="1"/>
        <v>0.70364566210045654</v>
      </c>
    </row>
    <row r="8" spans="1:10" ht="15.75" customHeight="1" x14ac:dyDescent="0.25">
      <c r="A8" s="201" t="s">
        <v>90</v>
      </c>
      <c r="B8" s="202" t="s">
        <v>659</v>
      </c>
      <c r="C8" s="199">
        <f t="shared" si="0"/>
        <v>10</v>
      </c>
      <c r="D8" s="199">
        <v>1</v>
      </c>
      <c r="E8" s="199">
        <v>4</v>
      </c>
      <c r="F8" s="203">
        <v>22</v>
      </c>
      <c r="G8" s="203">
        <v>8</v>
      </c>
      <c r="H8" s="203">
        <v>10</v>
      </c>
      <c r="I8" s="203">
        <v>8</v>
      </c>
      <c r="J8" s="234">
        <f t="shared" si="1"/>
        <v>0.65279086757990856</v>
      </c>
    </row>
    <row r="9" spans="1:10" ht="15.75" customHeight="1" x14ac:dyDescent="0.25">
      <c r="A9" s="201" t="s">
        <v>80</v>
      </c>
      <c r="B9" s="202" t="s">
        <v>657</v>
      </c>
      <c r="C9" s="199">
        <f t="shared" si="0"/>
        <v>7</v>
      </c>
      <c r="D9" s="199">
        <v>35</v>
      </c>
      <c r="E9" s="199">
        <v>64</v>
      </c>
      <c r="F9" s="203">
        <v>25</v>
      </c>
      <c r="G9" s="203">
        <v>5</v>
      </c>
      <c r="H9" s="203">
        <v>10</v>
      </c>
      <c r="I9" s="203">
        <v>5</v>
      </c>
      <c r="J9" s="234">
        <f t="shared" si="1"/>
        <v>0.67691780821917813</v>
      </c>
    </row>
    <row r="10" spans="1:10" ht="15.75" customHeight="1" x14ac:dyDescent="0.25">
      <c r="A10" s="201" t="s">
        <v>57</v>
      </c>
      <c r="B10" s="202" t="s">
        <v>655</v>
      </c>
      <c r="C10" s="199">
        <f t="shared" si="0"/>
        <v>8</v>
      </c>
      <c r="D10" s="199">
        <v>4</v>
      </c>
      <c r="E10" s="199">
        <v>14</v>
      </c>
      <c r="F10" s="203">
        <v>23</v>
      </c>
      <c r="G10" s="203">
        <v>7</v>
      </c>
      <c r="H10" s="203">
        <v>9</v>
      </c>
      <c r="I10" s="203">
        <v>7</v>
      </c>
      <c r="J10" s="234">
        <f t="shared" si="1"/>
        <v>0.66734703196347034</v>
      </c>
    </row>
    <row r="11" spans="1:10" ht="15.75" customHeight="1" x14ac:dyDescent="0.25">
      <c r="A11" s="201" t="s">
        <v>39</v>
      </c>
      <c r="B11" s="202" t="s">
        <v>655</v>
      </c>
      <c r="C11" s="199">
        <f t="shared" si="0"/>
        <v>9</v>
      </c>
      <c r="D11" s="199">
        <v>12</v>
      </c>
      <c r="E11" s="199">
        <v>31</v>
      </c>
      <c r="F11" s="203">
        <v>23</v>
      </c>
      <c r="G11" s="203">
        <v>7</v>
      </c>
      <c r="H11" s="203">
        <v>9</v>
      </c>
      <c r="I11" s="203">
        <v>7</v>
      </c>
      <c r="J11" s="234">
        <f t="shared" si="1"/>
        <v>0.65472328767123289</v>
      </c>
    </row>
    <row r="12" spans="1:10" ht="15.75" customHeight="1" x14ac:dyDescent="0.25">
      <c r="A12" s="201" t="s">
        <v>95</v>
      </c>
      <c r="B12" s="202" t="s">
        <v>657</v>
      </c>
      <c r="C12" s="199">
        <f t="shared" si="0"/>
        <v>15</v>
      </c>
      <c r="D12" s="199">
        <v>7</v>
      </c>
      <c r="E12" s="199">
        <v>16</v>
      </c>
      <c r="F12" s="203">
        <v>22</v>
      </c>
      <c r="G12" s="203">
        <v>8</v>
      </c>
      <c r="H12" s="203">
        <v>8</v>
      </c>
      <c r="I12" s="203">
        <v>6</v>
      </c>
      <c r="J12" s="234">
        <f t="shared" si="1"/>
        <v>0.63053698630136978</v>
      </c>
    </row>
    <row r="13" spans="1:10" ht="15.75" customHeight="1" x14ac:dyDescent="0.25">
      <c r="A13" s="201" t="s">
        <v>55</v>
      </c>
      <c r="B13" s="202" t="s">
        <v>658</v>
      </c>
      <c r="C13" s="199">
        <f t="shared" si="0"/>
        <v>11</v>
      </c>
      <c r="D13" s="199">
        <v>11</v>
      </c>
      <c r="E13" s="199">
        <v>15</v>
      </c>
      <c r="F13" s="203">
        <v>24</v>
      </c>
      <c r="G13" s="203">
        <v>6</v>
      </c>
      <c r="H13" s="203">
        <v>4</v>
      </c>
      <c r="I13" s="203">
        <v>5</v>
      </c>
      <c r="J13" s="234">
        <f t="shared" si="1"/>
        <v>0.65163105022831036</v>
      </c>
    </row>
    <row r="14" spans="1:10" ht="15.75" customHeight="1" x14ac:dyDescent="0.25">
      <c r="A14" s="201" t="s">
        <v>27</v>
      </c>
      <c r="B14" s="202" t="s">
        <v>660</v>
      </c>
      <c r="C14" s="199">
        <f t="shared" si="0"/>
        <v>13</v>
      </c>
      <c r="D14" s="199">
        <v>87</v>
      </c>
      <c r="E14" s="199">
        <v>11</v>
      </c>
      <c r="F14" s="203">
        <v>28</v>
      </c>
      <c r="G14" s="203">
        <v>3</v>
      </c>
      <c r="H14" s="203">
        <v>7</v>
      </c>
      <c r="I14" s="203">
        <v>2</v>
      </c>
      <c r="J14" s="234">
        <f t="shared" si="1"/>
        <v>0.64633848873177191</v>
      </c>
    </row>
    <row r="15" spans="1:10" ht="15.75" customHeight="1" x14ac:dyDescent="0.25">
      <c r="A15" s="201" t="s">
        <v>53</v>
      </c>
      <c r="B15" s="202" t="s">
        <v>657</v>
      </c>
      <c r="C15" s="199">
        <f t="shared" si="0"/>
        <v>17</v>
      </c>
      <c r="D15" s="199">
        <v>3</v>
      </c>
      <c r="E15" s="199">
        <v>7</v>
      </c>
      <c r="F15" s="203">
        <v>21</v>
      </c>
      <c r="G15" s="203">
        <v>9</v>
      </c>
      <c r="H15" s="203">
        <v>10</v>
      </c>
      <c r="I15" s="203">
        <v>7</v>
      </c>
      <c r="J15" s="234">
        <f t="shared" si="1"/>
        <v>0.623483105022831</v>
      </c>
    </row>
    <row r="16" spans="1:10" ht="15.75" customHeight="1" x14ac:dyDescent="0.25">
      <c r="A16" s="201" t="s">
        <v>24</v>
      </c>
      <c r="B16" s="202" t="s">
        <v>659</v>
      </c>
      <c r="C16" s="199">
        <f t="shared" si="0"/>
        <v>12</v>
      </c>
      <c r="D16" s="199">
        <v>10</v>
      </c>
      <c r="E16" s="199">
        <v>47</v>
      </c>
      <c r="F16" s="203">
        <v>23</v>
      </c>
      <c r="G16" s="203">
        <v>7</v>
      </c>
      <c r="H16" s="203">
        <v>8</v>
      </c>
      <c r="I16" s="203">
        <v>7</v>
      </c>
      <c r="J16" s="234">
        <f t="shared" si="1"/>
        <v>0.64738447488584472</v>
      </c>
    </row>
    <row r="17" spans="1:10" ht="15.75" customHeight="1" x14ac:dyDescent="0.25">
      <c r="A17" s="201" t="s">
        <v>72</v>
      </c>
      <c r="B17" s="202" t="s">
        <v>656</v>
      </c>
      <c r="C17" s="199">
        <f t="shared" si="0"/>
        <v>18</v>
      </c>
      <c r="D17" s="199">
        <v>71</v>
      </c>
      <c r="E17" s="199">
        <v>120</v>
      </c>
      <c r="F17" s="203">
        <v>26</v>
      </c>
      <c r="G17" s="203">
        <v>4</v>
      </c>
      <c r="H17" s="203">
        <v>7</v>
      </c>
      <c r="I17" s="203">
        <v>2</v>
      </c>
      <c r="J17" s="234">
        <f t="shared" si="1"/>
        <v>0.62149223744292237</v>
      </c>
    </row>
    <row r="18" spans="1:10" ht="15.75" customHeight="1" x14ac:dyDescent="0.25">
      <c r="A18" s="201" t="s">
        <v>76</v>
      </c>
      <c r="B18" s="202" t="s">
        <v>655</v>
      </c>
      <c r="C18" s="199">
        <f t="shared" si="0"/>
        <v>20</v>
      </c>
      <c r="D18" s="199">
        <v>53</v>
      </c>
      <c r="E18" s="199">
        <v>228</v>
      </c>
      <c r="F18" s="203">
        <v>25</v>
      </c>
      <c r="G18" s="203">
        <v>5</v>
      </c>
      <c r="H18" s="203">
        <v>7</v>
      </c>
      <c r="I18" s="203">
        <v>5</v>
      </c>
      <c r="J18" s="234">
        <f t="shared" si="1"/>
        <v>0.60020547945205482</v>
      </c>
    </row>
    <row r="19" spans="1:10" ht="15.75" customHeight="1" x14ac:dyDescent="0.25">
      <c r="A19" s="201" t="s">
        <v>70</v>
      </c>
      <c r="B19" s="202" t="s">
        <v>659</v>
      </c>
      <c r="C19" s="199">
        <f t="shared" si="0"/>
        <v>14</v>
      </c>
      <c r="D19" s="199">
        <v>9</v>
      </c>
      <c r="E19" s="199">
        <v>34</v>
      </c>
      <c r="F19" s="203">
        <v>22</v>
      </c>
      <c r="G19" s="203">
        <v>8</v>
      </c>
      <c r="H19" s="203">
        <v>9</v>
      </c>
      <c r="I19" s="203">
        <v>8</v>
      </c>
      <c r="J19" s="234">
        <f t="shared" si="1"/>
        <v>0.63169863013698635</v>
      </c>
    </row>
    <row r="20" spans="1:10" ht="15.75" customHeight="1" x14ac:dyDescent="0.25">
      <c r="A20" s="201" t="s">
        <v>88</v>
      </c>
      <c r="B20" s="202" t="s">
        <v>656</v>
      </c>
      <c r="C20" s="199">
        <f t="shared" si="0"/>
        <v>16</v>
      </c>
      <c r="D20" s="199">
        <v>43</v>
      </c>
      <c r="E20" s="199">
        <v>53</v>
      </c>
      <c r="F20" s="203">
        <v>24</v>
      </c>
      <c r="G20" s="203">
        <v>6</v>
      </c>
      <c r="H20" s="203">
        <v>7</v>
      </c>
      <c r="I20" s="203">
        <v>4</v>
      </c>
      <c r="J20" s="234">
        <f t="shared" si="1"/>
        <v>0.62485844748858443</v>
      </c>
    </row>
    <row r="21" spans="1:10" ht="15.75" customHeight="1" x14ac:dyDescent="0.25">
      <c r="A21" s="201" t="s">
        <v>33</v>
      </c>
      <c r="B21" s="202" t="s">
        <v>657</v>
      </c>
      <c r="C21" s="199">
        <f t="shared" si="0"/>
        <v>19</v>
      </c>
      <c r="D21" s="199">
        <v>51</v>
      </c>
      <c r="E21" s="199">
        <v>140</v>
      </c>
      <c r="F21" s="203">
        <v>24</v>
      </c>
      <c r="G21" s="203">
        <v>6</v>
      </c>
      <c r="H21" s="203">
        <v>8</v>
      </c>
      <c r="I21" s="203">
        <v>6</v>
      </c>
      <c r="J21" s="234">
        <f t="shared" si="1"/>
        <v>0.60454429223744288</v>
      </c>
    </row>
    <row r="22" spans="1:10" ht="15.75" customHeight="1" x14ac:dyDescent="0.25">
      <c r="A22" s="201" t="s">
        <v>51</v>
      </c>
      <c r="B22" s="202" t="s">
        <v>659</v>
      </c>
      <c r="C22" s="199">
        <f t="shared" si="0"/>
        <v>21</v>
      </c>
      <c r="D22" s="199">
        <v>14</v>
      </c>
      <c r="E22" s="199">
        <v>65</v>
      </c>
      <c r="F22" s="203">
        <v>21</v>
      </c>
      <c r="G22" s="203">
        <v>9</v>
      </c>
      <c r="H22" s="203">
        <v>9</v>
      </c>
      <c r="I22" s="203">
        <v>8</v>
      </c>
      <c r="J22" s="234">
        <f t="shared" si="1"/>
        <v>0.59499178082191784</v>
      </c>
    </row>
    <row r="23" spans="1:10" ht="15.75" customHeight="1" x14ac:dyDescent="0.25">
      <c r="A23" s="201" t="s">
        <v>59</v>
      </c>
      <c r="B23" s="202" t="s">
        <v>658</v>
      </c>
      <c r="C23" s="199">
        <f t="shared" si="0"/>
        <v>22</v>
      </c>
      <c r="D23" s="199">
        <v>27</v>
      </c>
      <c r="E23" s="199">
        <v>46</v>
      </c>
      <c r="F23" s="203">
        <v>23</v>
      </c>
      <c r="G23" s="203">
        <v>7</v>
      </c>
      <c r="H23" s="203">
        <v>1</v>
      </c>
      <c r="I23" s="203">
        <v>6</v>
      </c>
      <c r="J23" s="234">
        <f t="shared" si="1"/>
        <v>0.58091050228310503</v>
      </c>
    </row>
    <row r="24" spans="1:10" ht="15.75" customHeight="1" x14ac:dyDescent="0.25">
      <c r="A24" s="201" t="s">
        <v>97</v>
      </c>
      <c r="B24" s="202" t="s">
        <v>660</v>
      </c>
      <c r="C24" s="199">
        <f t="shared" si="0"/>
        <v>23</v>
      </c>
      <c r="D24" s="199">
        <v>98</v>
      </c>
      <c r="E24" s="199">
        <v>38</v>
      </c>
      <c r="F24" s="203">
        <v>27</v>
      </c>
      <c r="G24" s="203">
        <v>4</v>
      </c>
      <c r="H24" s="203">
        <v>2</v>
      </c>
      <c r="I24" s="203">
        <v>3</v>
      </c>
      <c r="J24" s="234">
        <f t="shared" si="1"/>
        <v>0.57211224038886432</v>
      </c>
    </row>
    <row r="25" spans="1:10" ht="15.75" customHeight="1" x14ac:dyDescent="0.25">
      <c r="A25" s="201" t="s">
        <v>74</v>
      </c>
      <c r="B25" s="202" t="s">
        <v>657</v>
      </c>
      <c r="C25" s="199">
        <f t="shared" si="0"/>
        <v>25</v>
      </c>
      <c r="D25" s="199">
        <v>24</v>
      </c>
      <c r="E25" s="199">
        <v>33</v>
      </c>
      <c r="F25" s="203">
        <v>20</v>
      </c>
      <c r="G25" s="203">
        <v>10</v>
      </c>
      <c r="H25" s="203">
        <v>7</v>
      </c>
      <c r="I25" s="203">
        <v>8</v>
      </c>
      <c r="J25" s="234">
        <f t="shared" si="1"/>
        <v>0.55121461187214615</v>
      </c>
    </row>
    <row r="26" spans="1:10" ht="15.75" customHeight="1" x14ac:dyDescent="0.25">
      <c r="A26" s="201" t="s">
        <v>78</v>
      </c>
      <c r="B26" s="202" t="s">
        <v>655</v>
      </c>
      <c r="C26" s="199">
        <f t="shared" si="0"/>
        <v>24</v>
      </c>
      <c r="D26" s="199">
        <v>31</v>
      </c>
      <c r="E26" s="199">
        <v>87</v>
      </c>
      <c r="F26" s="203">
        <v>21</v>
      </c>
      <c r="G26" s="203">
        <v>9</v>
      </c>
      <c r="H26" s="203">
        <v>7</v>
      </c>
      <c r="I26" s="203">
        <v>7</v>
      </c>
      <c r="J26" s="234">
        <f t="shared" si="1"/>
        <v>0.55960365296803649</v>
      </c>
    </row>
    <row r="27" spans="1:10" ht="15.75" customHeight="1" x14ac:dyDescent="0.25">
      <c r="A27" s="201" t="s">
        <v>36</v>
      </c>
      <c r="B27" s="202" t="s">
        <v>661</v>
      </c>
      <c r="C27" s="199">
        <f t="shared" si="0"/>
        <v>29</v>
      </c>
      <c r="D27" s="199">
        <v>81</v>
      </c>
      <c r="E27" s="199">
        <v>78</v>
      </c>
      <c r="F27" s="203">
        <v>24</v>
      </c>
      <c r="G27" s="203">
        <v>6</v>
      </c>
      <c r="H27" s="203">
        <v>1</v>
      </c>
      <c r="I27" s="203">
        <v>1</v>
      </c>
      <c r="J27" s="234">
        <f t="shared" si="1"/>
        <v>0.53328584474885843</v>
      </c>
    </row>
    <row r="28" spans="1:10" ht="15.75" customHeight="1" x14ac:dyDescent="0.25">
      <c r="A28" s="201" t="s">
        <v>68</v>
      </c>
      <c r="B28" s="202" t="s">
        <v>656</v>
      </c>
      <c r="C28" s="199">
        <f t="shared" si="0"/>
        <v>28</v>
      </c>
      <c r="D28" s="199">
        <v>54</v>
      </c>
      <c r="E28" s="199">
        <v>52</v>
      </c>
      <c r="F28" s="203">
        <v>21</v>
      </c>
      <c r="G28" s="203">
        <v>9</v>
      </c>
      <c r="H28" s="203">
        <v>6</v>
      </c>
      <c r="I28" s="203">
        <v>5</v>
      </c>
      <c r="J28" s="234">
        <f t="shared" si="1"/>
        <v>0.53427671232876706</v>
      </c>
    </row>
    <row r="29" spans="1:10" ht="15.75" customHeight="1" x14ac:dyDescent="0.25">
      <c r="A29" s="201" t="s">
        <v>94</v>
      </c>
      <c r="B29" s="202" t="s">
        <v>659</v>
      </c>
      <c r="C29" s="199">
        <f t="shared" si="0"/>
        <v>27</v>
      </c>
      <c r="D29" s="199">
        <v>15</v>
      </c>
      <c r="E29" s="199">
        <v>66</v>
      </c>
      <c r="F29" s="203">
        <v>19</v>
      </c>
      <c r="G29" s="203">
        <v>11</v>
      </c>
      <c r="H29" s="203">
        <v>8</v>
      </c>
      <c r="I29" s="203">
        <v>11</v>
      </c>
      <c r="J29" s="234">
        <f t="shared" si="1"/>
        <v>0.53624566210045654</v>
      </c>
    </row>
    <row r="30" spans="1:10" ht="15.75" customHeight="1" x14ac:dyDescent="0.25">
      <c r="A30" s="201" t="s">
        <v>30</v>
      </c>
      <c r="B30" s="202" t="s">
        <v>656</v>
      </c>
      <c r="C30" s="199">
        <f t="shared" si="0"/>
        <v>26</v>
      </c>
      <c r="D30" s="199">
        <v>45</v>
      </c>
      <c r="E30" s="199">
        <v>40</v>
      </c>
      <c r="F30" s="203">
        <v>21</v>
      </c>
      <c r="G30" s="203">
        <v>9</v>
      </c>
      <c r="H30" s="203">
        <v>6</v>
      </c>
      <c r="I30" s="203">
        <v>8</v>
      </c>
      <c r="J30" s="234">
        <f t="shared" si="1"/>
        <v>0.54601369863013693</v>
      </c>
    </row>
    <row r="31" spans="1:10" ht="15.75" customHeight="1" x14ac:dyDescent="0.25">
      <c r="A31" s="201" t="s">
        <v>21</v>
      </c>
      <c r="B31" s="202" t="s">
        <v>657</v>
      </c>
      <c r="C31" s="199">
        <f t="shared" si="0"/>
        <v>30</v>
      </c>
      <c r="D31" s="199">
        <v>50</v>
      </c>
      <c r="E31" s="199">
        <v>146</v>
      </c>
      <c r="F31" s="203">
        <v>20</v>
      </c>
      <c r="G31" s="203">
        <v>9</v>
      </c>
      <c r="H31" s="203">
        <v>6</v>
      </c>
      <c r="I31" s="203">
        <v>7</v>
      </c>
      <c r="J31" s="234">
        <f t="shared" si="1"/>
        <v>0.51659896079357581</v>
      </c>
    </row>
    <row r="32" spans="1:10" ht="15.75" customHeight="1" x14ac:dyDescent="0.25">
      <c r="A32" s="201" t="s">
        <v>50</v>
      </c>
      <c r="B32" s="202" t="s">
        <v>656</v>
      </c>
      <c r="C32" s="199">
        <f t="shared" si="0"/>
        <v>31</v>
      </c>
      <c r="D32" s="199">
        <v>18</v>
      </c>
      <c r="E32" s="199">
        <v>21</v>
      </c>
      <c r="F32" s="203">
        <v>19</v>
      </c>
      <c r="G32" s="203">
        <v>11</v>
      </c>
      <c r="H32" s="203">
        <v>4</v>
      </c>
      <c r="I32" s="203">
        <v>8</v>
      </c>
      <c r="J32" s="234">
        <f t="shared" si="1"/>
        <v>0.51369132420091324</v>
      </c>
    </row>
    <row r="33" spans="1:10" ht="15.75" customHeight="1" x14ac:dyDescent="0.25">
      <c r="A33" s="201" t="s">
        <v>49</v>
      </c>
      <c r="B33" s="202" t="s">
        <v>662</v>
      </c>
      <c r="C33" s="199">
        <f t="shared" si="0"/>
        <v>34</v>
      </c>
      <c r="D33" s="199">
        <v>126</v>
      </c>
      <c r="E33" s="199">
        <v>294</v>
      </c>
      <c r="F33" s="203">
        <v>27</v>
      </c>
      <c r="G33" s="203">
        <v>3</v>
      </c>
      <c r="H33" s="203">
        <v>3</v>
      </c>
      <c r="I33" s="203">
        <v>1</v>
      </c>
      <c r="J33" s="234">
        <f t="shared" si="1"/>
        <v>0.50237534246575344</v>
      </c>
    </row>
    <row r="34" spans="1:10" ht="15.75" customHeight="1" x14ac:dyDescent="0.25">
      <c r="A34" s="201" t="s">
        <v>44</v>
      </c>
      <c r="B34" s="202" t="s">
        <v>660</v>
      </c>
      <c r="C34" s="199">
        <f t="shared" si="0"/>
        <v>32</v>
      </c>
      <c r="D34" s="199">
        <v>94</v>
      </c>
      <c r="E34" s="199">
        <v>43</v>
      </c>
      <c r="F34" s="203">
        <v>24</v>
      </c>
      <c r="G34" s="203">
        <v>7</v>
      </c>
      <c r="H34" s="203">
        <v>1</v>
      </c>
      <c r="I34" s="203">
        <v>4</v>
      </c>
      <c r="J34" s="234">
        <f t="shared" si="1"/>
        <v>0.507323022536456</v>
      </c>
    </row>
    <row r="35" spans="1:10" ht="15.75" customHeight="1" x14ac:dyDescent="0.25">
      <c r="A35" s="201" t="s">
        <v>75</v>
      </c>
      <c r="B35" s="202" t="s">
        <v>655</v>
      </c>
      <c r="C35" s="199">
        <f t="shared" si="0"/>
        <v>35</v>
      </c>
      <c r="D35" s="199">
        <v>23</v>
      </c>
      <c r="E35" s="199">
        <v>99</v>
      </c>
      <c r="F35" s="203">
        <v>19</v>
      </c>
      <c r="G35" s="203">
        <v>11</v>
      </c>
      <c r="H35" s="203">
        <v>4</v>
      </c>
      <c r="I35" s="203">
        <v>10</v>
      </c>
      <c r="J35" s="234">
        <f t="shared" si="1"/>
        <v>0.49665205479452051</v>
      </c>
    </row>
    <row r="36" spans="1:10" ht="15.75" customHeight="1" x14ac:dyDescent="0.25">
      <c r="A36" s="201" t="s">
        <v>86</v>
      </c>
      <c r="B36" s="202" t="s">
        <v>656</v>
      </c>
      <c r="C36" s="199">
        <f t="shared" si="0"/>
        <v>33</v>
      </c>
      <c r="D36" s="199">
        <v>86</v>
      </c>
      <c r="E36" s="199">
        <v>264</v>
      </c>
      <c r="F36" s="203">
        <v>24</v>
      </c>
      <c r="G36" s="203">
        <v>6</v>
      </c>
      <c r="H36" s="203">
        <v>3</v>
      </c>
      <c r="I36" s="203">
        <v>4</v>
      </c>
      <c r="J36" s="234">
        <f t="shared" si="1"/>
        <v>0.50379178082191778</v>
      </c>
    </row>
    <row r="37" spans="1:10" ht="15.75" customHeight="1" x14ac:dyDescent="0.25">
      <c r="A37" s="201" t="s">
        <v>22</v>
      </c>
      <c r="B37" s="202" t="s">
        <v>659</v>
      </c>
      <c r="C37" s="199">
        <f t="shared" si="0"/>
        <v>40</v>
      </c>
      <c r="D37" s="199">
        <v>62</v>
      </c>
      <c r="E37" s="199">
        <v>257</v>
      </c>
      <c r="F37" s="203">
        <v>20</v>
      </c>
      <c r="G37" s="203">
        <v>10</v>
      </c>
      <c r="H37" s="203">
        <v>7</v>
      </c>
      <c r="I37" s="203">
        <v>7</v>
      </c>
      <c r="J37" s="234">
        <f t="shared" si="1"/>
        <v>0.47552511415525112</v>
      </c>
    </row>
    <row r="38" spans="1:10" ht="15.75" customHeight="1" x14ac:dyDescent="0.25">
      <c r="A38" s="201" t="s">
        <v>98</v>
      </c>
      <c r="B38" s="202" t="s">
        <v>656</v>
      </c>
      <c r="C38" s="199">
        <f t="shared" si="0"/>
        <v>42</v>
      </c>
      <c r="D38" s="199">
        <v>49</v>
      </c>
      <c r="E38" s="199">
        <v>72</v>
      </c>
      <c r="F38" s="203">
        <v>19</v>
      </c>
      <c r="G38" s="203">
        <v>11</v>
      </c>
      <c r="H38" s="203">
        <v>3</v>
      </c>
      <c r="I38" s="203">
        <v>7</v>
      </c>
      <c r="J38" s="234">
        <f t="shared" si="1"/>
        <v>0.46893789954337894</v>
      </c>
    </row>
    <row r="39" spans="1:10" ht="15.75" customHeight="1" x14ac:dyDescent="0.25">
      <c r="A39" s="201" t="s">
        <v>45</v>
      </c>
      <c r="B39" s="202" t="s">
        <v>661</v>
      </c>
      <c r="C39" s="199">
        <f t="shared" si="0"/>
        <v>45</v>
      </c>
      <c r="D39" s="199">
        <v>96</v>
      </c>
      <c r="E39" s="199">
        <v>150</v>
      </c>
      <c r="F39" s="203">
        <v>22</v>
      </c>
      <c r="G39" s="203">
        <v>8</v>
      </c>
      <c r="H39" s="203">
        <v>2</v>
      </c>
      <c r="I39" s="203">
        <v>2</v>
      </c>
      <c r="J39" s="234">
        <f t="shared" si="1"/>
        <v>0.46617168949771681</v>
      </c>
    </row>
    <row r="40" spans="1:10" ht="15.75" customHeight="1" x14ac:dyDescent="0.25">
      <c r="A40" s="201" t="s">
        <v>52</v>
      </c>
      <c r="B40" s="202" t="s">
        <v>663</v>
      </c>
      <c r="C40" s="199">
        <f t="shared" si="0"/>
        <v>37</v>
      </c>
      <c r="D40" s="199">
        <v>90</v>
      </c>
      <c r="E40" s="199">
        <v>32</v>
      </c>
      <c r="F40" s="203">
        <v>22</v>
      </c>
      <c r="G40" s="203">
        <v>8</v>
      </c>
      <c r="H40" s="203">
        <v>1</v>
      </c>
      <c r="I40" s="203">
        <v>2</v>
      </c>
      <c r="J40" s="234">
        <f t="shared" si="1"/>
        <v>0.48759269406392691</v>
      </c>
    </row>
    <row r="41" spans="1:10" ht="15.75" customHeight="1" x14ac:dyDescent="0.25">
      <c r="A41" s="201" t="s">
        <v>87</v>
      </c>
      <c r="B41" s="202" t="s">
        <v>659</v>
      </c>
      <c r="C41" s="199">
        <f t="shared" si="0"/>
        <v>36</v>
      </c>
      <c r="D41" s="199">
        <v>63</v>
      </c>
      <c r="E41" s="199">
        <v>256</v>
      </c>
      <c r="F41" s="203">
        <v>21</v>
      </c>
      <c r="G41" s="203">
        <v>9</v>
      </c>
      <c r="H41" s="203">
        <v>7</v>
      </c>
      <c r="I41" s="203">
        <v>8</v>
      </c>
      <c r="J41" s="234">
        <f t="shared" si="1"/>
        <v>0.4960666666666666</v>
      </c>
    </row>
    <row r="42" spans="1:10" ht="15.75" customHeight="1" x14ac:dyDescent="0.25">
      <c r="A42" s="201" t="s">
        <v>69</v>
      </c>
      <c r="B42" s="202" t="s">
        <v>655</v>
      </c>
      <c r="C42" s="199">
        <f t="shared" si="0"/>
        <v>44</v>
      </c>
      <c r="D42" s="199">
        <v>58</v>
      </c>
      <c r="E42" s="199">
        <v>255</v>
      </c>
      <c r="F42" s="203">
        <v>20</v>
      </c>
      <c r="G42" s="203">
        <v>10</v>
      </c>
      <c r="H42" s="203">
        <v>5</v>
      </c>
      <c r="I42" s="203">
        <v>7</v>
      </c>
      <c r="J42" s="234">
        <f t="shared" si="1"/>
        <v>0.46661187214611866</v>
      </c>
    </row>
    <row r="43" spans="1:10" ht="15.75" customHeight="1" x14ac:dyDescent="0.25">
      <c r="A43" s="201" t="s">
        <v>455</v>
      </c>
      <c r="B43" s="202" t="s">
        <v>662</v>
      </c>
      <c r="C43" s="199">
        <f t="shared" si="0"/>
        <v>38</v>
      </c>
      <c r="D43" s="199">
        <v>95</v>
      </c>
      <c r="E43" s="199">
        <v>108</v>
      </c>
      <c r="F43" s="203">
        <v>23</v>
      </c>
      <c r="G43" s="203">
        <v>7</v>
      </c>
      <c r="H43" s="203">
        <v>0</v>
      </c>
      <c r="I43" s="203">
        <v>5</v>
      </c>
      <c r="J43" s="234">
        <f t="shared" si="1"/>
        <v>0.48253789954337895</v>
      </c>
    </row>
    <row r="44" spans="1:10" ht="15.75" customHeight="1" x14ac:dyDescent="0.25">
      <c r="A44" s="201" t="s">
        <v>92</v>
      </c>
      <c r="B44" s="202" t="s">
        <v>657</v>
      </c>
      <c r="C44" s="199">
        <f t="shared" si="0"/>
        <v>41</v>
      </c>
      <c r="D44" s="199">
        <v>72</v>
      </c>
      <c r="E44" s="199">
        <v>218</v>
      </c>
      <c r="F44" s="203">
        <v>20</v>
      </c>
      <c r="G44" s="203">
        <v>10</v>
      </c>
      <c r="H44" s="203">
        <v>7</v>
      </c>
      <c r="I44" s="203">
        <v>5</v>
      </c>
      <c r="J44" s="234">
        <f t="shared" si="1"/>
        <v>0.47170776255707758</v>
      </c>
    </row>
    <row r="45" spans="1:10" ht="15.75" customHeight="1" x14ac:dyDescent="0.25">
      <c r="A45" s="201" t="s">
        <v>37</v>
      </c>
      <c r="B45" s="202" t="s">
        <v>655</v>
      </c>
      <c r="C45" s="199">
        <f t="shared" si="0"/>
        <v>39</v>
      </c>
      <c r="D45" s="199">
        <v>56</v>
      </c>
      <c r="E45" s="199">
        <v>212</v>
      </c>
      <c r="F45" s="203">
        <v>20</v>
      </c>
      <c r="G45" s="203">
        <v>10</v>
      </c>
      <c r="H45" s="203">
        <v>5</v>
      </c>
      <c r="I45" s="203">
        <v>8</v>
      </c>
      <c r="J45" s="234">
        <f t="shared" si="1"/>
        <v>0.47572602739726022</v>
      </c>
    </row>
    <row r="46" spans="1:10" ht="15.75" customHeight="1" x14ac:dyDescent="0.25">
      <c r="A46" s="201" t="s">
        <v>237</v>
      </c>
      <c r="B46" s="202" t="s">
        <v>662</v>
      </c>
      <c r="C46" s="199">
        <f t="shared" si="0"/>
        <v>46</v>
      </c>
      <c r="D46" s="199">
        <v>88</v>
      </c>
      <c r="E46" s="199">
        <v>51</v>
      </c>
      <c r="F46" s="203">
        <v>21</v>
      </c>
      <c r="G46" s="203">
        <v>9</v>
      </c>
      <c r="H46" s="203">
        <v>1</v>
      </c>
      <c r="I46" s="203">
        <v>5</v>
      </c>
      <c r="J46" s="234">
        <f t="shared" si="1"/>
        <v>0.46460091324200903</v>
      </c>
    </row>
    <row r="47" spans="1:10" ht="15.75" customHeight="1" x14ac:dyDescent="0.25">
      <c r="A47" s="201" t="s">
        <v>398</v>
      </c>
      <c r="B47" s="202" t="s">
        <v>661</v>
      </c>
      <c r="C47" s="199">
        <f t="shared" si="0"/>
        <v>52</v>
      </c>
      <c r="D47" s="199">
        <v>80</v>
      </c>
      <c r="E47" s="199">
        <v>73</v>
      </c>
      <c r="F47" s="203">
        <v>19</v>
      </c>
      <c r="G47" s="203">
        <v>10</v>
      </c>
      <c r="H47" s="203">
        <v>1</v>
      </c>
      <c r="I47" s="203">
        <v>4</v>
      </c>
      <c r="J47" s="234">
        <f t="shared" si="1"/>
        <v>0.43999244213509675</v>
      </c>
    </row>
    <row r="48" spans="1:10" ht="15.75" customHeight="1" x14ac:dyDescent="0.25">
      <c r="A48" s="201" t="s">
        <v>79</v>
      </c>
      <c r="B48" s="202" t="s">
        <v>659</v>
      </c>
      <c r="C48" s="199">
        <f t="shared" si="0"/>
        <v>43</v>
      </c>
      <c r="D48" s="199">
        <v>68</v>
      </c>
      <c r="E48" s="199">
        <v>232</v>
      </c>
      <c r="F48" s="203">
        <v>20</v>
      </c>
      <c r="G48" s="203">
        <v>10</v>
      </c>
      <c r="H48" s="203">
        <v>6</v>
      </c>
      <c r="I48" s="203">
        <v>8</v>
      </c>
      <c r="J48" s="234">
        <f t="shared" si="1"/>
        <v>0.46683105022831045</v>
      </c>
    </row>
    <row r="49" spans="1:10" ht="15.75" customHeight="1" x14ac:dyDescent="0.25">
      <c r="A49" s="201" t="s">
        <v>60</v>
      </c>
      <c r="B49" s="202" t="s">
        <v>659</v>
      </c>
      <c r="C49" s="199">
        <f t="shared" si="0"/>
        <v>54</v>
      </c>
      <c r="D49" s="199">
        <v>61</v>
      </c>
      <c r="E49" s="199">
        <v>222</v>
      </c>
      <c r="F49" s="203">
        <v>18</v>
      </c>
      <c r="G49" s="203">
        <v>12</v>
      </c>
      <c r="H49" s="203">
        <v>7</v>
      </c>
      <c r="I49" s="203">
        <v>10</v>
      </c>
      <c r="J49" s="234">
        <f t="shared" si="1"/>
        <v>0.43873789954337894</v>
      </c>
    </row>
    <row r="50" spans="1:10" ht="15.75" customHeight="1" x14ac:dyDescent="0.25">
      <c r="A50" s="201" t="s">
        <v>194</v>
      </c>
      <c r="B50" s="202" t="s">
        <v>659</v>
      </c>
      <c r="C50" s="199">
        <f t="shared" si="0"/>
        <v>47</v>
      </c>
      <c r="D50" s="199">
        <v>5</v>
      </c>
      <c r="E50" s="199">
        <v>20</v>
      </c>
      <c r="F50" s="203">
        <v>16</v>
      </c>
      <c r="G50" s="203">
        <v>14</v>
      </c>
      <c r="H50" s="203">
        <v>6</v>
      </c>
      <c r="I50" s="203">
        <v>12</v>
      </c>
      <c r="J50" s="234">
        <f t="shared" si="1"/>
        <v>0.46089497716894978</v>
      </c>
    </row>
    <row r="51" spans="1:10" ht="15.75" customHeight="1" x14ac:dyDescent="0.25">
      <c r="A51" s="201" t="s">
        <v>459</v>
      </c>
      <c r="B51" s="202" t="s">
        <v>656</v>
      </c>
      <c r="C51" s="199">
        <f t="shared" si="0"/>
        <v>50</v>
      </c>
      <c r="D51" s="199">
        <v>66</v>
      </c>
      <c r="E51" s="199">
        <v>84</v>
      </c>
      <c r="F51" s="203">
        <v>19</v>
      </c>
      <c r="G51" s="203">
        <v>11</v>
      </c>
      <c r="H51" s="203">
        <v>2</v>
      </c>
      <c r="I51" s="203">
        <v>8</v>
      </c>
      <c r="J51" s="234">
        <f t="shared" si="1"/>
        <v>0.44387853881278527</v>
      </c>
    </row>
    <row r="52" spans="1:10" ht="15.75" customHeight="1" x14ac:dyDescent="0.25">
      <c r="A52" s="201" t="s">
        <v>336</v>
      </c>
      <c r="B52" s="202" t="s">
        <v>661</v>
      </c>
      <c r="C52" s="199">
        <f t="shared" si="0"/>
        <v>61</v>
      </c>
      <c r="D52" s="199">
        <v>79</v>
      </c>
      <c r="E52" s="199">
        <v>50</v>
      </c>
      <c r="F52" s="203">
        <v>19</v>
      </c>
      <c r="G52" s="203">
        <v>11</v>
      </c>
      <c r="H52" s="203">
        <v>1</v>
      </c>
      <c r="I52" s="203">
        <v>3</v>
      </c>
      <c r="J52" s="234">
        <f t="shared" si="1"/>
        <v>0.42988949771689489</v>
      </c>
    </row>
    <row r="53" spans="1:10" ht="15.75" customHeight="1" x14ac:dyDescent="0.25">
      <c r="A53" s="201" t="s">
        <v>447</v>
      </c>
      <c r="B53" s="202" t="s">
        <v>655</v>
      </c>
      <c r="C53" s="199">
        <f t="shared" si="0"/>
        <v>60</v>
      </c>
      <c r="D53" s="199">
        <v>41</v>
      </c>
      <c r="E53" s="199">
        <v>179</v>
      </c>
      <c r="F53" s="203">
        <v>18</v>
      </c>
      <c r="G53" s="203">
        <v>12</v>
      </c>
      <c r="H53" s="203">
        <v>2</v>
      </c>
      <c r="I53" s="203">
        <v>10</v>
      </c>
      <c r="J53" s="234">
        <f t="shared" si="1"/>
        <v>0.43017716894977165</v>
      </c>
    </row>
    <row r="54" spans="1:10" ht="15.75" customHeight="1" x14ac:dyDescent="0.25">
      <c r="A54" s="201" t="s">
        <v>403</v>
      </c>
      <c r="B54" s="202" t="s">
        <v>658</v>
      </c>
      <c r="C54" s="199">
        <f t="shared" si="0"/>
        <v>49</v>
      </c>
      <c r="D54" s="199">
        <v>64</v>
      </c>
      <c r="E54" s="199">
        <v>189</v>
      </c>
      <c r="F54" s="203">
        <v>20</v>
      </c>
      <c r="G54" s="203">
        <v>10</v>
      </c>
      <c r="H54" s="203">
        <v>1</v>
      </c>
      <c r="I54" s="203">
        <v>5</v>
      </c>
      <c r="J54" s="234">
        <f t="shared" si="1"/>
        <v>0.44465753424657528</v>
      </c>
    </row>
    <row r="55" spans="1:10" ht="15.75" customHeight="1" x14ac:dyDescent="0.25">
      <c r="A55" s="201" t="s">
        <v>214</v>
      </c>
      <c r="B55" s="202" t="s">
        <v>656</v>
      </c>
      <c r="C55" s="199">
        <f t="shared" si="0"/>
        <v>51</v>
      </c>
      <c r="D55" s="199">
        <v>85</v>
      </c>
      <c r="E55" s="199">
        <v>327</v>
      </c>
      <c r="F55" s="203">
        <v>21</v>
      </c>
      <c r="G55" s="203">
        <v>9</v>
      </c>
      <c r="H55" s="203">
        <v>4</v>
      </c>
      <c r="I55" s="203">
        <v>4</v>
      </c>
      <c r="J55" s="234">
        <f t="shared" si="1"/>
        <v>0.44018447488584467</v>
      </c>
    </row>
    <row r="56" spans="1:10" ht="15.75" customHeight="1" x14ac:dyDescent="0.25">
      <c r="A56" s="201" t="s">
        <v>93</v>
      </c>
      <c r="B56" s="202" t="s">
        <v>655</v>
      </c>
      <c r="C56" s="199">
        <f t="shared" si="0"/>
        <v>53</v>
      </c>
      <c r="D56" s="199">
        <v>44</v>
      </c>
      <c r="E56" s="199">
        <v>191</v>
      </c>
      <c r="F56" s="203">
        <v>18</v>
      </c>
      <c r="G56" s="203">
        <v>12</v>
      </c>
      <c r="H56" s="203">
        <v>4</v>
      </c>
      <c r="I56" s="203">
        <v>9</v>
      </c>
      <c r="J56" s="234">
        <f t="shared" si="1"/>
        <v>0.43897351598173517</v>
      </c>
    </row>
    <row r="57" spans="1:10" ht="15.75" customHeight="1" x14ac:dyDescent="0.25">
      <c r="A57" s="201" t="s">
        <v>89</v>
      </c>
      <c r="B57" s="202" t="s">
        <v>664</v>
      </c>
      <c r="C57" s="199">
        <f t="shared" si="0"/>
        <v>59</v>
      </c>
      <c r="D57" s="199">
        <v>141</v>
      </c>
      <c r="E57" s="199">
        <v>290</v>
      </c>
      <c r="F57" s="203">
        <v>26</v>
      </c>
      <c r="G57" s="203">
        <v>5</v>
      </c>
      <c r="H57" s="203">
        <v>0</v>
      </c>
      <c r="I57" s="203">
        <v>0</v>
      </c>
      <c r="J57" s="234">
        <f t="shared" si="1"/>
        <v>0.43105081749889523</v>
      </c>
    </row>
    <row r="58" spans="1:10" ht="15.75" customHeight="1" x14ac:dyDescent="0.25">
      <c r="A58" s="201" t="s">
        <v>434</v>
      </c>
      <c r="B58" s="202" t="s">
        <v>663</v>
      </c>
      <c r="C58" s="199">
        <f t="shared" si="0"/>
        <v>58</v>
      </c>
      <c r="D58" s="199">
        <v>127</v>
      </c>
      <c r="E58" s="199">
        <v>271</v>
      </c>
      <c r="F58" s="203">
        <v>24</v>
      </c>
      <c r="G58" s="203">
        <v>6</v>
      </c>
      <c r="H58" s="203">
        <v>0</v>
      </c>
      <c r="I58" s="203">
        <v>0</v>
      </c>
      <c r="J58" s="234">
        <f t="shared" si="1"/>
        <v>0.43208767123287667</v>
      </c>
    </row>
    <row r="59" spans="1:10" ht="15.75" customHeight="1" x14ac:dyDescent="0.25">
      <c r="A59" s="201" t="s">
        <v>190</v>
      </c>
      <c r="B59" s="202" t="s">
        <v>657</v>
      </c>
      <c r="C59" s="199">
        <f t="shared" si="0"/>
        <v>48</v>
      </c>
      <c r="D59" s="199">
        <v>19</v>
      </c>
      <c r="E59" s="199">
        <v>25</v>
      </c>
      <c r="F59" s="203">
        <v>16</v>
      </c>
      <c r="G59" s="203">
        <v>14</v>
      </c>
      <c r="H59" s="203">
        <v>6</v>
      </c>
      <c r="I59" s="203">
        <v>9</v>
      </c>
      <c r="J59" s="234">
        <f t="shared" si="1"/>
        <v>0.4487817351598174</v>
      </c>
    </row>
    <row r="60" spans="1:10" ht="15.75" customHeight="1" x14ac:dyDescent="0.25">
      <c r="A60" s="201" t="s">
        <v>419</v>
      </c>
      <c r="B60" s="202" t="s">
        <v>656</v>
      </c>
      <c r="C60" s="199">
        <f t="shared" si="0"/>
        <v>56</v>
      </c>
      <c r="D60" s="199">
        <v>75</v>
      </c>
      <c r="E60" s="199">
        <v>163</v>
      </c>
      <c r="F60" s="203">
        <v>19</v>
      </c>
      <c r="G60" s="203">
        <v>11</v>
      </c>
      <c r="H60" s="203">
        <v>4</v>
      </c>
      <c r="I60" s="203">
        <v>4</v>
      </c>
      <c r="J60" s="234">
        <f t="shared" si="1"/>
        <v>0.4361296803652967</v>
      </c>
    </row>
    <row r="61" spans="1:10" ht="15.75" customHeight="1" x14ac:dyDescent="0.25">
      <c r="A61" s="201" t="s">
        <v>362</v>
      </c>
      <c r="B61" s="202" t="s">
        <v>657</v>
      </c>
      <c r="C61" s="199">
        <f t="shared" si="0"/>
        <v>55</v>
      </c>
      <c r="D61" s="199">
        <v>47</v>
      </c>
      <c r="E61" s="199">
        <v>134</v>
      </c>
      <c r="F61" s="203">
        <v>18</v>
      </c>
      <c r="G61" s="203">
        <v>12</v>
      </c>
      <c r="H61" s="203">
        <v>3</v>
      </c>
      <c r="I61" s="203">
        <v>10</v>
      </c>
      <c r="J61" s="234">
        <f t="shared" si="1"/>
        <v>0.4379780821917808</v>
      </c>
    </row>
    <row r="62" spans="1:10" ht="15.75" customHeight="1" x14ac:dyDescent="0.25">
      <c r="A62" s="201" t="s">
        <v>199</v>
      </c>
      <c r="B62" s="202" t="s">
        <v>661</v>
      </c>
      <c r="C62" s="199">
        <f t="shared" si="0"/>
        <v>57</v>
      </c>
      <c r="D62" s="199">
        <v>78</v>
      </c>
      <c r="E62" s="199">
        <v>39</v>
      </c>
      <c r="F62" s="203">
        <v>19</v>
      </c>
      <c r="G62" s="203">
        <v>11</v>
      </c>
      <c r="H62" s="203">
        <v>1</v>
      </c>
      <c r="I62" s="203">
        <v>3</v>
      </c>
      <c r="J62" s="234">
        <f t="shared" si="1"/>
        <v>0.43257899543378986</v>
      </c>
    </row>
    <row r="63" spans="1:10" ht="15.75" customHeight="1" x14ac:dyDescent="0.25">
      <c r="A63" s="201" t="s">
        <v>71</v>
      </c>
      <c r="B63" s="202" t="s">
        <v>665</v>
      </c>
      <c r="C63" s="199">
        <f t="shared" si="0"/>
        <v>62</v>
      </c>
      <c r="D63" s="199">
        <v>162</v>
      </c>
      <c r="E63" s="199">
        <v>149</v>
      </c>
      <c r="F63" s="203">
        <v>22</v>
      </c>
      <c r="G63" s="203">
        <v>5</v>
      </c>
      <c r="H63" s="203">
        <v>0</v>
      </c>
      <c r="I63" s="203">
        <v>1</v>
      </c>
      <c r="J63" s="234">
        <f t="shared" si="1"/>
        <v>0.42084627092846261</v>
      </c>
    </row>
    <row r="64" spans="1:10" ht="15.75" customHeight="1" x14ac:dyDescent="0.25">
      <c r="A64" s="201" t="s">
        <v>265</v>
      </c>
      <c r="B64" s="202" t="s">
        <v>662</v>
      </c>
      <c r="C64" s="199">
        <f t="shared" si="0"/>
        <v>64</v>
      </c>
      <c r="D64" s="199">
        <v>118</v>
      </c>
      <c r="E64" s="199">
        <v>341</v>
      </c>
      <c r="F64" s="203">
        <v>22</v>
      </c>
      <c r="G64" s="203">
        <v>8</v>
      </c>
      <c r="H64" s="203">
        <v>1</v>
      </c>
      <c r="I64" s="203">
        <v>1</v>
      </c>
      <c r="J64" s="234">
        <f t="shared" si="1"/>
        <v>0.4002155251141552</v>
      </c>
    </row>
    <row r="65" spans="1:10" ht="15.75" customHeight="1" x14ac:dyDescent="0.25">
      <c r="A65" s="201" t="s">
        <v>25</v>
      </c>
      <c r="B65" s="202" t="s">
        <v>666</v>
      </c>
      <c r="C65" s="199">
        <f t="shared" si="0"/>
        <v>74</v>
      </c>
      <c r="D65" s="199">
        <v>175</v>
      </c>
      <c r="E65" s="199">
        <v>247</v>
      </c>
      <c r="F65" s="203">
        <v>24</v>
      </c>
      <c r="G65" s="203">
        <v>6</v>
      </c>
      <c r="H65" s="203">
        <v>0</v>
      </c>
      <c r="I65" s="203">
        <v>1</v>
      </c>
      <c r="J65" s="234">
        <f t="shared" si="1"/>
        <v>0.37790684931506846</v>
      </c>
    </row>
    <row r="66" spans="1:10" ht="15.75" customHeight="1" x14ac:dyDescent="0.25">
      <c r="A66" s="201" t="s">
        <v>466</v>
      </c>
      <c r="B66" s="202" t="s">
        <v>657</v>
      </c>
      <c r="C66" s="199">
        <f t="shared" ref="C66:C129" si="2">RANK(J66,J$2:J$366,0)</f>
        <v>71</v>
      </c>
      <c r="D66" s="199">
        <v>74</v>
      </c>
      <c r="E66" s="199">
        <v>245</v>
      </c>
      <c r="F66" s="203">
        <v>17</v>
      </c>
      <c r="G66" s="203">
        <v>13</v>
      </c>
      <c r="H66" s="203">
        <v>4</v>
      </c>
      <c r="I66" s="203">
        <v>8</v>
      </c>
      <c r="J66" s="234">
        <f t="shared" ref="J66:J129" si="3">0.35*(F66/(F66+G66))*((366-D66)/(366-1))+0.3*(F66/(F66+G66))*(0.7*((366-D66)/(366-1))+0.3*((366-E66)/(366-1)))+0.2*IF((H66+I66)&gt;0,H66/(H66+I66),0)*(H66+I66)/(F66+G66)+0.15*(F66/(F66+G66))</f>
        <v>0.38244018264840185</v>
      </c>
    </row>
    <row r="67" spans="1:10" ht="15.75" customHeight="1" x14ac:dyDescent="0.25">
      <c r="A67" s="201" t="s">
        <v>318</v>
      </c>
      <c r="B67" s="202" t="s">
        <v>667</v>
      </c>
      <c r="C67" s="199">
        <f t="shared" si="2"/>
        <v>66</v>
      </c>
      <c r="D67" s="199">
        <v>204</v>
      </c>
      <c r="E67" s="199">
        <v>58</v>
      </c>
      <c r="F67" s="203">
        <v>26</v>
      </c>
      <c r="G67" s="203">
        <v>5</v>
      </c>
      <c r="H67" s="203">
        <v>0</v>
      </c>
      <c r="I67" s="203">
        <v>2</v>
      </c>
      <c r="J67" s="234">
        <f t="shared" si="3"/>
        <v>0.39796199734865217</v>
      </c>
    </row>
    <row r="68" spans="1:10" ht="15.75" customHeight="1" x14ac:dyDescent="0.25">
      <c r="A68" s="201" t="s">
        <v>471</v>
      </c>
      <c r="B68" s="202" t="s">
        <v>663</v>
      </c>
      <c r="C68" s="199">
        <f t="shared" si="2"/>
        <v>69</v>
      </c>
      <c r="D68" s="199">
        <v>112</v>
      </c>
      <c r="E68" s="199">
        <v>170</v>
      </c>
      <c r="F68" s="203">
        <v>20</v>
      </c>
      <c r="G68" s="203">
        <v>10</v>
      </c>
      <c r="H68" s="203">
        <v>0</v>
      </c>
      <c r="I68" s="203">
        <v>1</v>
      </c>
      <c r="J68" s="234">
        <f t="shared" si="3"/>
        <v>0.3920182648401826</v>
      </c>
    </row>
    <row r="69" spans="1:10" ht="15.75" customHeight="1" x14ac:dyDescent="0.25">
      <c r="A69" s="201" t="s">
        <v>225</v>
      </c>
      <c r="B69" s="202" t="s">
        <v>657</v>
      </c>
      <c r="C69" s="199">
        <f t="shared" si="2"/>
        <v>63</v>
      </c>
      <c r="D69" s="199">
        <v>60</v>
      </c>
      <c r="E69" s="199">
        <v>156</v>
      </c>
      <c r="F69" s="203">
        <v>17</v>
      </c>
      <c r="G69" s="203">
        <v>13</v>
      </c>
      <c r="H69" s="203">
        <v>4</v>
      </c>
      <c r="I69" s="203">
        <v>9</v>
      </c>
      <c r="J69" s="234">
        <f t="shared" si="3"/>
        <v>0.40704748858447481</v>
      </c>
    </row>
    <row r="70" spans="1:10" ht="15.75" customHeight="1" x14ac:dyDescent="0.25">
      <c r="A70" s="201" t="s">
        <v>229</v>
      </c>
      <c r="B70" s="202" t="s">
        <v>657</v>
      </c>
      <c r="C70" s="199">
        <f t="shared" si="2"/>
        <v>65</v>
      </c>
      <c r="D70" s="199">
        <v>59</v>
      </c>
      <c r="E70" s="199">
        <v>122</v>
      </c>
      <c r="F70" s="203">
        <v>17</v>
      </c>
      <c r="G70" s="203">
        <v>13</v>
      </c>
      <c r="H70" s="203">
        <v>2</v>
      </c>
      <c r="I70" s="203">
        <v>9</v>
      </c>
      <c r="J70" s="234">
        <f t="shared" si="3"/>
        <v>0.39933424657534233</v>
      </c>
    </row>
    <row r="71" spans="1:10" ht="15.75" customHeight="1" x14ac:dyDescent="0.25">
      <c r="A71" s="201" t="s">
        <v>196</v>
      </c>
      <c r="B71" s="202" t="s">
        <v>657</v>
      </c>
      <c r="C71" s="199">
        <f t="shared" si="2"/>
        <v>73</v>
      </c>
      <c r="D71" s="199">
        <v>29</v>
      </c>
      <c r="E71" s="199">
        <v>101</v>
      </c>
      <c r="F71" s="203">
        <v>15</v>
      </c>
      <c r="G71" s="203">
        <v>15</v>
      </c>
      <c r="H71" s="203">
        <v>2</v>
      </c>
      <c r="I71" s="203">
        <v>13</v>
      </c>
      <c r="J71" s="234">
        <f t="shared" si="3"/>
        <v>0.37952511415525109</v>
      </c>
    </row>
    <row r="72" spans="1:10" ht="15.75" customHeight="1" x14ac:dyDescent="0.25">
      <c r="A72" s="201" t="s">
        <v>461</v>
      </c>
      <c r="B72" s="202" t="s">
        <v>656</v>
      </c>
      <c r="C72" s="199">
        <f t="shared" si="2"/>
        <v>76</v>
      </c>
      <c r="D72" s="199">
        <v>38</v>
      </c>
      <c r="E72" s="199">
        <v>63</v>
      </c>
      <c r="F72" s="203">
        <v>15</v>
      </c>
      <c r="G72" s="203">
        <v>15</v>
      </c>
      <c r="H72" s="203">
        <v>2</v>
      </c>
      <c r="I72" s="203">
        <v>12</v>
      </c>
      <c r="J72" s="234">
        <f t="shared" si="3"/>
        <v>0.37730593607305934</v>
      </c>
    </row>
    <row r="73" spans="1:10" ht="15.75" customHeight="1" x14ac:dyDescent="0.25">
      <c r="A73" s="201" t="s">
        <v>272</v>
      </c>
      <c r="B73" s="202" t="s">
        <v>661</v>
      </c>
      <c r="C73" s="199">
        <f t="shared" si="2"/>
        <v>70</v>
      </c>
      <c r="D73" s="199">
        <v>97</v>
      </c>
      <c r="E73" s="199">
        <v>219</v>
      </c>
      <c r="F73" s="203">
        <v>19</v>
      </c>
      <c r="G73" s="203">
        <v>11</v>
      </c>
      <c r="H73" s="203">
        <v>1</v>
      </c>
      <c r="I73" s="203">
        <v>3</v>
      </c>
      <c r="J73" s="234">
        <f t="shared" si="3"/>
        <v>0.38600730593607296</v>
      </c>
    </row>
    <row r="74" spans="1:10" ht="15.75" customHeight="1" x14ac:dyDescent="0.25">
      <c r="A74" s="201" t="s">
        <v>230</v>
      </c>
      <c r="B74" s="202" t="s">
        <v>661</v>
      </c>
      <c r="C74" s="199">
        <f t="shared" si="2"/>
        <v>68</v>
      </c>
      <c r="D74" s="199">
        <v>101</v>
      </c>
      <c r="E74" s="199">
        <v>229</v>
      </c>
      <c r="F74" s="203">
        <v>20</v>
      </c>
      <c r="G74" s="203">
        <v>10</v>
      </c>
      <c r="H74" s="203">
        <v>0</v>
      </c>
      <c r="I74" s="203">
        <v>2</v>
      </c>
      <c r="J74" s="234">
        <f t="shared" si="3"/>
        <v>0.39357077625570769</v>
      </c>
    </row>
    <row r="75" spans="1:10" ht="15.75" customHeight="1" x14ac:dyDescent="0.25">
      <c r="A75" s="201" t="s">
        <v>361</v>
      </c>
      <c r="B75" s="202" t="s">
        <v>659</v>
      </c>
      <c r="C75" s="199">
        <f t="shared" si="2"/>
        <v>67</v>
      </c>
      <c r="D75" s="199">
        <v>42</v>
      </c>
      <c r="E75" s="199">
        <v>184</v>
      </c>
      <c r="F75" s="203">
        <v>16</v>
      </c>
      <c r="G75" s="203">
        <v>14</v>
      </c>
      <c r="H75" s="203">
        <v>4</v>
      </c>
      <c r="I75" s="203">
        <v>11</v>
      </c>
      <c r="J75" s="234">
        <f t="shared" si="3"/>
        <v>0.39571872146118725</v>
      </c>
    </row>
    <row r="76" spans="1:10" ht="15.75" customHeight="1" x14ac:dyDescent="0.25">
      <c r="A76" s="201" t="s">
        <v>334</v>
      </c>
      <c r="B76" s="202" t="s">
        <v>664</v>
      </c>
      <c r="C76" s="199">
        <f t="shared" si="2"/>
        <v>75</v>
      </c>
      <c r="D76" s="199">
        <v>113</v>
      </c>
      <c r="E76" s="199">
        <v>176</v>
      </c>
      <c r="F76" s="203">
        <v>20</v>
      </c>
      <c r="G76" s="203">
        <v>11</v>
      </c>
      <c r="H76" s="203">
        <v>0</v>
      </c>
      <c r="I76" s="203">
        <v>1</v>
      </c>
      <c r="J76" s="234">
        <f t="shared" si="3"/>
        <v>0.37742819266460448</v>
      </c>
    </row>
    <row r="77" spans="1:10" ht="15.75" customHeight="1" x14ac:dyDescent="0.25">
      <c r="A77" s="201" t="s">
        <v>208</v>
      </c>
      <c r="B77" s="202" t="s">
        <v>658</v>
      </c>
      <c r="C77" s="199">
        <f t="shared" si="2"/>
        <v>84</v>
      </c>
      <c r="D77" s="199">
        <v>48</v>
      </c>
      <c r="E77" s="199">
        <v>132</v>
      </c>
      <c r="F77" s="203">
        <v>15</v>
      </c>
      <c r="G77" s="203">
        <v>15</v>
      </c>
      <c r="H77" s="203">
        <v>1</v>
      </c>
      <c r="I77" s="203">
        <v>7</v>
      </c>
      <c r="J77" s="234">
        <f t="shared" si="3"/>
        <v>0.35446118721461184</v>
      </c>
    </row>
    <row r="78" spans="1:10" ht="15.75" customHeight="1" x14ac:dyDescent="0.25">
      <c r="A78" s="201" t="s">
        <v>476</v>
      </c>
      <c r="B78" s="202" t="s">
        <v>658</v>
      </c>
      <c r="C78" s="199">
        <f t="shared" si="2"/>
        <v>80</v>
      </c>
      <c r="D78" s="199">
        <v>33</v>
      </c>
      <c r="E78" s="199">
        <v>68</v>
      </c>
      <c r="F78" s="203">
        <v>14</v>
      </c>
      <c r="G78" s="203">
        <v>16</v>
      </c>
      <c r="H78" s="203">
        <v>2</v>
      </c>
      <c r="I78" s="203">
        <v>8</v>
      </c>
      <c r="J78" s="234">
        <f t="shared" si="3"/>
        <v>0.35604566210045657</v>
      </c>
    </row>
    <row r="79" spans="1:10" ht="15.75" customHeight="1" x14ac:dyDescent="0.25">
      <c r="A79" s="201" t="s">
        <v>234</v>
      </c>
      <c r="B79" s="202" t="s">
        <v>658</v>
      </c>
      <c r="C79" s="199">
        <f t="shared" si="2"/>
        <v>72</v>
      </c>
      <c r="D79" s="199">
        <v>21</v>
      </c>
      <c r="E79" s="199">
        <v>36</v>
      </c>
      <c r="F79" s="203">
        <v>15</v>
      </c>
      <c r="G79" s="203">
        <v>16</v>
      </c>
      <c r="H79" s="203">
        <v>2</v>
      </c>
      <c r="I79" s="203">
        <v>8</v>
      </c>
      <c r="J79" s="234">
        <f t="shared" si="3"/>
        <v>0.38097657976137866</v>
      </c>
    </row>
    <row r="80" spans="1:10" ht="15.75" customHeight="1" x14ac:dyDescent="0.25">
      <c r="A80" s="201" t="s">
        <v>396</v>
      </c>
      <c r="B80" s="202" t="s">
        <v>666</v>
      </c>
      <c r="C80" s="199">
        <f t="shared" si="2"/>
        <v>86</v>
      </c>
      <c r="D80" s="199">
        <v>164</v>
      </c>
      <c r="E80" s="199">
        <v>198</v>
      </c>
      <c r="F80" s="203">
        <v>21</v>
      </c>
      <c r="G80" s="203">
        <v>9</v>
      </c>
      <c r="H80" s="203">
        <v>0</v>
      </c>
      <c r="I80" s="203">
        <v>1</v>
      </c>
      <c r="J80" s="234">
        <f t="shared" si="3"/>
        <v>0.3509397260273972</v>
      </c>
    </row>
    <row r="81" spans="1:10" ht="15.75" customHeight="1" x14ac:dyDescent="0.25">
      <c r="A81" s="201" t="s">
        <v>325</v>
      </c>
      <c r="B81" s="202" t="s">
        <v>659</v>
      </c>
      <c r="C81" s="199">
        <f t="shared" si="2"/>
        <v>81</v>
      </c>
      <c r="D81" s="199">
        <v>8</v>
      </c>
      <c r="E81" s="199">
        <v>57</v>
      </c>
      <c r="F81" s="203">
        <v>13</v>
      </c>
      <c r="G81" s="203">
        <v>17</v>
      </c>
      <c r="H81" s="203">
        <v>3</v>
      </c>
      <c r="I81" s="203">
        <v>12</v>
      </c>
      <c r="J81" s="234">
        <f t="shared" si="3"/>
        <v>0.35602922374429224</v>
      </c>
    </row>
    <row r="82" spans="1:10" ht="15.75" customHeight="1" x14ac:dyDescent="0.25">
      <c r="A82" s="201" t="s">
        <v>236</v>
      </c>
      <c r="B82" s="202" t="s">
        <v>662</v>
      </c>
      <c r="C82" s="199">
        <f t="shared" si="2"/>
        <v>88</v>
      </c>
      <c r="D82" s="199">
        <v>109</v>
      </c>
      <c r="E82" s="199">
        <v>205</v>
      </c>
      <c r="F82" s="203">
        <v>18</v>
      </c>
      <c r="G82" s="203">
        <v>12</v>
      </c>
      <c r="H82" s="203">
        <v>0</v>
      </c>
      <c r="I82" s="203">
        <v>5</v>
      </c>
      <c r="J82" s="234">
        <f t="shared" si="3"/>
        <v>0.35039999999999993</v>
      </c>
    </row>
    <row r="83" spans="1:10" ht="15.75" customHeight="1" x14ac:dyDescent="0.25">
      <c r="A83" s="201" t="s">
        <v>462</v>
      </c>
      <c r="B83" s="202" t="s">
        <v>655</v>
      </c>
      <c r="C83" s="199">
        <f t="shared" si="2"/>
        <v>78</v>
      </c>
      <c r="D83" s="199">
        <v>32</v>
      </c>
      <c r="E83" s="199">
        <v>121</v>
      </c>
      <c r="F83" s="203">
        <v>15</v>
      </c>
      <c r="G83" s="203">
        <v>15</v>
      </c>
      <c r="H83" s="203">
        <v>1</v>
      </c>
      <c r="I83" s="203">
        <v>11</v>
      </c>
      <c r="J83" s="234">
        <f t="shared" si="3"/>
        <v>0.36809132420091323</v>
      </c>
    </row>
    <row r="84" spans="1:10" ht="15.75" customHeight="1" x14ac:dyDescent="0.25">
      <c r="A84" s="201" t="s">
        <v>260</v>
      </c>
      <c r="B84" s="202" t="s">
        <v>656</v>
      </c>
      <c r="C84" s="199">
        <f t="shared" si="2"/>
        <v>79</v>
      </c>
      <c r="D84" s="199">
        <v>69</v>
      </c>
      <c r="E84" s="199">
        <v>128</v>
      </c>
      <c r="F84" s="203">
        <v>16</v>
      </c>
      <c r="G84" s="203">
        <v>14</v>
      </c>
      <c r="H84" s="203">
        <v>2</v>
      </c>
      <c r="I84" s="203">
        <v>10</v>
      </c>
      <c r="J84" s="234">
        <f t="shared" si="3"/>
        <v>0.3676566210045662</v>
      </c>
    </row>
    <row r="85" spans="1:10" ht="15.75" customHeight="1" x14ac:dyDescent="0.25">
      <c r="A85" s="201" t="s">
        <v>378</v>
      </c>
      <c r="B85" s="202" t="s">
        <v>658</v>
      </c>
      <c r="C85" s="199">
        <f t="shared" si="2"/>
        <v>92</v>
      </c>
      <c r="D85" s="199">
        <v>36</v>
      </c>
      <c r="E85" s="199">
        <v>83</v>
      </c>
      <c r="F85" s="203">
        <v>14</v>
      </c>
      <c r="G85" s="203">
        <v>16</v>
      </c>
      <c r="H85" s="203">
        <v>1</v>
      </c>
      <c r="I85" s="203">
        <v>7</v>
      </c>
      <c r="J85" s="234">
        <f t="shared" si="3"/>
        <v>0.34550502283105022</v>
      </c>
    </row>
    <row r="86" spans="1:10" ht="15.75" customHeight="1" x14ac:dyDescent="0.25">
      <c r="A86" s="201" t="s">
        <v>282</v>
      </c>
      <c r="B86" s="202" t="s">
        <v>664</v>
      </c>
      <c r="C86" s="199">
        <f t="shared" si="2"/>
        <v>85</v>
      </c>
      <c r="D86" s="199">
        <v>128</v>
      </c>
      <c r="E86" s="199">
        <v>231</v>
      </c>
      <c r="F86" s="203">
        <v>20</v>
      </c>
      <c r="G86" s="203">
        <v>11</v>
      </c>
      <c r="H86" s="203">
        <v>0</v>
      </c>
      <c r="I86" s="203">
        <v>1</v>
      </c>
      <c r="J86" s="234">
        <f t="shared" si="3"/>
        <v>0.3538311975254087</v>
      </c>
    </row>
    <row r="87" spans="1:10" ht="15.75" customHeight="1" x14ac:dyDescent="0.25">
      <c r="A87" s="201" t="s">
        <v>423</v>
      </c>
      <c r="B87" s="202" t="s">
        <v>656</v>
      </c>
      <c r="C87" s="199">
        <f t="shared" si="2"/>
        <v>90</v>
      </c>
      <c r="D87" s="199">
        <v>65</v>
      </c>
      <c r="E87" s="199">
        <v>129</v>
      </c>
      <c r="F87" s="203">
        <v>15</v>
      </c>
      <c r="G87" s="203">
        <v>15</v>
      </c>
      <c r="H87" s="203">
        <v>2</v>
      </c>
      <c r="I87" s="203">
        <v>11</v>
      </c>
      <c r="J87" s="234">
        <f t="shared" si="3"/>
        <v>0.34845662100456615</v>
      </c>
    </row>
    <row r="88" spans="1:10" ht="15.75" customHeight="1" x14ac:dyDescent="0.25">
      <c r="A88" s="201" t="s">
        <v>394</v>
      </c>
      <c r="B88" s="202" t="s">
        <v>662</v>
      </c>
      <c r="C88" s="199">
        <f t="shared" si="2"/>
        <v>77</v>
      </c>
      <c r="D88" s="199">
        <v>114</v>
      </c>
      <c r="E88" s="199">
        <v>297</v>
      </c>
      <c r="F88" s="203">
        <v>20</v>
      </c>
      <c r="G88" s="203">
        <v>10</v>
      </c>
      <c r="H88" s="203">
        <v>0</v>
      </c>
      <c r="I88" s="203">
        <v>2</v>
      </c>
      <c r="J88" s="234">
        <f t="shared" si="3"/>
        <v>0.36909589041095886</v>
      </c>
    </row>
    <row r="89" spans="1:10" ht="15.75" customHeight="1" x14ac:dyDescent="0.25">
      <c r="A89" s="201" t="s">
        <v>354</v>
      </c>
      <c r="B89" s="202" t="s">
        <v>664</v>
      </c>
      <c r="C89" s="199">
        <f t="shared" si="2"/>
        <v>87</v>
      </c>
      <c r="D89" s="199">
        <v>124</v>
      </c>
      <c r="E89" s="199">
        <v>204</v>
      </c>
      <c r="F89" s="203">
        <v>20</v>
      </c>
      <c r="G89" s="203">
        <v>12</v>
      </c>
      <c r="H89" s="203">
        <v>0</v>
      </c>
      <c r="I89" s="203">
        <v>1</v>
      </c>
      <c r="J89" s="234">
        <f t="shared" si="3"/>
        <v>0.35077054794520546</v>
      </c>
    </row>
    <row r="90" spans="1:10" ht="15.75" customHeight="1" x14ac:dyDescent="0.25">
      <c r="A90" s="201" t="s">
        <v>276</v>
      </c>
      <c r="B90" s="202" t="s">
        <v>668</v>
      </c>
      <c r="C90" s="199">
        <f t="shared" si="2"/>
        <v>82</v>
      </c>
      <c r="D90" s="199">
        <v>163</v>
      </c>
      <c r="E90" s="199">
        <v>107</v>
      </c>
      <c r="F90" s="203">
        <v>21</v>
      </c>
      <c r="G90" s="203">
        <v>10</v>
      </c>
      <c r="H90" s="203">
        <v>0</v>
      </c>
      <c r="I90" s="203">
        <v>0</v>
      </c>
      <c r="J90" s="234">
        <f t="shared" si="3"/>
        <v>0.35585859478568271</v>
      </c>
    </row>
    <row r="91" spans="1:10" ht="15.75" customHeight="1" x14ac:dyDescent="0.25">
      <c r="A91" s="201" t="s">
        <v>257</v>
      </c>
      <c r="B91" s="202" t="s">
        <v>663</v>
      </c>
      <c r="C91" s="199">
        <f t="shared" si="2"/>
        <v>91</v>
      </c>
      <c r="D91" s="199">
        <v>108</v>
      </c>
      <c r="E91" s="199">
        <v>97</v>
      </c>
      <c r="F91" s="203">
        <v>17</v>
      </c>
      <c r="G91" s="203">
        <v>13</v>
      </c>
      <c r="H91" s="203">
        <v>0</v>
      </c>
      <c r="I91" s="203">
        <v>1</v>
      </c>
      <c r="J91" s="234">
        <f t="shared" si="3"/>
        <v>0.34689315068493143</v>
      </c>
    </row>
    <row r="92" spans="1:10" ht="15.75" customHeight="1" x14ac:dyDescent="0.25">
      <c r="A92" s="201" t="s">
        <v>435</v>
      </c>
      <c r="B92" s="202" t="s">
        <v>663</v>
      </c>
      <c r="C92" s="199">
        <f t="shared" si="2"/>
        <v>89</v>
      </c>
      <c r="D92" s="199">
        <v>120</v>
      </c>
      <c r="E92" s="199">
        <v>263</v>
      </c>
      <c r="F92" s="203">
        <v>19</v>
      </c>
      <c r="G92" s="203">
        <v>11</v>
      </c>
      <c r="H92" s="203">
        <v>0</v>
      </c>
      <c r="I92" s="203">
        <v>1</v>
      </c>
      <c r="J92" s="234">
        <f t="shared" si="3"/>
        <v>0.35012054794520542</v>
      </c>
    </row>
    <row r="93" spans="1:10" ht="15.75" customHeight="1" x14ac:dyDescent="0.25">
      <c r="A93" s="201" t="s">
        <v>294</v>
      </c>
      <c r="B93" s="202" t="s">
        <v>659</v>
      </c>
      <c r="C93" s="199">
        <f t="shared" si="2"/>
        <v>96</v>
      </c>
      <c r="D93" s="199">
        <v>67</v>
      </c>
      <c r="E93" s="199">
        <v>260</v>
      </c>
      <c r="F93" s="203">
        <v>15</v>
      </c>
      <c r="G93" s="203">
        <v>15</v>
      </c>
      <c r="H93" s="203">
        <v>2</v>
      </c>
      <c r="I93" s="203">
        <v>13</v>
      </c>
      <c r="J93" s="234">
        <f t="shared" si="3"/>
        <v>0.33077168949771685</v>
      </c>
    </row>
    <row r="94" spans="1:10" ht="15.75" customHeight="1" x14ac:dyDescent="0.25">
      <c r="A94" s="201" t="s">
        <v>324</v>
      </c>
      <c r="B94" s="202" t="s">
        <v>655</v>
      </c>
      <c r="C94" s="199">
        <f t="shared" si="2"/>
        <v>97</v>
      </c>
      <c r="D94" s="199">
        <v>55</v>
      </c>
      <c r="E94" s="199">
        <v>274</v>
      </c>
      <c r="F94" s="203">
        <v>14</v>
      </c>
      <c r="G94" s="203">
        <v>16</v>
      </c>
      <c r="H94" s="203">
        <v>4</v>
      </c>
      <c r="I94" s="203">
        <v>11</v>
      </c>
      <c r="J94" s="234">
        <f t="shared" si="3"/>
        <v>0.32992328767123286</v>
      </c>
    </row>
    <row r="95" spans="1:10" ht="15.75" customHeight="1" x14ac:dyDescent="0.25">
      <c r="A95" s="201" t="s">
        <v>446</v>
      </c>
      <c r="B95" s="202" t="s">
        <v>661</v>
      </c>
      <c r="C95" s="199">
        <f t="shared" si="2"/>
        <v>83</v>
      </c>
      <c r="D95" s="199">
        <v>89</v>
      </c>
      <c r="E95" s="199">
        <v>96</v>
      </c>
      <c r="F95" s="203">
        <v>16</v>
      </c>
      <c r="G95" s="203">
        <v>14</v>
      </c>
      <c r="H95" s="203">
        <v>2</v>
      </c>
      <c r="I95" s="203">
        <v>1</v>
      </c>
      <c r="J95" s="234">
        <f t="shared" si="3"/>
        <v>0.35549954337899542</v>
      </c>
    </row>
    <row r="96" spans="1:10" ht="15.75" customHeight="1" x14ac:dyDescent="0.25">
      <c r="A96" s="201" t="s">
        <v>203</v>
      </c>
      <c r="B96" s="202" t="s">
        <v>664</v>
      </c>
      <c r="C96" s="199">
        <f t="shared" si="2"/>
        <v>94</v>
      </c>
      <c r="D96" s="199">
        <v>135</v>
      </c>
      <c r="E96" s="199">
        <v>299</v>
      </c>
      <c r="F96" s="203">
        <v>20</v>
      </c>
      <c r="G96" s="203">
        <v>11</v>
      </c>
      <c r="H96" s="203">
        <v>0</v>
      </c>
      <c r="I96" s="203">
        <v>0</v>
      </c>
      <c r="J96" s="234">
        <f t="shared" si="3"/>
        <v>0.33608484312859033</v>
      </c>
    </row>
    <row r="97" spans="1:10" ht="15.75" customHeight="1" x14ac:dyDescent="0.25">
      <c r="A97" s="201" t="s">
        <v>238</v>
      </c>
      <c r="B97" s="202" t="s">
        <v>658</v>
      </c>
      <c r="C97" s="199">
        <f t="shared" si="2"/>
        <v>98</v>
      </c>
      <c r="D97" s="199">
        <v>73</v>
      </c>
      <c r="E97" s="199">
        <v>322</v>
      </c>
      <c r="F97" s="203">
        <v>16</v>
      </c>
      <c r="G97" s="203">
        <v>14</v>
      </c>
      <c r="H97" s="203">
        <v>0</v>
      </c>
      <c r="I97" s="203">
        <v>6</v>
      </c>
      <c r="J97" s="234">
        <f t="shared" si="3"/>
        <v>0.32553789954337897</v>
      </c>
    </row>
    <row r="98" spans="1:10" ht="15.75" customHeight="1" x14ac:dyDescent="0.25">
      <c r="A98" s="201" t="s">
        <v>220</v>
      </c>
      <c r="B98" s="202" t="s">
        <v>668</v>
      </c>
      <c r="C98" s="199">
        <f t="shared" si="2"/>
        <v>93</v>
      </c>
      <c r="D98" s="199">
        <v>169</v>
      </c>
      <c r="E98" s="199">
        <v>177</v>
      </c>
      <c r="F98" s="203">
        <v>21</v>
      </c>
      <c r="G98" s="203">
        <v>10</v>
      </c>
      <c r="H98" s="203">
        <v>0</v>
      </c>
      <c r="I98" s="203">
        <v>0</v>
      </c>
      <c r="J98" s="234">
        <f t="shared" si="3"/>
        <v>0.33793018117543083</v>
      </c>
    </row>
    <row r="99" spans="1:10" ht="15.75" customHeight="1" x14ac:dyDescent="0.25">
      <c r="A99" s="201" t="s">
        <v>358</v>
      </c>
      <c r="B99" s="202" t="s">
        <v>656</v>
      </c>
      <c r="C99" s="199">
        <f t="shared" si="2"/>
        <v>100</v>
      </c>
      <c r="D99" s="199">
        <v>57</v>
      </c>
      <c r="E99" s="199">
        <v>76</v>
      </c>
      <c r="F99" s="203">
        <v>13</v>
      </c>
      <c r="G99" s="203">
        <v>17</v>
      </c>
      <c r="H99" s="203">
        <v>3</v>
      </c>
      <c r="I99" s="203">
        <v>10</v>
      </c>
      <c r="J99" s="234">
        <f t="shared" si="3"/>
        <v>0.32142191780821916</v>
      </c>
    </row>
    <row r="100" spans="1:10" ht="15.75" customHeight="1" x14ac:dyDescent="0.25">
      <c r="A100" s="201" t="s">
        <v>357</v>
      </c>
      <c r="B100" s="202" t="s">
        <v>655</v>
      </c>
      <c r="C100" s="199">
        <f t="shared" si="2"/>
        <v>101</v>
      </c>
      <c r="D100" s="199">
        <v>30</v>
      </c>
      <c r="E100" s="199">
        <v>126</v>
      </c>
      <c r="F100" s="203">
        <v>13</v>
      </c>
      <c r="G100" s="203">
        <v>17</v>
      </c>
      <c r="H100" s="203">
        <v>1</v>
      </c>
      <c r="I100" s="203">
        <v>13</v>
      </c>
      <c r="J100" s="234">
        <f t="shared" si="3"/>
        <v>0.32069680365296804</v>
      </c>
    </row>
    <row r="101" spans="1:10" ht="15.75" customHeight="1" x14ac:dyDescent="0.25">
      <c r="A101" s="201" t="s">
        <v>469</v>
      </c>
      <c r="B101" s="202" t="s">
        <v>666</v>
      </c>
      <c r="C101" s="199">
        <f t="shared" si="2"/>
        <v>104</v>
      </c>
      <c r="D101" s="199">
        <v>149</v>
      </c>
      <c r="E101" s="199">
        <v>181</v>
      </c>
      <c r="F101" s="203">
        <v>18</v>
      </c>
      <c r="G101" s="203">
        <v>12</v>
      </c>
      <c r="H101" s="203">
        <v>0</v>
      </c>
      <c r="I101" s="203">
        <v>1</v>
      </c>
      <c r="J101" s="234">
        <f t="shared" si="3"/>
        <v>0.31712876712328764</v>
      </c>
    </row>
    <row r="102" spans="1:10" ht="15.75" customHeight="1" x14ac:dyDescent="0.25">
      <c r="A102" s="201" t="s">
        <v>266</v>
      </c>
      <c r="B102" s="202" t="s">
        <v>662</v>
      </c>
      <c r="C102" s="199">
        <f t="shared" si="2"/>
        <v>95</v>
      </c>
      <c r="D102" s="199">
        <v>106</v>
      </c>
      <c r="E102" s="199">
        <v>201</v>
      </c>
      <c r="F102" s="203">
        <v>17</v>
      </c>
      <c r="G102" s="203">
        <v>13</v>
      </c>
      <c r="H102" s="203">
        <v>0</v>
      </c>
      <c r="I102" s="203">
        <v>3</v>
      </c>
      <c r="J102" s="234">
        <f t="shared" si="3"/>
        <v>0.33410045662100452</v>
      </c>
    </row>
    <row r="103" spans="1:10" ht="15.75" customHeight="1" x14ac:dyDescent="0.25">
      <c r="A103" s="201" t="s">
        <v>364</v>
      </c>
      <c r="B103" s="202" t="s">
        <v>659</v>
      </c>
      <c r="C103" s="199">
        <f t="shared" si="2"/>
        <v>110</v>
      </c>
      <c r="D103" s="199">
        <v>28</v>
      </c>
      <c r="E103" s="199">
        <v>125</v>
      </c>
      <c r="F103" s="203">
        <v>12</v>
      </c>
      <c r="G103" s="203">
        <v>18</v>
      </c>
      <c r="H103" s="203">
        <v>3</v>
      </c>
      <c r="I103" s="203">
        <v>15</v>
      </c>
      <c r="J103" s="234">
        <f t="shared" si="3"/>
        <v>0.31119999999999998</v>
      </c>
    </row>
    <row r="104" spans="1:10" ht="15.75" customHeight="1" x14ac:dyDescent="0.25">
      <c r="A104" s="201" t="s">
        <v>400</v>
      </c>
      <c r="B104" s="202" t="s">
        <v>660</v>
      </c>
      <c r="C104" s="199">
        <f t="shared" si="2"/>
        <v>102</v>
      </c>
      <c r="D104" s="199">
        <v>99</v>
      </c>
      <c r="E104" s="199">
        <v>117</v>
      </c>
      <c r="F104" s="203">
        <v>16</v>
      </c>
      <c r="G104" s="203">
        <v>15</v>
      </c>
      <c r="H104" s="203">
        <v>0</v>
      </c>
      <c r="I104" s="203">
        <v>7</v>
      </c>
      <c r="J104" s="234">
        <f t="shared" si="3"/>
        <v>0.32053733981440563</v>
      </c>
    </row>
    <row r="105" spans="1:10" ht="15.75" customHeight="1" x14ac:dyDescent="0.25">
      <c r="A105" s="201" t="s">
        <v>267</v>
      </c>
      <c r="B105" s="202" t="s">
        <v>658</v>
      </c>
      <c r="C105" s="199">
        <f t="shared" si="2"/>
        <v>107</v>
      </c>
      <c r="D105" s="199">
        <v>39</v>
      </c>
      <c r="E105" s="199">
        <v>127</v>
      </c>
      <c r="F105" s="203">
        <v>13</v>
      </c>
      <c r="G105" s="203">
        <v>17</v>
      </c>
      <c r="H105" s="203">
        <v>1</v>
      </c>
      <c r="I105" s="203">
        <v>8</v>
      </c>
      <c r="J105" s="234">
        <f t="shared" si="3"/>
        <v>0.31460639269406393</v>
      </c>
    </row>
    <row r="106" spans="1:10" ht="15.75" customHeight="1" x14ac:dyDescent="0.25">
      <c r="A106" s="201" t="s">
        <v>433</v>
      </c>
      <c r="B106" s="202" t="s">
        <v>663</v>
      </c>
      <c r="C106" s="199">
        <f t="shared" si="2"/>
        <v>113</v>
      </c>
      <c r="D106" s="199">
        <v>119</v>
      </c>
      <c r="E106" s="199">
        <v>288</v>
      </c>
      <c r="F106" s="203">
        <v>17</v>
      </c>
      <c r="G106" s="203">
        <v>13</v>
      </c>
      <c r="H106" s="203">
        <v>0</v>
      </c>
      <c r="I106" s="203">
        <v>1</v>
      </c>
      <c r="J106" s="234">
        <f t="shared" si="3"/>
        <v>0.31064200913242002</v>
      </c>
    </row>
    <row r="107" spans="1:10" ht="15.75" customHeight="1" x14ac:dyDescent="0.25">
      <c r="A107" s="201" t="s">
        <v>184</v>
      </c>
      <c r="B107" s="202" t="s">
        <v>669</v>
      </c>
      <c r="C107" s="199">
        <f t="shared" si="2"/>
        <v>106</v>
      </c>
      <c r="D107" s="199">
        <v>233</v>
      </c>
      <c r="E107" s="199">
        <v>268</v>
      </c>
      <c r="F107" s="203">
        <v>25</v>
      </c>
      <c r="G107" s="203">
        <v>5</v>
      </c>
      <c r="H107" s="203">
        <v>0</v>
      </c>
      <c r="I107" s="203">
        <v>1</v>
      </c>
      <c r="J107" s="234">
        <f t="shared" si="3"/>
        <v>0.31518264840182653</v>
      </c>
    </row>
    <row r="108" spans="1:10" ht="15.75" customHeight="1" x14ac:dyDescent="0.25">
      <c r="A108" s="201" t="s">
        <v>371</v>
      </c>
      <c r="B108" s="202" t="s">
        <v>665</v>
      </c>
      <c r="C108" s="199">
        <f t="shared" si="2"/>
        <v>105</v>
      </c>
      <c r="D108" s="199">
        <v>146</v>
      </c>
      <c r="E108" s="199">
        <v>115</v>
      </c>
      <c r="F108" s="203">
        <v>15</v>
      </c>
      <c r="G108" s="203">
        <v>11</v>
      </c>
      <c r="H108" s="203">
        <v>0</v>
      </c>
      <c r="I108" s="203">
        <v>1</v>
      </c>
      <c r="J108" s="234">
        <f t="shared" si="3"/>
        <v>0.31697576396206528</v>
      </c>
    </row>
    <row r="109" spans="1:10" ht="15.75" customHeight="1" x14ac:dyDescent="0.25">
      <c r="A109" s="201" t="s">
        <v>383</v>
      </c>
      <c r="B109" s="202" t="s">
        <v>662</v>
      </c>
      <c r="C109" s="199">
        <f t="shared" si="2"/>
        <v>99</v>
      </c>
      <c r="D109" s="199">
        <v>104</v>
      </c>
      <c r="E109" s="199">
        <v>194</v>
      </c>
      <c r="F109" s="203">
        <v>16</v>
      </c>
      <c r="G109" s="203">
        <v>14</v>
      </c>
      <c r="H109" s="203">
        <v>1</v>
      </c>
      <c r="I109" s="203">
        <v>1</v>
      </c>
      <c r="J109" s="234">
        <f t="shared" si="3"/>
        <v>0.32367123287671229</v>
      </c>
    </row>
    <row r="110" spans="1:10" ht="15.75" customHeight="1" x14ac:dyDescent="0.25">
      <c r="A110" s="201" t="s">
        <v>412</v>
      </c>
      <c r="B110" s="202" t="s">
        <v>664</v>
      </c>
      <c r="C110" s="199">
        <f t="shared" si="2"/>
        <v>119</v>
      </c>
      <c r="D110" s="199">
        <v>111</v>
      </c>
      <c r="E110" s="199">
        <v>113</v>
      </c>
      <c r="F110" s="203">
        <v>16</v>
      </c>
      <c r="G110" s="203">
        <v>16</v>
      </c>
      <c r="H110" s="203">
        <v>0</v>
      </c>
      <c r="I110" s="203">
        <v>0</v>
      </c>
      <c r="J110" s="234">
        <f t="shared" si="3"/>
        <v>0.3018082191780822</v>
      </c>
    </row>
    <row r="111" spans="1:10" ht="15.75" customHeight="1" x14ac:dyDescent="0.25">
      <c r="A111" s="201" t="s">
        <v>213</v>
      </c>
      <c r="B111" s="202" t="s">
        <v>670</v>
      </c>
      <c r="C111" s="199">
        <f t="shared" si="2"/>
        <v>118</v>
      </c>
      <c r="D111" s="199">
        <v>223</v>
      </c>
      <c r="E111" s="199">
        <v>187</v>
      </c>
      <c r="F111" s="203">
        <v>22</v>
      </c>
      <c r="G111" s="203">
        <v>8</v>
      </c>
      <c r="H111" s="203">
        <v>0</v>
      </c>
      <c r="I111" s="203">
        <v>1</v>
      </c>
      <c r="J111" s="234">
        <f t="shared" si="3"/>
        <v>0.30325844748858444</v>
      </c>
    </row>
    <row r="112" spans="1:10" ht="15.75" customHeight="1" x14ac:dyDescent="0.25">
      <c r="A112" s="201" t="s">
        <v>472</v>
      </c>
      <c r="B112" s="202" t="s">
        <v>668</v>
      </c>
      <c r="C112" s="199">
        <f t="shared" si="2"/>
        <v>116</v>
      </c>
      <c r="D112" s="199">
        <v>181</v>
      </c>
      <c r="E112" s="199">
        <v>162</v>
      </c>
      <c r="F112" s="203">
        <v>19</v>
      </c>
      <c r="G112" s="203">
        <v>11</v>
      </c>
      <c r="H112" s="203">
        <v>0</v>
      </c>
      <c r="I112" s="203">
        <v>1</v>
      </c>
      <c r="J112" s="234">
        <f t="shared" si="3"/>
        <v>0.30662009132420087</v>
      </c>
    </row>
    <row r="113" spans="1:10" ht="15.75" customHeight="1" x14ac:dyDescent="0.25">
      <c r="A113" s="201" t="s">
        <v>77</v>
      </c>
      <c r="B113" s="202" t="s">
        <v>671</v>
      </c>
      <c r="C113" s="199">
        <f t="shared" si="2"/>
        <v>108</v>
      </c>
      <c r="D113" s="199">
        <v>192</v>
      </c>
      <c r="E113" s="199">
        <v>85</v>
      </c>
      <c r="F113" s="203">
        <v>20</v>
      </c>
      <c r="G113" s="203">
        <v>11</v>
      </c>
      <c r="H113" s="203">
        <v>0</v>
      </c>
      <c r="I113" s="203">
        <v>0</v>
      </c>
      <c r="J113" s="234">
        <f t="shared" si="3"/>
        <v>0.31370746796288107</v>
      </c>
    </row>
    <row r="114" spans="1:10" ht="15.75" customHeight="1" x14ac:dyDescent="0.25">
      <c r="A114" s="201" t="s">
        <v>402</v>
      </c>
      <c r="B114" s="202" t="s">
        <v>660</v>
      </c>
      <c r="C114" s="199">
        <f t="shared" si="2"/>
        <v>109</v>
      </c>
      <c r="D114" s="199">
        <v>144</v>
      </c>
      <c r="E114" s="199">
        <v>335</v>
      </c>
      <c r="F114" s="203">
        <v>19</v>
      </c>
      <c r="G114" s="203">
        <v>12</v>
      </c>
      <c r="H114" s="203">
        <v>1</v>
      </c>
      <c r="I114" s="203">
        <v>5</v>
      </c>
      <c r="J114" s="234">
        <f t="shared" si="3"/>
        <v>0.31182854617764033</v>
      </c>
    </row>
    <row r="115" spans="1:10" ht="15.75" customHeight="1" x14ac:dyDescent="0.25">
      <c r="A115" s="201" t="s">
        <v>368</v>
      </c>
      <c r="B115" s="202" t="s">
        <v>660</v>
      </c>
      <c r="C115" s="199">
        <f t="shared" si="2"/>
        <v>111</v>
      </c>
      <c r="D115" s="199">
        <v>105</v>
      </c>
      <c r="E115" s="199">
        <v>155</v>
      </c>
      <c r="F115" s="203">
        <v>16</v>
      </c>
      <c r="G115" s="203">
        <v>15</v>
      </c>
      <c r="H115" s="203">
        <v>0</v>
      </c>
      <c r="I115" s="203">
        <v>4</v>
      </c>
      <c r="J115" s="234">
        <f t="shared" si="3"/>
        <v>0.31095006628369415</v>
      </c>
    </row>
    <row r="116" spans="1:10" ht="15.75" customHeight="1" x14ac:dyDescent="0.25">
      <c r="A116" s="201" t="s">
        <v>475</v>
      </c>
      <c r="B116" s="202" t="s">
        <v>661</v>
      </c>
      <c r="C116" s="199">
        <f t="shared" si="2"/>
        <v>103</v>
      </c>
      <c r="D116" s="199">
        <v>103</v>
      </c>
      <c r="E116" s="199">
        <v>338</v>
      </c>
      <c r="F116" s="203">
        <v>17</v>
      </c>
      <c r="G116" s="203">
        <v>13</v>
      </c>
      <c r="H116" s="203">
        <v>0</v>
      </c>
      <c r="I116" s="203">
        <v>3</v>
      </c>
      <c r="J116" s="234">
        <f t="shared" si="3"/>
        <v>0.3175662100456621</v>
      </c>
    </row>
    <row r="117" spans="1:10" ht="15.75" customHeight="1" x14ac:dyDescent="0.25">
      <c r="A117" s="201" t="s">
        <v>349</v>
      </c>
      <c r="B117" s="202" t="s">
        <v>663</v>
      </c>
      <c r="C117" s="199">
        <f t="shared" si="2"/>
        <v>112</v>
      </c>
      <c r="D117" s="199">
        <v>133</v>
      </c>
      <c r="E117" s="199">
        <v>254</v>
      </c>
      <c r="F117" s="203">
        <v>18</v>
      </c>
      <c r="G117" s="203">
        <v>13</v>
      </c>
      <c r="H117" s="203">
        <v>0</v>
      </c>
      <c r="I117" s="203">
        <v>3</v>
      </c>
      <c r="J117" s="234">
        <f t="shared" si="3"/>
        <v>0.31070083959346001</v>
      </c>
    </row>
    <row r="118" spans="1:10" ht="15.75" customHeight="1" x14ac:dyDescent="0.25">
      <c r="A118" s="201" t="s">
        <v>245</v>
      </c>
      <c r="B118" s="202" t="s">
        <v>662</v>
      </c>
      <c r="C118" s="199">
        <f t="shared" si="2"/>
        <v>121</v>
      </c>
      <c r="D118" s="199">
        <v>107</v>
      </c>
      <c r="E118" s="199">
        <v>337</v>
      </c>
      <c r="F118" s="203">
        <v>16</v>
      </c>
      <c r="G118" s="203">
        <v>14</v>
      </c>
      <c r="H118" s="203">
        <v>0</v>
      </c>
      <c r="I118" s="203">
        <v>4</v>
      </c>
      <c r="J118" s="234">
        <f t="shared" si="3"/>
        <v>0.29574429223744292</v>
      </c>
    </row>
    <row r="119" spans="1:10" ht="15.75" customHeight="1" x14ac:dyDescent="0.25">
      <c r="A119" s="201" t="s">
        <v>293</v>
      </c>
      <c r="B119" s="202" t="s">
        <v>669</v>
      </c>
      <c r="C119" s="199">
        <f t="shared" si="2"/>
        <v>120</v>
      </c>
      <c r="D119" s="199">
        <v>209</v>
      </c>
      <c r="E119" s="199">
        <v>310</v>
      </c>
      <c r="F119" s="203">
        <v>22</v>
      </c>
      <c r="G119" s="203">
        <v>8</v>
      </c>
      <c r="H119" s="203">
        <v>0</v>
      </c>
      <c r="I119" s="203">
        <v>1</v>
      </c>
      <c r="J119" s="234">
        <f t="shared" si="3"/>
        <v>0.29676894977168949</v>
      </c>
    </row>
    <row r="120" spans="1:10" ht="15.75" customHeight="1" x14ac:dyDescent="0.25">
      <c r="A120" s="201" t="s">
        <v>457</v>
      </c>
      <c r="B120" s="202" t="s">
        <v>664</v>
      </c>
      <c r="C120" s="199">
        <f t="shared" si="2"/>
        <v>115</v>
      </c>
      <c r="D120" s="199">
        <v>123</v>
      </c>
      <c r="E120" s="199">
        <v>275</v>
      </c>
      <c r="F120" s="203">
        <v>18</v>
      </c>
      <c r="G120" s="203">
        <v>14</v>
      </c>
      <c r="H120" s="203">
        <v>0</v>
      </c>
      <c r="I120" s="203">
        <v>1</v>
      </c>
      <c r="J120" s="234">
        <f t="shared" si="3"/>
        <v>0.30670890410958901</v>
      </c>
    </row>
    <row r="121" spans="1:10" ht="15.75" customHeight="1" x14ac:dyDescent="0.25">
      <c r="A121" s="201" t="s">
        <v>222</v>
      </c>
      <c r="B121" s="202" t="s">
        <v>663</v>
      </c>
      <c r="C121" s="199">
        <f t="shared" si="2"/>
        <v>126</v>
      </c>
      <c r="D121" s="199">
        <v>122</v>
      </c>
      <c r="E121" s="199">
        <v>141</v>
      </c>
      <c r="F121" s="203">
        <v>15</v>
      </c>
      <c r="G121" s="203">
        <v>15</v>
      </c>
      <c r="H121" s="203">
        <v>0</v>
      </c>
      <c r="I121" s="203">
        <v>1</v>
      </c>
      <c r="J121" s="234">
        <f t="shared" si="3"/>
        <v>0.28991780821917806</v>
      </c>
    </row>
    <row r="122" spans="1:10" ht="15.75" customHeight="1" x14ac:dyDescent="0.25">
      <c r="A122" s="201" t="s">
        <v>322</v>
      </c>
      <c r="B122" s="202" t="s">
        <v>666</v>
      </c>
      <c r="C122" s="199">
        <f t="shared" si="2"/>
        <v>114</v>
      </c>
      <c r="D122" s="199">
        <v>136</v>
      </c>
      <c r="E122" s="199">
        <v>61</v>
      </c>
      <c r="F122" s="203">
        <v>16</v>
      </c>
      <c r="G122" s="203">
        <v>14</v>
      </c>
      <c r="H122" s="203">
        <v>0</v>
      </c>
      <c r="I122" s="203">
        <v>2</v>
      </c>
      <c r="J122" s="234">
        <f t="shared" si="3"/>
        <v>0.30831050228310497</v>
      </c>
    </row>
    <row r="123" spans="1:10" ht="15.75" customHeight="1" x14ac:dyDescent="0.25">
      <c r="A123" s="201" t="s">
        <v>359</v>
      </c>
      <c r="B123" s="202" t="s">
        <v>672</v>
      </c>
      <c r="C123" s="199">
        <f t="shared" si="2"/>
        <v>130</v>
      </c>
      <c r="D123" s="199">
        <v>148</v>
      </c>
      <c r="E123" s="199">
        <v>12</v>
      </c>
      <c r="F123" s="203">
        <v>16</v>
      </c>
      <c r="G123" s="203">
        <v>16</v>
      </c>
      <c r="H123" s="203">
        <v>0</v>
      </c>
      <c r="I123" s="203">
        <v>4</v>
      </c>
      <c r="J123" s="234">
        <f t="shared" si="3"/>
        <v>0.2858767123287671</v>
      </c>
    </row>
    <row r="124" spans="1:10" ht="15.75" customHeight="1" x14ac:dyDescent="0.25">
      <c r="A124" s="201" t="s">
        <v>316</v>
      </c>
      <c r="B124" s="202" t="s">
        <v>655</v>
      </c>
      <c r="C124" s="199">
        <f t="shared" si="2"/>
        <v>125</v>
      </c>
      <c r="D124" s="199">
        <v>20</v>
      </c>
      <c r="E124" s="199">
        <v>67</v>
      </c>
      <c r="F124" s="203">
        <v>11</v>
      </c>
      <c r="G124" s="203">
        <v>19</v>
      </c>
      <c r="H124" s="203">
        <v>2</v>
      </c>
      <c r="I124" s="203">
        <v>13</v>
      </c>
      <c r="J124" s="234">
        <f t="shared" si="3"/>
        <v>0.29001095890410955</v>
      </c>
    </row>
    <row r="125" spans="1:10" ht="15.75" customHeight="1" x14ac:dyDescent="0.25">
      <c r="A125" s="201" t="s">
        <v>367</v>
      </c>
      <c r="B125" s="202" t="s">
        <v>655</v>
      </c>
      <c r="C125" s="199">
        <f t="shared" si="2"/>
        <v>129</v>
      </c>
      <c r="D125" s="199">
        <v>13</v>
      </c>
      <c r="E125" s="199">
        <v>77</v>
      </c>
      <c r="F125" s="203">
        <v>11</v>
      </c>
      <c r="G125" s="203">
        <v>19</v>
      </c>
      <c r="H125" s="203">
        <v>1</v>
      </c>
      <c r="I125" s="203">
        <v>13</v>
      </c>
      <c r="J125" s="234">
        <f t="shared" si="3"/>
        <v>0.28637808219178079</v>
      </c>
    </row>
    <row r="126" spans="1:10" ht="15.75" customHeight="1" x14ac:dyDescent="0.25">
      <c r="A126" s="201" t="s">
        <v>369</v>
      </c>
      <c r="B126" s="202" t="s">
        <v>660</v>
      </c>
      <c r="C126" s="199">
        <f t="shared" si="2"/>
        <v>123</v>
      </c>
      <c r="D126" s="199">
        <v>138</v>
      </c>
      <c r="E126" s="199">
        <v>237</v>
      </c>
      <c r="F126" s="203">
        <v>17</v>
      </c>
      <c r="G126" s="203">
        <v>14</v>
      </c>
      <c r="H126" s="203">
        <v>0</v>
      </c>
      <c r="I126" s="203">
        <v>5</v>
      </c>
      <c r="J126" s="234">
        <f t="shared" si="3"/>
        <v>0.29153159522757399</v>
      </c>
    </row>
    <row r="127" spans="1:10" ht="15.75" customHeight="1" x14ac:dyDescent="0.25">
      <c r="A127" s="201" t="s">
        <v>340</v>
      </c>
      <c r="B127" s="202" t="s">
        <v>667</v>
      </c>
      <c r="C127" s="199">
        <f t="shared" si="2"/>
        <v>128</v>
      </c>
      <c r="D127" s="199">
        <v>115</v>
      </c>
      <c r="E127" s="199">
        <v>1</v>
      </c>
      <c r="F127" s="203">
        <v>14</v>
      </c>
      <c r="G127" s="203">
        <v>17</v>
      </c>
      <c r="H127" s="203">
        <v>1</v>
      </c>
      <c r="I127" s="203">
        <v>2</v>
      </c>
      <c r="J127" s="234">
        <f t="shared" si="3"/>
        <v>0.28875298276623945</v>
      </c>
    </row>
    <row r="128" spans="1:10" ht="15.75" customHeight="1" x14ac:dyDescent="0.25">
      <c r="A128" s="201" t="s">
        <v>319</v>
      </c>
      <c r="B128" s="202" t="s">
        <v>663</v>
      </c>
      <c r="C128" s="199">
        <f t="shared" si="2"/>
        <v>132</v>
      </c>
      <c r="D128" s="199">
        <v>76</v>
      </c>
      <c r="E128" s="199">
        <v>6</v>
      </c>
      <c r="F128" s="203">
        <v>12</v>
      </c>
      <c r="G128" s="203">
        <v>18</v>
      </c>
      <c r="H128" s="203">
        <v>1</v>
      </c>
      <c r="I128" s="203">
        <v>4</v>
      </c>
      <c r="J128" s="234">
        <f t="shared" si="3"/>
        <v>0.28014611872146117</v>
      </c>
    </row>
    <row r="129" spans="1:10" ht="15.75" customHeight="1" x14ac:dyDescent="0.25">
      <c r="A129" s="201" t="s">
        <v>441</v>
      </c>
      <c r="B129" s="202" t="s">
        <v>664</v>
      </c>
      <c r="C129" s="199">
        <f t="shared" si="2"/>
        <v>127</v>
      </c>
      <c r="D129" s="199">
        <v>132</v>
      </c>
      <c r="E129" s="199">
        <v>292</v>
      </c>
      <c r="F129" s="203">
        <v>17</v>
      </c>
      <c r="G129" s="203">
        <v>14</v>
      </c>
      <c r="H129" s="203">
        <v>0</v>
      </c>
      <c r="I129" s="203">
        <v>0</v>
      </c>
      <c r="J129" s="234">
        <f t="shared" si="3"/>
        <v>0.28914273088820147</v>
      </c>
    </row>
    <row r="130" spans="1:10" ht="15.75" customHeight="1" x14ac:dyDescent="0.25">
      <c r="A130" s="201" t="s">
        <v>314</v>
      </c>
      <c r="B130" s="202" t="s">
        <v>671</v>
      </c>
      <c r="C130" s="199">
        <f t="shared" ref="C130:C193" si="4">RANK(J130,J$2:J$366,0)</f>
        <v>124</v>
      </c>
      <c r="D130" s="199">
        <v>189</v>
      </c>
      <c r="E130" s="199">
        <v>147</v>
      </c>
      <c r="F130" s="203">
        <v>19</v>
      </c>
      <c r="G130" s="203">
        <v>12</v>
      </c>
      <c r="H130" s="203">
        <v>0</v>
      </c>
      <c r="I130" s="203">
        <v>1</v>
      </c>
      <c r="J130" s="234">
        <f t="shared" ref="J130:J193" si="5">0.35*(F130/(F130+G130))*((366-D130)/(366-1))+0.3*(F130/(F130+G130))*(0.7*((366-D130)/(366-1))+0.3*((366-E130)/(366-1)))+0.2*IF((H130+I130)&gt;0,H130/(H130+I130),0)*(H130+I130)/(F130+G130)+0.15*(F130/(F130+G130))</f>
        <v>0.29147326557666814</v>
      </c>
    </row>
    <row r="131" spans="1:10" ht="15.75" customHeight="1" x14ac:dyDescent="0.25">
      <c r="A131" s="201" t="s">
        <v>417</v>
      </c>
      <c r="B131" s="202" t="s">
        <v>662</v>
      </c>
      <c r="C131" s="199">
        <f t="shared" si="4"/>
        <v>131</v>
      </c>
      <c r="D131" s="199">
        <v>110</v>
      </c>
      <c r="E131" s="199">
        <v>277</v>
      </c>
      <c r="F131" s="203">
        <v>15</v>
      </c>
      <c r="G131" s="203">
        <v>15</v>
      </c>
      <c r="H131" s="203">
        <v>0</v>
      </c>
      <c r="I131" s="203">
        <v>3</v>
      </c>
      <c r="J131" s="234">
        <f t="shared" si="5"/>
        <v>0.28235616438356165</v>
      </c>
    </row>
    <row r="132" spans="1:10" ht="15.75" customHeight="1" x14ac:dyDescent="0.25">
      <c r="A132" s="201" t="s">
        <v>291</v>
      </c>
      <c r="B132" s="202" t="s">
        <v>657</v>
      </c>
      <c r="C132" s="199">
        <f t="shared" si="4"/>
        <v>117</v>
      </c>
      <c r="D132" s="199">
        <v>34</v>
      </c>
      <c r="E132" s="199">
        <v>69</v>
      </c>
      <c r="F132" s="203">
        <v>12</v>
      </c>
      <c r="G132" s="203">
        <v>18</v>
      </c>
      <c r="H132" s="203">
        <v>2</v>
      </c>
      <c r="I132" s="203">
        <v>12</v>
      </c>
      <c r="J132" s="234">
        <f t="shared" si="5"/>
        <v>0.30637442922374425</v>
      </c>
    </row>
    <row r="133" spans="1:10" ht="15.75" customHeight="1" x14ac:dyDescent="0.25">
      <c r="A133" s="201" t="s">
        <v>432</v>
      </c>
      <c r="B133" s="202" t="s">
        <v>668</v>
      </c>
      <c r="C133" s="199">
        <f t="shared" si="4"/>
        <v>122</v>
      </c>
      <c r="D133" s="199">
        <v>158</v>
      </c>
      <c r="E133" s="199">
        <v>105</v>
      </c>
      <c r="F133" s="203">
        <v>17</v>
      </c>
      <c r="G133" s="203">
        <v>14</v>
      </c>
      <c r="H133" s="203">
        <v>0</v>
      </c>
      <c r="I133" s="203">
        <v>2</v>
      </c>
      <c r="J133" s="234">
        <f t="shared" si="5"/>
        <v>0.29255324790101628</v>
      </c>
    </row>
    <row r="134" spans="1:10" ht="15.75" customHeight="1" x14ac:dyDescent="0.25">
      <c r="A134" s="201" t="s">
        <v>373</v>
      </c>
      <c r="B134" s="202" t="s">
        <v>656</v>
      </c>
      <c r="C134" s="199">
        <f t="shared" si="4"/>
        <v>139</v>
      </c>
      <c r="D134" s="199">
        <v>40</v>
      </c>
      <c r="E134" s="199">
        <v>62</v>
      </c>
      <c r="F134" s="203">
        <v>11</v>
      </c>
      <c r="G134" s="203">
        <v>19</v>
      </c>
      <c r="H134" s="203">
        <v>1</v>
      </c>
      <c r="I134" s="203">
        <v>12</v>
      </c>
      <c r="J134" s="234">
        <f t="shared" si="5"/>
        <v>0.27254520547945205</v>
      </c>
    </row>
    <row r="135" spans="1:10" ht="15.75" customHeight="1" x14ac:dyDescent="0.25">
      <c r="A135" s="201" t="s">
        <v>370</v>
      </c>
      <c r="B135" s="202" t="s">
        <v>655</v>
      </c>
      <c r="C135" s="199">
        <f t="shared" si="4"/>
        <v>140</v>
      </c>
      <c r="D135" s="199">
        <v>52</v>
      </c>
      <c r="E135" s="199">
        <v>300</v>
      </c>
      <c r="F135" s="203">
        <v>12</v>
      </c>
      <c r="G135" s="203">
        <v>18</v>
      </c>
      <c r="H135" s="203">
        <v>2</v>
      </c>
      <c r="I135" s="203">
        <v>11</v>
      </c>
      <c r="J135" s="234">
        <f t="shared" si="5"/>
        <v>0.27254429223744292</v>
      </c>
    </row>
    <row r="136" spans="1:10" ht="15.75" customHeight="1" x14ac:dyDescent="0.25">
      <c r="A136" s="201" t="s">
        <v>438</v>
      </c>
      <c r="B136" s="202" t="s">
        <v>673</v>
      </c>
      <c r="C136" s="199">
        <f t="shared" si="4"/>
        <v>137</v>
      </c>
      <c r="D136" s="199">
        <v>224</v>
      </c>
      <c r="E136" s="199">
        <v>220</v>
      </c>
      <c r="F136" s="203">
        <v>21</v>
      </c>
      <c r="G136" s="203">
        <v>10</v>
      </c>
      <c r="H136" s="203">
        <v>0</v>
      </c>
      <c r="I136" s="203">
        <v>0</v>
      </c>
      <c r="J136" s="234">
        <f t="shared" si="5"/>
        <v>0.27358462218294299</v>
      </c>
    </row>
    <row r="137" spans="1:10" ht="15.75" customHeight="1" x14ac:dyDescent="0.25">
      <c r="A137" s="201" t="s">
        <v>431</v>
      </c>
      <c r="B137" s="202" t="s">
        <v>669</v>
      </c>
      <c r="C137" s="199">
        <f t="shared" si="4"/>
        <v>133</v>
      </c>
      <c r="D137" s="199">
        <v>159</v>
      </c>
      <c r="E137" s="199">
        <v>143</v>
      </c>
      <c r="F137" s="203">
        <v>16</v>
      </c>
      <c r="G137" s="203">
        <v>14</v>
      </c>
      <c r="H137" s="203">
        <v>0</v>
      </c>
      <c r="I137" s="203">
        <v>1</v>
      </c>
      <c r="J137" s="234">
        <f t="shared" si="5"/>
        <v>0.27870684931506851</v>
      </c>
    </row>
    <row r="138" spans="1:10" ht="15.75" customHeight="1" x14ac:dyDescent="0.25">
      <c r="A138" s="201" t="s">
        <v>388</v>
      </c>
      <c r="B138" s="202" t="s">
        <v>655</v>
      </c>
      <c r="C138" s="199">
        <f t="shared" si="4"/>
        <v>143</v>
      </c>
      <c r="D138" s="199">
        <v>46</v>
      </c>
      <c r="E138" s="199">
        <v>236</v>
      </c>
      <c r="F138" s="203">
        <v>12</v>
      </c>
      <c r="G138" s="203">
        <v>18</v>
      </c>
      <c r="H138" s="203">
        <v>0</v>
      </c>
      <c r="I138" s="203">
        <v>13</v>
      </c>
      <c r="J138" s="234">
        <f t="shared" si="5"/>
        <v>0.26920547945205475</v>
      </c>
    </row>
    <row r="139" spans="1:10" ht="15.75" customHeight="1" x14ac:dyDescent="0.25">
      <c r="A139" s="201" t="s">
        <v>191</v>
      </c>
      <c r="B139" s="202" t="s">
        <v>671</v>
      </c>
      <c r="C139" s="199">
        <f t="shared" si="4"/>
        <v>150</v>
      </c>
      <c r="D139" s="199">
        <v>227</v>
      </c>
      <c r="E139" s="199">
        <v>142</v>
      </c>
      <c r="F139" s="203">
        <v>20</v>
      </c>
      <c r="G139" s="203">
        <v>12</v>
      </c>
      <c r="H139" s="203">
        <v>0</v>
      </c>
      <c r="I139" s="203">
        <v>2</v>
      </c>
      <c r="J139" s="234">
        <f t="shared" si="5"/>
        <v>0.2615582191780822</v>
      </c>
    </row>
    <row r="140" spans="1:10" ht="15.75" customHeight="1" x14ac:dyDescent="0.25">
      <c r="A140" s="201" t="s">
        <v>275</v>
      </c>
      <c r="B140" s="202" t="s">
        <v>665</v>
      </c>
      <c r="C140" s="199">
        <f t="shared" si="4"/>
        <v>138</v>
      </c>
      <c r="D140" s="199">
        <v>184</v>
      </c>
      <c r="E140" s="199">
        <v>240</v>
      </c>
      <c r="F140" s="203">
        <v>16</v>
      </c>
      <c r="G140" s="203">
        <v>11</v>
      </c>
      <c r="H140" s="203">
        <v>0</v>
      </c>
      <c r="I140" s="203">
        <v>1</v>
      </c>
      <c r="J140" s="234">
        <f t="shared" si="5"/>
        <v>0.27277118214104512</v>
      </c>
    </row>
    <row r="141" spans="1:10" ht="15.75" customHeight="1" x14ac:dyDescent="0.25">
      <c r="A141" s="201" t="s">
        <v>385</v>
      </c>
      <c r="B141" s="202" t="s">
        <v>662</v>
      </c>
      <c r="C141" s="199">
        <f t="shared" si="4"/>
        <v>147</v>
      </c>
      <c r="D141" s="199">
        <v>121</v>
      </c>
      <c r="E141" s="199">
        <v>350</v>
      </c>
      <c r="F141" s="203">
        <v>15</v>
      </c>
      <c r="G141" s="203">
        <v>15</v>
      </c>
      <c r="H141" s="203">
        <v>0</v>
      </c>
      <c r="I141" s="203">
        <v>3</v>
      </c>
      <c r="J141" s="234">
        <f t="shared" si="5"/>
        <v>0.26491780821917804</v>
      </c>
    </row>
    <row r="142" spans="1:10" ht="15.75" customHeight="1" x14ac:dyDescent="0.25">
      <c r="A142" s="201" t="s">
        <v>273</v>
      </c>
      <c r="B142" s="202" t="s">
        <v>672</v>
      </c>
      <c r="C142" s="199">
        <f t="shared" si="4"/>
        <v>145</v>
      </c>
      <c r="D142" s="199">
        <v>194</v>
      </c>
      <c r="E142" s="199">
        <v>106</v>
      </c>
      <c r="F142" s="203">
        <v>18</v>
      </c>
      <c r="G142" s="203">
        <v>14</v>
      </c>
      <c r="H142" s="203">
        <v>0</v>
      </c>
      <c r="I142" s="203">
        <v>1</v>
      </c>
      <c r="J142" s="234">
        <f t="shared" si="5"/>
        <v>0.26887499999999998</v>
      </c>
    </row>
    <row r="143" spans="1:10" ht="15.75" customHeight="1" x14ac:dyDescent="0.25">
      <c r="A143" s="201" t="s">
        <v>450</v>
      </c>
      <c r="B143" s="202" t="s">
        <v>667</v>
      </c>
      <c r="C143" s="199">
        <f t="shared" si="4"/>
        <v>135</v>
      </c>
      <c r="D143" s="199">
        <v>196</v>
      </c>
      <c r="E143" s="199">
        <v>114</v>
      </c>
      <c r="F143" s="203">
        <v>18</v>
      </c>
      <c r="G143" s="203">
        <v>13</v>
      </c>
      <c r="H143" s="203">
        <v>0</v>
      </c>
      <c r="I143" s="203">
        <v>2</v>
      </c>
      <c r="J143" s="234">
        <f t="shared" si="5"/>
        <v>0.27462129916040651</v>
      </c>
    </row>
    <row r="144" spans="1:10" ht="15.75" customHeight="1" x14ac:dyDescent="0.25">
      <c r="A144" s="201" t="s">
        <v>233</v>
      </c>
      <c r="B144" s="202" t="s">
        <v>665</v>
      </c>
      <c r="C144" s="199">
        <f t="shared" si="4"/>
        <v>141</v>
      </c>
      <c r="D144" s="199">
        <v>167</v>
      </c>
      <c r="E144" s="199">
        <v>178</v>
      </c>
      <c r="F144" s="203">
        <v>14</v>
      </c>
      <c r="G144" s="203">
        <v>12</v>
      </c>
      <c r="H144" s="203">
        <v>0</v>
      </c>
      <c r="I144" s="203">
        <v>1</v>
      </c>
      <c r="J144" s="234">
        <f t="shared" si="5"/>
        <v>0.27013066385669121</v>
      </c>
    </row>
    <row r="145" spans="1:10" ht="15.75" customHeight="1" x14ac:dyDescent="0.25">
      <c r="A145" s="201" t="s">
        <v>425</v>
      </c>
      <c r="B145" s="202" t="s">
        <v>663</v>
      </c>
      <c r="C145" s="199">
        <f t="shared" si="4"/>
        <v>136</v>
      </c>
      <c r="D145" s="199">
        <v>153</v>
      </c>
      <c r="E145" s="199">
        <v>216</v>
      </c>
      <c r="F145" s="203">
        <v>16</v>
      </c>
      <c r="G145" s="203">
        <v>14</v>
      </c>
      <c r="H145" s="203">
        <v>0</v>
      </c>
      <c r="I145" s="203">
        <v>1</v>
      </c>
      <c r="J145" s="234">
        <f t="shared" si="5"/>
        <v>0.2740164383561644</v>
      </c>
    </row>
    <row r="146" spans="1:10" ht="15.75" customHeight="1" x14ac:dyDescent="0.25">
      <c r="A146" s="201" t="s">
        <v>439</v>
      </c>
      <c r="B146" s="202" t="s">
        <v>673</v>
      </c>
      <c r="C146" s="199">
        <f t="shared" si="4"/>
        <v>148</v>
      </c>
      <c r="D146" s="199">
        <v>234</v>
      </c>
      <c r="E146" s="199">
        <v>213</v>
      </c>
      <c r="F146" s="203">
        <v>21</v>
      </c>
      <c r="G146" s="203">
        <v>10</v>
      </c>
      <c r="H146" s="203">
        <v>0</v>
      </c>
      <c r="I146" s="203">
        <v>0</v>
      </c>
      <c r="J146" s="234">
        <f t="shared" si="5"/>
        <v>0.26436058329650902</v>
      </c>
    </row>
    <row r="147" spans="1:10" ht="15.75" customHeight="1" x14ac:dyDescent="0.25">
      <c r="A147" s="201" t="s">
        <v>48</v>
      </c>
      <c r="B147" s="202" t="s">
        <v>674</v>
      </c>
      <c r="C147" s="199">
        <f t="shared" si="4"/>
        <v>144</v>
      </c>
      <c r="D147" s="199">
        <v>256</v>
      </c>
      <c r="E147" s="199">
        <v>48</v>
      </c>
      <c r="F147" s="203">
        <v>21</v>
      </c>
      <c r="G147" s="203">
        <v>10</v>
      </c>
      <c r="H147" s="203">
        <v>0</v>
      </c>
      <c r="I147" s="203">
        <v>2</v>
      </c>
      <c r="J147" s="234">
        <f t="shared" si="5"/>
        <v>0.26905612019443215</v>
      </c>
    </row>
    <row r="148" spans="1:10" ht="15.75" customHeight="1" x14ac:dyDescent="0.25">
      <c r="A148" s="201" t="s">
        <v>406</v>
      </c>
      <c r="B148" s="202" t="s">
        <v>659</v>
      </c>
      <c r="C148" s="199">
        <f t="shared" si="4"/>
        <v>154</v>
      </c>
      <c r="D148" s="199">
        <v>70</v>
      </c>
      <c r="E148" s="199">
        <v>306</v>
      </c>
      <c r="F148" s="203">
        <v>12</v>
      </c>
      <c r="G148" s="203">
        <v>18</v>
      </c>
      <c r="H148" s="203">
        <v>1</v>
      </c>
      <c r="I148" s="203">
        <v>14</v>
      </c>
      <c r="J148" s="234">
        <f t="shared" si="5"/>
        <v>0.25423926940639269</v>
      </c>
    </row>
    <row r="149" spans="1:10" ht="15.75" customHeight="1" x14ac:dyDescent="0.25">
      <c r="A149" s="201" t="s">
        <v>454</v>
      </c>
      <c r="B149" s="202" t="s">
        <v>657</v>
      </c>
      <c r="C149" s="199">
        <f t="shared" si="4"/>
        <v>155</v>
      </c>
      <c r="D149" s="199">
        <v>37</v>
      </c>
      <c r="E149" s="199">
        <v>93</v>
      </c>
      <c r="F149" s="203">
        <v>10</v>
      </c>
      <c r="G149" s="203">
        <v>20</v>
      </c>
      <c r="H149" s="203">
        <v>2</v>
      </c>
      <c r="I149" s="203">
        <v>9</v>
      </c>
      <c r="J149" s="234">
        <f t="shared" si="5"/>
        <v>0.25402739726027396</v>
      </c>
    </row>
    <row r="150" spans="1:10" ht="15.75" customHeight="1" x14ac:dyDescent="0.25">
      <c r="A150" s="201" t="s">
        <v>54</v>
      </c>
      <c r="B150" s="202" t="s">
        <v>670</v>
      </c>
      <c r="C150" s="199">
        <f t="shared" si="4"/>
        <v>146</v>
      </c>
      <c r="D150" s="199">
        <v>262</v>
      </c>
      <c r="E150" s="199">
        <v>211</v>
      </c>
      <c r="F150" s="203">
        <v>23</v>
      </c>
      <c r="G150" s="203">
        <v>7</v>
      </c>
      <c r="H150" s="203">
        <v>0</v>
      </c>
      <c r="I150" s="203">
        <v>0</v>
      </c>
      <c r="J150" s="234">
        <f t="shared" si="5"/>
        <v>0.26663196347031964</v>
      </c>
    </row>
    <row r="151" spans="1:10" ht="15.75" customHeight="1" x14ac:dyDescent="0.25">
      <c r="A151" s="201" t="s">
        <v>211</v>
      </c>
      <c r="B151" s="202" t="s">
        <v>673</v>
      </c>
      <c r="C151" s="199">
        <f t="shared" si="4"/>
        <v>142</v>
      </c>
      <c r="D151" s="199">
        <v>166</v>
      </c>
      <c r="E151" s="199">
        <v>98</v>
      </c>
      <c r="F151" s="203">
        <v>16</v>
      </c>
      <c r="G151" s="203">
        <v>15</v>
      </c>
      <c r="H151" s="203">
        <v>0</v>
      </c>
      <c r="I151" s="203">
        <v>1</v>
      </c>
      <c r="J151" s="234">
        <f t="shared" si="5"/>
        <v>0.26990013256738837</v>
      </c>
    </row>
    <row r="152" spans="1:10" ht="15.75" customHeight="1" x14ac:dyDescent="0.25">
      <c r="A152" s="201" t="s">
        <v>360</v>
      </c>
      <c r="B152" s="202" t="s">
        <v>669</v>
      </c>
      <c r="C152" s="199">
        <f t="shared" si="4"/>
        <v>153</v>
      </c>
      <c r="D152" s="199">
        <v>165</v>
      </c>
      <c r="E152" s="199">
        <v>136</v>
      </c>
      <c r="F152" s="203">
        <v>15</v>
      </c>
      <c r="G152" s="203">
        <v>15</v>
      </c>
      <c r="H152" s="203">
        <v>0</v>
      </c>
      <c r="I152" s="203">
        <v>2</v>
      </c>
      <c r="J152" s="234">
        <f t="shared" si="5"/>
        <v>0.25754794520547941</v>
      </c>
    </row>
    <row r="153" spans="1:10" ht="15.75" customHeight="1" x14ac:dyDescent="0.25">
      <c r="A153" s="201" t="s">
        <v>313</v>
      </c>
      <c r="B153" s="202" t="s">
        <v>658</v>
      </c>
      <c r="C153" s="199">
        <f t="shared" si="4"/>
        <v>134</v>
      </c>
      <c r="D153" s="199">
        <v>25</v>
      </c>
      <c r="E153" s="199">
        <v>37</v>
      </c>
      <c r="F153" s="203">
        <v>11</v>
      </c>
      <c r="G153" s="203">
        <v>19</v>
      </c>
      <c r="H153" s="203">
        <v>0</v>
      </c>
      <c r="I153" s="203">
        <v>9</v>
      </c>
      <c r="J153" s="234">
        <f t="shared" si="5"/>
        <v>0.27657716894977169</v>
      </c>
    </row>
    <row r="154" spans="1:10" ht="15.75" customHeight="1" x14ac:dyDescent="0.25">
      <c r="A154" s="201" t="s">
        <v>212</v>
      </c>
      <c r="B154" s="202" t="s">
        <v>673</v>
      </c>
      <c r="C154" s="199">
        <f t="shared" si="4"/>
        <v>152</v>
      </c>
      <c r="D154" s="199">
        <v>208</v>
      </c>
      <c r="E154" s="199">
        <v>243</v>
      </c>
      <c r="F154" s="203">
        <v>19</v>
      </c>
      <c r="G154" s="203">
        <v>12</v>
      </c>
      <c r="H154" s="203">
        <v>0</v>
      </c>
      <c r="I154" s="203">
        <v>0</v>
      </c>
      <c r="J154" s="234">
        <f t="shared" si="5"/>
        <v>0.25909854175872732</v>
      </c>
    </row>
    <row r="155" spans="1:10" ht="15.75" customHeight="1" x14ac:dyDescent="0.25">
      <c r="A155" s="201" t="s">
        <v>215</v>
      </c>
      <c r="B155" s="202" t="s">
        <v>668</v>
      </c>
      <c r="C155" s="199">
        <f t="shared" si="4"/>
        <v>151</v>
      </c>
      <c r="D155" s="199">
        <v>137</v>
      </c>
      <c r="E155" s="199">
        <v>56</v>
      </c>
      <c r="F155" s="203">
        <v>14</v>
      </c>
      <c r="G155" s="203">
        <v>17</v>
      </c>
      <c r="H155" s="203">
        <v>0</v>
      </c>
      <c r="I155" s="203">
        <v>3</v>
      </c>
      <c r="J155" s="234">
        <f t="shared" si="5"/>
        <v>0.26093327441449399</v>
      </c>
    </row>
    <row r="156" spans="1:10" ht="15.75" customHeight="1" x14ac:dyDescent="0.25">
      <c r="A156" s="201" t="s">
        <v>463</v>
      </c>
      <c r="B156" s="202" t="s">
        <v>660</v>
      </c>
      <c r="C156" s="199">
        <f t="shared" si="4"/>
        <v>157</v>
      </c>
      <c r="D156" s="199">
        <v>93</v>
      </c>
      <c r="E156" s="199">
        <v>35</v>
      </c>
      <c r="F156" s="203">
        <v>12</v>
      </c>
      <c r="G156" s="203">
        <v>19</v>
      </c>
      <c r="H156" s="203">
        <v>0</v>
      </c>
      <c r="I156" s="203">
        <v>6</v>
      </c>
      <c r="J156" s="234">
        <f t="shared" si="5"/>
        <v>0.25179319487406093</v>
      </c>
    </row>
    <row r="157" spans="1:10" ht="15.75" customHeight="1" x14ac:dyDescent="0.25">
      <c r="A157" s="201" t="s">
        <v>292</v>
      </c>
      <c r="B157" s="202" t="s">
        <v>666</v>
      </c>
      <c r="C157" s="199">
        <f t="shared" si="4"/>
        <v>167</v>
      </c>
      <c r="D157" s="199">
        <v>201</v>
      </c>
      <c r="E157" s="199">
        <v>353</v>
      </c>
      <c r="F157" s="203">
        <v>18</v>
      </c>
      <c r="G157" s="203">
        <v>12</v>
      </c>
      <c r="H157" s="203">
        <v>0</v>
      </c>
      <c r="I157" s="203">
        <v>1</v>
      </c>
      <c r="J157" s="234">
        <f t="shared" si="5"/>
        <v>0.24381369863013697</v>
      </c>
    </row>
    <row r="158" spans="1:10" ht="15.75" customHeight="1" x14ac:dyDescent="0.25">
      <c r="A158" s="201" t="s">
        <v>309</v>
      </c>
      <c r="B158" s="202" t="s">
        <v>660</v>
      </c>
      <c r="C158" s="199">
        <f t="shared" si="4"/>
        <v>172</v>
      </c>
      <c r="D158" s="199">
        <v>140</v>
      </c>
      <c r="E158" s="199">
        <v>315</v>
      </c>
      <c r="F158" s="203">
        <v>15</v>
      </c>
      <c r="G158" s="203">
        <v>17</v>
      </c>
      <c r="H158" s="203">
        <v>0</v>
      </c>
      <c r="I158" s="203">
        <v>5</v>
      </c>
      <c r="J158" s="234">
        <f t="shared" si="5"/>
        <v>0.2387414383561644</v>
      </c>
    </row>
    <row r="159" spans="1:10" ht="15.75" customHeight="1" x14ac:dyDescent="0.25">
      <c r="A159" s="201" t="s">
        <v>473</v>
      </c>
      <c r="B159" s="202" t="s">
        <v>675</v>
      </c>
      <c r="C159" s="199">
        <f t="shared" si="4"/>
        <v>158</v>
      </c>
      <c r="D159" s="199">
        <v>247</v>
      </c>
      <c r="E159" s="199">
        <v>208</v>
      </c>
      <c r="F159" s="203">
        <v>21</v>
      </c>
      <c r="G159" s="203">
        <v>10</v>
      </c>
      <c r="H159" s="203">
        <v>0</v>
      </c>
      <c r="I159" s="203">
        <v>3</v>
      </c>
      <c r="J159" s="234">
        <f t="shared" si="5"/>
        <v>0.25168448961555456</v>
      </c>
    </row>
    <row r="160" spans="1:10" ht="15.75" customHeight="1" x14ac:dyDescent="0.25">
      <c r="A160" s="201" t="s">
        <v>448</v>
      </c>
      <c r="B160" s="202" t="s">
        <v>670</v>
      </c>
      <c r="C160" s="199">
        <f t="shared" si="4"/>
        <v>149</v>
      </c>
      <c r="D160" s="199">
        <v>188</v>
      </c>
      <c r="E160" s="199">
        <v>154</v>
      </c>
      <c r="F160" s="203">
        <v>16</v>
      </c>
      <c r="G160" s="203">
        <v>13</v>
      </c>
      <c r="H160" s="203">
        <v>0</v>
      </c>
      <c r="I160" s="203">
        <v>0</v>
      </c>
      <c r="J160" s="234">
        <f t="shared" si="5"/>
        <v>0.26227302786962681</v>
      </c>
    </row>
    <row r="161" spans="1:10" ht="15.75" customHeight="1" x14ac:dyDescent="0.25">
      <c r="A161" s="201" t="s">
        <v>453</v>
      </c>
      <c r="B161" s="202" t="s">
        <v>670</v>
      </c>
      <c r="C161" s="199">
        <f t="shared" si="4"/>
        <v>156</v>
      </c>
      <c r="D161" s="199">
        <v>206</v>
      </c>
      <c r="E161" s="199">
        <v>206</v>
      </c>
      <c r="F161" s="203">
        <v>18</v>
      </c>
      <c r="G161" s="203">
        <v>13</v>
      </c>
      <c r="H161" s="203">
        <v>0</v>
      </c>
      <c r="I161" s="203">
        <v>2</v>
      </c>
      <c r="J161" s="234">
        <f t="shared" si="5"/>
        <v>0.25254087494476357</v>
      </c>
    </row>
    <row r="162" spans="1:10" ht="15.75" customHeight="1" x14ac:dyDescent="0.25">
      <c r="A162" s="201" t="s">
        <v>242</v>
      </c>
      <c r="B162" s="202" t="s">
        <v>672</v>
      </c>
      <c r="C162" s="199">
        <f t="shared" si="4"/>
        <v>170</v>
      </c>
      <c r="D162" s="199">
        <v>205</v>
      </c>
      <c r="E162" s="199">
        <v>135</v>
      </c>
      <c r="F162" s="203">
        <v>16</v>
      </c>
      <c r="G162" s="203">
        <v>14</v>
      </c>
      <c r="H162" s="203">
        <v>0</v>
      </c>
      <c r="I162" s="203">
        <v>1</v>
      </c>
      <c r="J162" s="234">
        <f t="shared" si="5"/>
        <v>0.24211872146118724</v>
      </c>
    </row>
    <row r="163" spans="1:10" ht="15.75" customHeight="1" x14ac:dyDescent="0.25">
      <c r="A163" s="201" t="s">
        <v>374</v>
      </c>
      <c r="B163" s="202" t="s">
        <v>660</v>
      </c>
      <c r="C163" s="199">
        <f t="shared" si="4"/>
        <v>159</v>
      </c>
      <c r="D163" s="199">
        <v>116</v>
      </c>
      <c r="E163" s="199">
        <v>267</v>
      </c>
      <c r="F163" s="203">
        <v>14</v>
      </c>
      <c r="G163" s="203">
        <v>18</v>
      </c>
      <c r="H163" s="203">
        <v>1</v>
      </c>
      <c r="I163" s="203">
        <v>4</v>
      </c>
      <c r="J163" s="234">
        <f t="shared" si="5"/>
        <v>0.25036301369863012</v>
      </c>
    </row>
    <row r="164" spans="1:10" ht="15.75" customHeight="1" x14ac:dyDescent="0.25">
      <c r="A164" s="201" t="s">
        <v>427</v>
      </c>
      <c r="B164" s="202" t="s">
        <v>667</v>
      </c>
      <c r="C164" s="199">
        <f t="shared" si="4"/>
        <v>162</v>
      </c>
      <c r="D164" s="199">
        <v>203</v>
      </c>
      <c r="E164" s="199">
        <v>166</v>
      </c>
      <c r="F164" s="203">
        <v>17</v>
      </c>
      <c r="G164" s="203">
        <v>14</v>
      </c>
      <c r="H164" s="203">
        <v>0</v>
      </c>
      <c r="I164" s="203">
        <v>2</v>
      </c>
      <c r="J164" s="234">
        <f t="shared" si="5"/>
        <v>0.24644365885992039</v>
      </c>
    </row>
    <row r="165" spans="1:10" ht="15.75" customHeight="1" x14ac:dyDescent="0.25">
      <c r="A165" s="201" t="s">
        <v>227</v>
      </c>
      <c r="B165" s="202" t="s">
        <v>671</v>
      </c>
      <c r="C165" s="199">
        <f t="shared" si="4"/>
        <v>164</v>
      </c>
      <c r="D165" s="199">
        <v>230</v>
      </c>
      <c r="E165" s="199">
        <v>195</v>
      </c>
      <c r="F165" s="203">
        <v>19</v>
      </c>
      <c r="G165" s="203">
        <v>12</v>
      </c>
      <c r="H165" s="203">
        <v>0</v>
      </c>
      <c r="I165" s="203">
        <v>0</v>
      </c>
      <c r="J165" s="234">
        <f t="shared" si="5"/>
        <v>0.24566504639858594</v>
      </c>
    </row>
    <row r="166" spans="1:10" ht="15.75" customHeight="1" x14ac:dyDescent="0.25">
      <c r="A166" s="201" t="s">
        <v>467</v>
      </c>
      <c r="B166" s="202" t="s">
        <v>676</v>
      </c>
      <c r="C166" s="199">
        <f t="shared" si="4"/>
        <v>166</v>
      </c>
      <c r="D166" s="199">
        <v>186</v>
      </c>
      <c r="E166" s="199">
        <v>45</v>
      </c>
      <c r="F166" s="203">
        <v>14</v>
      </c>
      <c r="G166" s="203">
        <v>15</v>
      </c>
      <c r="H166" s="203">
        <v>0</v>
      </c>
      <c r="I166" s="203">
        <v>3</v>
      </c>
      <c r="J166" s="234">
        <f t="shared" si="5"/>
        <v>0.24394520547945206</v>
      </c>
    </row>
    <row r="167" spans="1:10" ht="15.75" customHeight="1" x14ac:dyDescent="0.25">
      <c r="A167" s="201" t="s">
        <v>320</v>
      </c>
      <c r="B167" s="202" t="s">
        <v>676</v>
      </c>
      <c r="C167" s="199">
        <f t="shared" si="4"/>
        <v>168</v>
      </c>
      <c r="D167" s="199">
        <v>241</v>
      </c>
      <c r="E167" s="199">
        <v>145</v>
      </c>
      <c r="F167" s="203">
        <v>19</v>
      </c>
      <c r="G167" s="203">
        <v>12</v>
      </c>
      <c r="H167" s="203">
        <v>0</v>
      </c>
      <c r="I167" s="203">
        <v>2</v>
      </c>
      <c r="J167" s="234">
        <f t="shared" si="5"/>
        <v>0.24287759611135656</v>
      </c>
    </row>
    <row r="168" spans="1:10" ht="15.75" customHeight="1" x14ac:dyDescent="0.25">
      <c r="A168" s="201" t="s">
        <v>328</v>
      </c>
      <c r="B168" s="202" t="s">
        <v>668</v>
      </c>
      <c r="C168" s="199">
        <f t="shared" si="4"/>
        <v>161</v>
      </c>
      <c r="D168" s="199">
        <v>191</v>
      </c>
      <c r="E168" s="199">
        <v>238</v>
      </c>
      <c r="F168" s="203">
        <v>17</v>
      </c>
      <c r="G168" s="203">
        <v>14</v>
      </c>
      <c r="H168" s="203">
        <v>0</v>
      </c>
      <c r="I168" s="203">
        <v>0</v>
      </c>
      <c r="J168" s="234">
        <f t="shared" si="5"/>
        <v>0.24680424215642946</v>
      </c>
    </row>
    <row r="169" spans="1:10" ht="15.75" customHeight="1" x14ac:dyDescent="0.25">
      <c r="A169" s="201" t="s">
        <v>28</v>
      </c>
      <c r="B169" s="202" t="s">
        <v>667</v>
      </c>
      <c r="C169" s="199">
        <f t="shared" si="4"/>
        <v>165</v>
      </c>
      <c r="D169" s="199">
        <v>284</v>
      </c>
      <c r="E169" s="199">
        <v>345</v>
      </c>
      <c r="F169" s="203">
        <v>27</v>
      </c>
      <c r="G169" s="203">
        <v>4</v>
      </c>
      <c r="H169" s="203">
        <v>0</v>
      </c>
      <c r="I169" s="203">
        <v>0</v>
      </c>
      <c r="J169" s="234">
        <f t="shared" si="5"/>
        <v>0.24473000441891293</v>
      </c>
    </row>
    <row r="170" spans="1:10" ht="15.75" customHeight="1" x14ac:dyDescent="0.25">
      <c r="A170" s="201" t="s">
        <v>380</v>
      </c>
      <c r="B170" s="202" t="s">
        <v>677</v>
      </c>
      <c r="C170" s="199">
        <f t="shared" si="4"/>
        <v>169</v>
      </c>
      <c r="D170" s="199">
        <v>243</v>
      </c>
      <c r="E170" s="199">
        <v>44</v>
      </c>
      <c r="F170" s="203">
        <v>18</v>
      </c>
      <c r="G170" s="203">
        <v>13</v>
      </c>
      <c r="H170" s="203">
        <v>0</v>
      </c>
      <c r="I170" s="203">
        <v>4</v>
      </c>
      <c r="J170" s="234">
        <f t="shared" si="5"/>
        <v>0.24277330976579761</v>
      </c>
    </row>
    <row r="171" spans="1:10" ht="15.75" customHeight="1" x14ac:dyDescent="0.25">
      <c r="A171" s="201" t="s">
        <v>261</v>
      </c>
      <c r="B171" s="202" t="s">
        <v>662</v>
      </c>
      <c r="C171" s="199">
        <f t="shared" si="4"/>
        <v>175</v>
      </c>
      <c r="D171" s="199">
        <v>178</v>
      </c>
      <c r="E171" s="199">
        <v>365</v>
      </c>
      <c r="F171" s="203">
        <v>16</v>
      </c>
      <c r="G171" s="203">
        <v>14</v>
      </c>
      <c r="H171" s="203">
        <v>0</v>
      </c>
      <c r="I171" s="203">
        <v>3</v>
      </c>
      <c r="J171" s="234">
        <f t="shared" si="5"/>
        <v>0.23396529680365297</v>
      </c>
    </row>
    <row r="172" spans="1:10" ht="15.75" customHeight="1" x14ac:dyDescent="0.25">
      <c r="A172" s="201" t="s">
        <v>342</v>
      </c>
      <c r="B172" s="202" t="s">
        <v>667</v>
      </c>
      <c r="C172" s="199">
        <f t="shared" si="4"/>
        <v>171</v>
      </c>
      <c r="D172" s="199">
        <v>147</v>
      </c>
      <c r="E172" s="199">
        <v>18</v>
      </c>
      <c r="F172" s="203">
        <v>13</v>
      </c>
      <c r="G172" s="203">
        <v>18</v>
      </c>
      <c r="H172" s="203">
        <v>0</v>
      </c>
      <c r="I172" s="203">
        <v>1</v>
      </c>
      <c r="J172" s="234">
        <f t="shared" si="5"/>
        <v>0.2397905435262925</v>
      </c>
    </row>
    <row r="173" spans="1:10" ht="15.75" customHeight="1" x14ac:dyDescent="0.25">
      <c r="A173" s="201" t="s">
        <v>415</v>
      </c>
      <c r="B173" s="202" t="s">
        <v>671</v>
      </c>
      <c r="C173" s="199">
        <f t="shared" si="4"/>
        <v>163</v>
      </c>
      <c r="D173" s="199">
        <v>195</v>
      </c>
      <c r="E173" s="199">
        <v>159</v>
      </c>
      <c r="F173" s="203">
        <v>17</v>
      </c>
      <c r="G173" s="203">
        <v>15</v>
      </c>
      <c r="H173" s="203">
        <v>0</v>
      </c>
      <c r="I173" s="203">
        <v>1</v>
      </c>
      <c r="J173" s="234">
        <f t="shared" si="5"/>
        <v>0.24617979452054792</v>
      </c>
    </row>
    <row r="174" spans="1:10" ht="15.75" customHeight="1" x14ac:dyDescent="0.25">
      <c r="A174" s="201" t="s">
        <v>262</v>
      </c>
      <c r="B174" s="202" t="s">
        <v>661</v>
      </c>
      <c r="C174" s="199">
        <f t="shared" si="4"/>
        <v>160</v>
      </c>
      <c r="D174" s="199">
        <v>102</v>
      </c>
      <c r="E174" s="199">
        <v>302</v>
      </c>
      <c r="F174" s="203">
        <v>13</v>
      </c>
      <c r="G174" s="203">
        <v>17</v>
      </c>
      <c r="H174" s="203">
        <v>0</v>
      </c>
      <c r="I174" s="203">
        <v>3</v>
      </c>
      <c r="J174" s="234">
        <f t="shared" si="5"/>
        <v>0.24735616438356164</v>
      </c>
    </row>
    <row r="175" spans="1:10" ht="15.75" customHeight="1" x14ac:dyDescent="0.25">
      <c r="A175" s="201" t="s">
        <v>259</v>
      </c>
      <c r="B175" s="202" t="s">
        <v>666</v>
      </c>
      <c r="C175" s="199">
        <f t="shared" si="4"/>
        <v>182</v>
      </c>
      <c r="D175" s="199">
        <v>157</v>
      </c>
      <c r="E175" s="199">
        <v>293</v>
      </c>
      <c r="F175" s="203">
        <v>14</v>
      </c>
      <c r="G175" s="203">
        <v>16</v>
      </c>
      <c r="H175" s="203">
        <v>0</v>
      </c>
      <c r="I175" s="203">
        <v>2</v>
      </c>
      <c r="J175" s="234">
        <f t="shared" si="5"/>
        <v>0.22804018264840181</v>
      </c>
    </row>
    <row r="176" spans="1:10" ht="15.75" customHeight="1" x14ac:dyDescent="0.25">
      <c r="A176" s="201" t="s">
        <v>217</v>
      </c>
      <c r="B176" s="202" t="s">
        <v>677</v>
      </c>
      <c r="C176" s="199">
        <f t="shared" si="4"/>
        <v>173</v>
      </c>
      <c r="D176" s="199">
        <v>269</v>
      </c>
      <c r="E176" s="199">
        <v>89</v>
      </c>
      <c r="F176" s="203">
        <v>20</v>
      </c>
      <c r="G176" s="203">
        <v>11</v>
      </c>
      <c r="H176" s="203">
        <v>0</v>
      </c>
      <c r="I176" s="203">
        <v>4</v>
      </c>
      <c r="J176" s="234">
        <f t="shared" si="5"/>
        <v>0.23685373398144055</v>
      </c>
    </row>
    <row r="177" spans="1:10" ht="15.75" customHeight="1" x14ac:dyDescent="0.25">
      <c r="A177" s="201" t="s">
        <v>251</v>
      </c>
      <c r="B177" s="202" t="s">
        <v>678</v>
      </c>
      <c r="C177" s="199">
        <f t="shared" si="4"/>
        <v>174</v>
      </c>
      <c r="D177" s="199">
        <v>152</v>
      </c>
      <c r="E177" s="199">
        <v>24</v>
      </c>
      <c r="F177" s="203">
        <v>13</v>
      </c>
      <c r="G177" s="203">
        <v>18</v>
      </c>
      <c r="H177" s="203">
        <v>0</v>
      </c>
      <c r="I177" s="203">
        <v>2</v>
      </c>
      <c r="J177" s="234">
        <f t="shared" si="5"/>
        <v>0.23595315952275739</v>
      </c>
    </row>
    <row r="178" spans="1:10" ht="15.75" customHeight="1" x14ac:dyDescent="0.25">
      <c r="A178" s="201" t="s">
        <v>289</v>
      </c>
      <c r="B178" s="202" t="s">
        <v>671</v>
      </c>
      <c r="C178" s="199">
        <f t="shared" si="4"/>
        <v>192</v>
      </c>
      <c r="D178" s="199">
        <v>228</v>
      </c>
      <c r="E178" s="199">
        <v>239</v>
      </c>
      <c r="F178" s="203">
        <v>18</v>
      </c>
      <c r="G178" s="203">
        <v>15</v>
      </c>
      <c r="H178" s="203">
        <v>0</v>
      </c>
      <c r="I178" s="203">
        <v>1</v>
      </c>
      <c r="J178" s="234">
        <f t="shared" si="5"/>
        <v>0.21438605230386049</v>
      </c>
    </row>
    <row r="179" spans="1:10" ht="15.75" customHeight="1" x14ac:dyDescent="0.25">
      <c r="A179" s="201" t="s">
        <v>209</v>
      </c>
      <c r="B179" s="202" t="s">
        <v>673</v>
      </c>
      <c r="C179" s="199">
        <f t="shared" si="4"/>
        <v>179</v>
      </c>
      <c r="D179" s="199">
        <v>150</v>
      </c>
      <c r="E179" s="199">
        <v>86</v>
      </c>
      <c r="F179" s="203">
        <v>13</v>
      </c>
      <c r="G179" s="203">
        <v>18</v>
      </c>
      <c r="H179" s="203">
        <v>0</v>
      </c>
      <c r="I179" s="203">
        <v>1</v>
      </c>
      <c r="J179" s="234">
        <f t="shared" si="5"/>
        <v>0.23082898806893501</v>
      </c>
    </row>
    <row r="180" spans="1:10" ht="15.75" customHeight="1" x14ac:dyDescent="0.25">
      <c r="A180" s="201" t="s">
        <v>66</v>
      </c>
      <c r="B180" s="202" t="s">
        <v>679</v>
      </c>
      <c r="C180" s="199">
        <f t="shared" si="4"/>
        <v>186</v>
      </c>
      <c r="D180" s="199">
        <v>258</v>
      </c>
      <c r="E180" s="199">
        <v>9</v>
      </c>
      <c r="F180" s="203">
        <v>17</v>
      </c>
      <c r="G180" s="203">
        <v>14</v>
      </c>
      <c r="H180" s="203">
        <v>0</v>
      </c>
      <c r="I180" s="203">
        <v>6</v>
      </c>
      <c r="J180" s="234">
        <f t="shared" si="5"/>
        <v>0.22139814405656202</v>
      </c>
    </row>
    <row r="181" spans="1:10" ht="15.75" customHeight="1" x14ac:dyDescent="0.25">
      <c r="A181" s="201" t="s">
        <v>379</v>
      </c>
      <c r="B181" s="202" t="s">
        <v>672</v>
      </c>
      <c r="C181" s="199">
        <f t="shared" si="4"/>
        <v>178</v>
      </c>
      <c r="D181" s="199">
        <v>216</v>
      </c>
      <c r="E181" s="199">
        <v>144</v>
      </c>
      <c r="F181" s="203">
        <v>17</v>
      </c>
      <c r="G181" s="203">
        <v>15</v>
      </c>
      <c r="H181" s="203">
        <v>0</v>
      </c>
      <c r="I181" s="203">
        <v>2</v>
      </c>
      <c r="J181" s="234">
        <f t="shared" si="5"/>
        <v>0.23102825342465752</v>
      </c>
    </row>
    <row r="182" spans="1:10" ht="15.75" customHeight="1" x14ac:dyDescent="0.25">
      <c r="A182" s="201" t="s">
        <v>62</v>
      </c>
      <c r="B182" s="202" t="s">
        <v>672</v>
      </c>
      <c r="C182" s="199">
        <f t="shared" si="4"/>
        <v>190</v>
      </c>
      <c r="D182" s="199">
        <v>270</v>
      </c>
      <c r="E182" s="199">
        <v>227</v>
      </c>
      <c r="F182" s="203">
        <v>21</v>
      </c>
      <c r="G182" s="203">
        <v>11</v>
      </c>
      <c r="H182" s="203">
        <v>0</v>
      </c>
      <c r="I182" s="203">
        <v>0</v>
      </c>
      <c r="J182" s="234">
        <f t="shared" si="5"/>
        <v>0.21758732876712328</v>
      </c>
    </row>
    <row r="183" spans="1:10" ht="15.75" customHeight="1" x14ac:dyDescent="0.25">
      <c r="A183" s="201" t="s">
        <v>270</v>
      </c>
      <c r="B183" s="202" t="s">
        <v>656</v>
      </c>
      <c r="C183" s="199">
        <f t="shared" si="4"/>
        <v>185</v>
      </c>
      <c r="D183" s="199">
        <v>84</v>
      </c>
      <c r="E183" s="199">
        <v>339</v>
      </c>
      <c r="F183" s="203">
        <v>11</v>
      </c>
      <c r="G183" s="203">
        <v>19</v>
      </c>
      <c r="H183" s="203">
        <v>1</v>
      </c>
      <c r="I183" s="203">
        <v>7</v>
      </c>
      <c r="J183" s="234">
        <f t="shared" si="5"/>
        <v>0.22274885844748857</v>
      </c>
    </row>
    <row r="184" spans="1:10" ht="15.75" customHeight="1" x14ac:dyDescent="0.25">
      <c r="A184" s="201" t="s">
        <v>437</v>
      </c>
      <c r="B184" s="202" t="s">
        <v>673</v>
      </c>
      <c r="C184" s="199">
        <f t="shared" si="4"/>
        <v>177</v>
      </c>
      <c r="D184" s="199">
        <v>231</v>
      </c>
      <c r="E184" s="199">
        <v>234</v>
      </c>
      <c r="F184" s="203">
        <v>18</v>
      </c>
      <c r="G184" s="203">
        <v>12</v>
      </c>
      <c r="H184" s="203">
        <v>0</v>
      </c>
      <c r="I184" s="203">
        <v>0</v>
      </c>
      <c r="J184" s="234">
        <f t="shared" si="5"/>
        <v>0.23380273972602736</v>
      </c>
    </row>
    <row r="185" spans="1:10" ht="15.75" customHeight="1" x14ac:dyDescent="0.25">
      <c r="A185" s="201" t="s">
        <v>330</v>
      </c>
      <c r="B185" s="202" t="s">
        <v>678</v>
      </c>
      <c r="C185" s="199">
        <f t="shared" si="4"/>
        <v>181</v>
      </c>
      <c r="D185" s="199">
        <v>237</v>
      </c>
      <c r="E185" s="199">
        <v>172</v>
      </c>
      <c r="F185" s="203">
        <v>18</v>
      </c>
      <c r="G185" s="203">
        <v>13</v>
      </c>
      <c r="H185" s="203">
        <v>0</v>
      </c>
      <c r="I185" s="203">
        <v>1</v>
      </c>
      <c r="J185" s="234">
        <f t="shared" si="5"/>
        <v>0.22979231109147147</v>
      </c>
    </row>
    <row r="186" spans="1:10" ht="15.75" customHeight="1" x14ac:dyDescent="0.25">
      <c r="A186" s="201" t="s">
        <v>422</v>
      </c>
      <c r="B186" s="202" t="s">
        <v>668</v>
      </c>
      <c r="C186" s="199">
        <f t="shared" si="4"/>
        <v>189</v>
      </c>
      <c r="D186" s="199">
        <v>213</v>
      </c>
      <c r="E186" s="199">
        <v>313</v>
      </c>
      <c r="F186" s="203">
        <v>17</v>
      </c>
      <c r="G186" s="203">
        <v>14</v>
      </c>
      <c r="H186" s="203">
        <v>0</v>
      </c>
      <c r="I186" s="203">
        <v>0</v>
      </c>
      <c r="J186" s="234">
        <f t="shared" si="5"/>
        <v>0.21815289438798052</v>
      </c>
    </row>
    <row r="187" spans="1:10" ht="15.75" customHeight="1" x14ac:dyDescent="0.25">
      <c r="A187" s="201" t="s">
        <v>31</v>
      </c>
      <c r="B187" s="202" t="s">
        <v>669</v>
      </c>
      <c r="C187" s="199">
        <f t="shared" si="4"/>
        <v>176</v>
      </c>
      <c r="D187" s="199">
        <v>312</v>
      </c>
      <c r="E187" s="199">
        <v>362</v>
      </c>
      <c r="F187" s="203">
        <v>30</v>
      </c>
      <c r="G187" s="203">
        <v>0</v>
      </c>
      <c r="H187" s="203">
        <v>0</v>
      </c>
      <c r="I187" s="203">
        <v>0</v>
      </c>
      <c r="J187" s="234">
        <f t="shared" si="5"/>
        <v>0.23383561643835615</v>
      </c>
    </row>
    <row r="188" spans="1:10" ht="15.75" customHeight="1" x14ac:dyDescent="0.25">
      <c r="A188" s="201" t="s">
        <v>301</v>
      </c>
      <c r="B188" s="202" t="s">
        <v>677</v>
      </c>
      <c r="C188" s="199">
        <f t="shared" si="4"/>
        <v>183</v>
      </c>
      <c r="D188" s="199">
        <v>267</v>
      </c>
      <c r="E188" s="199">
        <v>95</v>
      </c>
      <c r="F188" s="203">
        <v>19</v>
      </c>
      <c r="G188" s="203">
        <v>12</v>
      </c>
      <c r="H188" s="203">
        <v>0</v>
      </c>
      <c r="I188" s="203">
        <v>3</v>
      </c>
      <c r="J188" s="234">
        <f t="shared" si="5"/>
        <v>0.22598497569597875</v>
      </c>
    </row>
    <row r="189" spans="1:10" ht="15.75" customHeight="1" x14ac:dyDescent="0.25">
      <c r="A189" s="201" t="s">
        <v>339</v>
      </c>
      <c r="B189" s="202" t="s">
        <v>666</v>
      </c>
      <c r="C189" s="199">
        <f t="shared" si="4"/>
        <v>184</v>
      </c>
      <c r="D189" s="199">
        <v>170</v>
      </c>
      <c r="E189" s="199">
        <v>301</v>
      </c>
      <c r="F189" s="203">
        <v>14</v>
      </c>
      <c r="G189" s="203">
        <v>15</v>
      </c>
      <c r="H189" s="203">
        <v>0</v>
      </c>
      <c r="I189" s="203">
        <v>0</v>
      </c>
      <c r="J189" s="234">
        <f t="shared" si="5"/>
        <v>0.22532262635805386</v>
      </c>
    </row>
    <row r="190" spans="1:10" ht="15.75" customHeight="1" x14ac:dyDescent="0.25">
      <c r="A190" s="201" t="s">
        <v>91</v>
      </c>
      <c r="B190" s="202" t="s">
        <v>668</v>
      </c>
      <c r="C190" s="199">
        <f t="shared" si="4"/>
        <v>180</v>
      </c>
      <c r="D190" s="199">
        <v>286</v>
      </c>
      <c r="E190" s="199">
        <v>357</v>
      </c>
      <c r="F190" s="203">
        <v>26</v>
      </c>
      <c r="G190" s="203">
        <v>5</v>
      </c>
      <c r="H190" s="203">
        <v>0</v>
      </c>
      <c r="I190" s="203">
        <v>0</v>
      </c>
      <c r="J190" s="234">
        <f t="shared" si="5"/>
        <v>0.23061069376933271</v>
      </c>
    </row>
    <row r="191" spans="1:10" ht="15.75" customHeight="1" x14ac:dyDescent="0.25">
      <c r="A191" s="201" t="s">
        <v>384</v>
      </c>
      <c r="B191" s="202" t="s">
        <v>663</v>
      </c>
      <c r="C191" s="199">
        <f t="shared" si="4"/>
        <v>193</v>
      </c>
      <c r="D191" s="199">
        <v>130</v>
      </c>
      <c r="E191" s="199">
        <v>273</v>
      </c>
      <c r="F191" s="203">
        <v>12</v>
      </c>
      <c r="G191" s="203">
        <v>18</v>
      </c>
      <c r="H191" s="203">
        <v>0</v>
      </c>
      <c r="I191" s="203">
        <v>1</v>
      </c>
      <c r="J191" s="234">
        <f t="shared" si="5"/>
        <v>0.21400547945205478</v>
      </c>
    </row>
    <row r="192" spans="1:10" ht="15.75" customHeight="1" x14ac:dyDescent="0.25">
      <c r="A192" s="201" t="s">
        <v>81</v>
      </c>
      <c r="B192" s="202" t="s">
        <v>677</v>
      </c>
      <c r="C192" s="199">
        <f t="shared" si="4"/>
        <v>188</v>
      </c>
      <c r="D192" s="199">
        <v>300</v>
      </c>
      <c r="E192" s="199">
        <v>160</v>
      </c>
      <c r="F192" s="203">
        <v>21</v>
      </c>
      <c r="G192" s="203">
        <v>8</v>
      </c>
      <c r="H192" s="203">
        <v>0</v>
      </c>
      <c r="I192" s="203">
        <v>0</v>
      </c>
      <c r="J192" s="234">
        <f t="shared" si="5"/>
        <v>0.21872933396315541</v>
      </c>
    </row>
    <row r="193" spans="1:10" ht="15.75" customHeight="1" x14ac:dyDescent="0.25">
      <c r="A193" s="201" t="s">
        <v>252</v>
      </c>
      <c r="B193" s="202" t="s">
        <v>668</v>
      </c>
      <c r="C193" s="199">
        <f t="shared" si="4"/>
        <v>194</v>
      </c>
      <c r="D193" s="199">
        <v>179</v>
      </c>
      <c r="E193" s="199">
        <v>230</v>
      </c>
      <c r="F193" s="203">
        <v>14</v>
      </c>
      <c r="G193" s="203">
        <v>17</v>
      </c>
      <c r="H193" s="203">
        <v>0</v>
      </c>
      <c r="I193" s="203">
        <v>1</v>
      </c>
      <c r="J193" s="234">
        <f t="shared" si="5"/>
        <v>0.21245603181617317</v>
      </c>
    </row>
    <row r="194" spans="1:10" ht="15.75" customHeight="1" x14ac:dyDescent="0.25">
      <c r="A194" s="201" t="s">
        <v>231</v>
      </c>
      <c r="B194" s="202" t="s">
        <v>665</v>
      </c>
      <c r="C194" s="199">
        <f t="shared" ref="C194:C257" si="6">RANK(J194,J$2:J$366,0)</f>
        <v>196</v>
      </c>
      <c r="D194" s="199">
        <v>239</v>
      </c>
      <c r="E194" s="199">
        <v>319</v>
      </c>
      <c r="F194" s="203">
        <v>16</v>
      </c>
      <c r="G194" s="203">
        <v>11</v>
      </c>
      <c r="H194" s="203">
        <v>0</v>
      </c>
      <c r="I194" s="203">
        <v>1</v>
      </c>
      <c r="J194" s="234">
        <f t="shared" ref="J194:J257" si="7">0.35*(F194/(F194+G194))*((366-D194)/(366-1))+0.3*(F194/(F194+G194))*(0.7*((366-D194)/(366-1))+0.3*((366-E194)/(366-1)))+0.2*IF((H194+I194)&gt;0,H194/(H194+I194),0)*(H194+I194)/(F194+G194)+0.15*(F194/(F194+G194))</f>
        <v>0.21122272957889393</v>
      </c>
    </row>
    <row r="195" spans="1:10" ht="15.75" customHeight="1" x14ac:dyDescent="0.25">
      <c r="A195" s="201" t="s">
        <v>200</v>
      </c>
      <c r="B195" s="202" t="s">
        <v>656</v>
      </c>
      <c r="C195" s="199">
        <f t="shared" si="6"/>
        <v>199</v>
      </c>
      <c r="D195" s="199">
        <v>77</v>
      </c>
      <c r="E195" s="199">
        <v>278</v>
      </c>
      <c r="F195" s="203">
        <v>10</v>
      </c>
      <c r="G195" s="203">
        <v>20</v>
      </c>
      <c r="H195" s="203">
        <v>0</v>
      </c>
      <c r="I195" s="203">
        <v>8</v>
      </c>
      <c r="J195" s="234">
        <f t="shared" si="7"/>
        <v>0.2050319634703196</v>
      </c>
    </row>
    <row r="196" spans="1:10" ht="15.75" customHeight="1" x14ac:dyDescent="0.25">
      <c r="A196" s="201" t="s">
        <v>241</v>
      </c>
      <c r="B196" s="202" t="s">
        <v>680</v>
      </c>
      <c r="C196" s="199">
        <f t="shared" si="6"/>
        <v>195</v>
      </c>
      <c r="D196" s="199">
        <v>221</v>
      </c>
      <c r="E196" s="199">
        <v>102</v>
      </c>
      <c r="F196" s="203">
        <v>15</v>
      </c>
      <c r="G196" s="203">
        <v>16</v>
      </c>
      <c r="H196" s="203">
        <v>0</v>
      </c>
      <c r="I196" s="203">
        <v>2</v>
      </c>
      <c r="J196" s="234">
        <f t="shared" si="7"/>
        <v>0.21172337604949182</v>
      </c>
    </row>
    <row r="197" spans="1:10" ht="15.75" customHeight="1" x14ac:dyDescent="0.25">
      <c r="A197" s="201" t="s">
        <v>405</v>
      </c>
      <c r="B197" s="202" t="s">
        <v>671</v>
      </c>
      <c r="C197" s="199">
        <f t="shared" si="6"/>
        <v>200</v>
      </c>
      <c r="D197" s="199">
        <v>276</v>
      </c>
      <c r="E197" s="199">
        <v>316</v>
      </c>
      <c r="F197" s="203">
        <v>21</v>
      </c>
      <c r="G197" s="203">
        <v>10</v>
      </c>
      <c r="H197" s="203">
        <v>0</v>
      </c>
      <c r="I197" s="203">
        <v>0</v>
      </c>
      <c r="J197" s="234">
        <f t="shared" si="7"/>
        <v>0.20350419796730002</v>
      </c>
    </row>
    <row r="198" spans="1:10" ht="15.75" customHeight="1" x14ac:dyDescent="0.25">
      <c r="A198" s="201" t="s">
        <v>243</v>
      </c>
      <c r="B198" s="202" t="s">
        <v>664</v>
      </c>
      <c r="C198" s="199">
        <f t="shared" si="6"/>
        <v>187</v>
      </c>
      <c r="D198" s="199">
        <v>125</v>
      </c>
      <c r="E198" s="199">
        <v>286</v>
      </c>
      <c r="F198" s="203">
        <v>13</v>
      </c>
      <c r="G198" s="203">
        <v>19</v>
      </c>
      <c r="H198" s="203">
        <v>0</v>
      </c>
      <c r="I198" s="203">
        <v>0</v>
      </c>
      <c r="J198" s="234">
        <f t="shared" si="7"/>
        <v>0.21916352739726028</v>
      </c>
    </row>
    <row r="199" spans="1:10" ht="15.75" customHeight="1" x14ac:dyDescent="0.25">
      <c r="A199" s="201" t="s">
        <v>246</v>
      </c>
      <c r="B199" s="202" t="s">
        <v>663</v>
      </c>
      <c r="C199" s="199">
        <f t="shared" si="6"/>
        <v>201</v>
      </c>
      <c r="D199" s="199">
        <v>129</v>
      </c>
      <c r="E199" s="199">
        <v>203</v>
      </c>
      <c r="F199" s="203">
        <v>11</v>
      </c>
      <c r="G199" s="203">
        <v>19</v>
      </c>
      <c r="H199" s="203">
        <v>0</v>
      </c>
      <c r="I199" s="203">
        <v>2</v>
      </c>
      <c r="J199" s="234">
        <f t="shared" si="7"/>
        <v>0.20306301369863011</v>
      </c>
    </row>
    <row r="200" spans="1:10" ht="15.75" customHeight="1" x14ac:dyDescent="0.25">
      <c r="A200" s="201" t="s">
        <v>363</v>
      </c>
      <c r="B200" s="202" t="s">
        <v>671</v>
      </c>
      <c r="C200" s="199">
        <f t="shared" si="6"/>
        <v>204</v>
      </c>
      <c r="D200" s="199">
        <v>155</v>
      </c>
      <c r="E200" s="199">
        <v>54</v>
      </c>
      <c r="F200" s="203">
        <v>12</v>
      </c>
      <c r="G200" s="203">
        <v>21</v>
      </c>
      <c r="H200" s="203">
        <v>0</v>
      </c>
      <c r="I200" s="203">
        <v>1</v>
      </c>
      <c r="J200" s="234">
        <f t="shared" si="7"/>
        <v>0.20023910336239101</v>
      </c>
    </row>
    <row r="201" spans="1:10" ht="15.75" customHeight="1" x14ac:dyDescent="0.25">
      <c r="A201" s="201" t="s">
        <v>397</v>
      </c>
      <c r="B201" s="202" t="s">
        <v>676</v>
      </c>
      <c r="C201" s="199">
        <f t="shared" si="6"/>
        <v>202</v>
      </c>
      <c r="D201" s="199">
        <v>263</v>
      </c>
      <c r="E201" s="199">
        <v>199</v>
      </c>
      <c r="F201" s="203">
        <v>18</v>
      </c>
      <c r="G201" s="203">
        <v>13</v>
      </c>
      <c r="H201" s="203">
        <v>0</v>
      </c>
      <c r="I201" s="203">
        <v>2</v>
      </c>
      <c r="J201" s="234">
        <f t="shared" si="7"/>
        <v>0.20276447193990277</v>
      </c>
    </row>
    <row r="202" spans="1:10" ht="15.75" customHeight="1" x14ac:dyDescent="0.25">
      <c r="A202" s="201" t="s">
        <v>387</v>
      </c>
      <c r="B202" s="202" t="s">
        <v>672</v>
      </c>
      <c r="C202" s="199">
        <f t="shared" si="6"/>
        <v>197</v>
      </c>
      <c r="D202" s="199">
        <v>279</v>
      </c>
      <c r="E202" s="199">
        <v>296</v>
      </c>
      <c r="F202" s="203">
        <v>22</v>
      </c>
      <c r="G202" s="203">
        <v>10</v>
      </c>
      <c r="H202" s="203">
        <v>0</v>
      </c>
      <c r="I202" s="203">
        <v>1</v>
      </c>
      <c r="J202" s="234">
        <f t="shared" si="7"/>
        <v>0.2067585616438356</v>
      </c>
    </row>
    <row r="203" spans="1:10" ht="15.75" customHeight="1" x14ac:dyDescent="0.25">
      <c r="A203" s="201" t="s">
        <v>323</v>
      </c>
      <c r="B203" s="202" t="s">
        <v>672</v>
      </c>
      <c r="C203" s="199">
        <f t="shared" si="6"/>
        <v>209</v>
      </c>
      <c r="D203" s="199">
        <v>174</v>
      </c>
      <c r="E203" s="199">
        <v>60</v>
      </c>
      <c r="F203" s="203">
        <v>12</v>
      </c>
      <c r="G203" s="203">
        <v>20</v>
      </c>
      <c r="H203" s="203">
        <v>0</v>
      </c>
      <c r="I203" s="203">
        <v>3</v>
      </c>
      <c r="J203" s="234">
        <f t="shared" si="7"/>
        <v>0.1950102739726027</v>
      </c>
    </row>
    <row r="204" spans="1:10" ht="15.75" customHeight="1" x14ac:dyDescent="0.25">
      <c r="A204" s="201" t="s">
        <v>100</v>
      </c>
      <c r="B204" s="202" t="s">
        <v>678</v>
      </c>
      <c r="C204" s="199">
        <f t="shared" si="6"/>
        <v>203</v>
      </c>
      <c r="D204" s="199">
        <v>277</v>
      </c>
      <c r="E204" s="199">
        <v>283</v>
      </c>
      <c r="F204" s="203">
        <v>19</v>
      </c>
      <c r="G204" s="203">
        <v>10</v>
      </c>
      <c r="H204" s="203">
        <v>0</v>
      </c>
      <c r="I204" s="203">
        <v>0</v>
      </c>
      <c r="J204" s="234">
        <f t="shared" si="7"/>
        <v>0.20114690599905521</v>
      </c>
    </row>
    <row r="205" spans="1:10" ht="15.75" customHeight="1" x14ac:dyDescent="0.25">
      <c r="A205" s="201" t="s">
        <v>250</v>
      </c>
      <c r="B205" s="202" t="s">
        <v>669</v>
      </c>
      <c r="C205" s="199">
        <f t="shared" si="6"/>
        <v>211</v>
      </c>
      <c r="D205" s="199">
        <v>142</v>
      </c>
      <c r="E205" s="199">
        <v>82</v>
      </c>
      <c r="F205" s="203">
        <v>10</v>
      </c>
      <c r="G205" s="203">
        <v>20</v>
      </c>
      <c r="H205" s="203">
        <v>1</v>
      </c>
      <c r="I205" s="203">
        <v>1</v>
      </c>
      <c r="J205" s="234">
        <f t="shared" si="7"/>
        <v>0.19456621004566205</v>
      </c>
    </row>
    <row r="206" spans="1:10" ht="15.75" customHeight="1" x14ac:dyDescent="0.25">
      <c r="A206" s="201" t="s">
        <v>327</v>
      </c>
      <c r="B206" s="202" t="s">
        <v>666</v>
      </c>
      <c r="C206" s="199">
        <f t="shared" si="6"/>
        <v>198</v>
      </c>
      <c r="D206" s="199">
        <v>182</v>
      </c>
      <c r="E206" s="199">
        <v>331</v>
      </c>
      <c r="F206" s="203">
        <v>14</v>
      </c>
      <c r="G206" s="203">
        <v>16</v>
      </c>
      <c r="H206" s="203">
        <v>0</v>
      </c>
      <c r="I206" s="203">
        <v>0</v>
      </c>
      <c r="J206" s="234">
        <f t="shared" si="7"/>
        <v>0.20576803652968034</v>
      </c>
    </row>
    <row r="207" spans="1:10" ht="15.75" customHeight="1" x14ac:dyDescent="0.25">
      <c r="A207" s="201" t="s">
        <v>440</v>
      </c>
      <c r="B207" s="202" t="s">
        <v>673</v>
      </c>
      <c r="C207" s="199">
        <f t="shared" si="6"/>
        <v>205</v>
      </c>
      <c r="D207" s="199">
        <v>257</v>
      </c>
      <c r="E207" s="199">
        <v>308</v>
      </c>
      <c r="F207" s="203">
        <v>18</v>
      </c>
      <c r="G207" s="203">
        <v>12</v>
      </c>
      <c r="H207" s="203">
        <v>0</v>
      </c>
      <c r="I207" s="203">
        <v>0</v>
      </c>
      <c r="J207" s="234">
        <f t="shared" si="7"/>
        <v>0.19892054794520547</v>
      </c>
    </row>
    <row r="208" spans="1:10" ht="15.75" customHeight="1" x14ac:dyDescent="0.25">
      <c r="A208" s="201" t="s">
        <v>444</v>
      </c>
      <c r="B208" s="202" t="s">
        <v>675</v>
      </c>
      <c r="C208" s="199">
        <f t="shared" si="6"/>
        <v>207</v>
      </c>
      <c r="D208" s="199">
        <v>218</v>
      </c>
      <c r="E208" s="199">
        <v>186</v>
      </c>
      <c r="F208" s="203">
        <v>14</v>
      </c>
      <c r="G208" s="203">
        <v>16</v>
      </c>
      <c r="H208" s="203">
        <v>0</v>
      </c>
      <c r="I208" s="203">
        <v>1</v>
      </c>
      <c r="J208" s="234">
        <f t="shared" si="7"/>
        <v>0.19667762557077623</v>
      </c>
    </row>
    <row r="209" spans="1:10" ht="15.75" customHeight="1" x14ac:dyDescent="0.25">
      <c r="A209" s="201" t="s">
        <v>65</v>
      </c>
      <c r="B209" s="202" t="s">
        <v>681</v>
      </c>
      <c r="C209" s="199">
        <f t="shared" si="6"/>
        <v>217</v>
      </c>
      <c r="D209" s="199">
        <v>330</v>
      </c>
      <c r="E209" s="199">
        <v>79</v>
      </c>
      <c r="F209" s="203">
        <v>22</v>
      </c>
      <c r="G209" s="203">
        <v>10</v>
      </c>
      <c r="H209" s="203">
        <v>0</v>
      </c>
      <c r="I209" s="203">
        <v>2</v>
      </c>
      <c r="J209" s="234">
        <f t="shared" si="7"/>
        <v>0.18974999999999997</v>
      </c>
    </row>
    <row r="210" spans="1:10" ht="15.75" customHeight="1" x14ac:dyDescent="0.25">
      <c r="A210" s="201" t="s">
        <v>381</v>
      </c>
      <c r="B210" s="202" t="s">
        <v>674</v>
      </c>
      <c r="C210" s="199">
        <f t="shared" si="6"/>
        <v>208</v>
      </c>
      <c r="D210" s="199">
        <v>296</v>
      </c>
      <c r="E210" s="199">
        <v>110</v>
      </c>
      <c r="F210" s="203">
        <v>19</v>
      </c>
      <c r="G210" s="203">
        <v>12</v>
      </c>
      <c r="H210" s="203">
        <v>0</v>
      </c>
      <c r="I210" s="203">
        <v>1</v>
      </c>
      <c r="J210" s="234">
        <f t="shared" si="7"/>
        <v>0.19644807777286788</v>
      </c>
    </row>
    <row r="211" spans="1:10" ht="15.75" customHeight="1" x14ac:dyDescent="0.25">
      <c r="A211" s="201" t="s">
        <v>189</v>
      </c>
      <c r="B211" s="202" t="s">
        <v>671</v>
      </c>
      <c r="C211" s="199">
        <f t="shared" si="6"/>
        <v>216</v>
      </c>
      <c r="D211" s="199">
        <v>275</v>
      </c>
      <c r="E211" s="199">
        <v>284</v>
      </c>
      <c r="F211" s="203">
        <v>19</v>
      </c>
      <c r="G211" s="203">
        <v>12</v>
      </c>
      <c r="H211" s="203">
        <v>0</v>
      </c>
      <c r="I211" s="203">
        <v>1</v>
      </c>
      <c r="J211" s="234">
        <f t="shared" si="7"/>
        <v>0.18989924878479891</v>
      </c>
    </row>
    <row r="212" spans="1:10" ht="15.75" customHeight="1" x14ac:dyDescent="0.25">
      <c r="A212" s="201" t="s">
        <v>306</v>
      </c>
      <c r="B212" s="202" t="s">
        <v>666</v>
      </c>
      <c r="C212" s="199">
        <f t="shared" si="6"/>
        <v>191</v>
      </c>
      <c r="D212" s="199">
        <v>217</v>
      </c>
      <c r="E212" s="199">
        <v>361</v>
      </c>
      <c r="F212" s="203">
        <v>17</v>
      </c>
      <c r="G212" s="203">
        <v>13</v>
      </c>
      <c r="H212" s="203">
        <v>0</v>
      </c>
      <c r="I212" s="203">
        <v>0</v>
      </c>
      <c r="J212" s="234">
        <f t="shared" si="7"/>
        <v>0.21524018264840181</v>
      </c>
    </row>
    <row r="213" spans="1:10" ht="15.75" customHeight="1" x14ac:dyDescent="0.25">
      <c r="A213" s="201" t="s">
        <v>288</v>
      </c>
      <c r="B213" s="202" t="s">
        <v>666</v>
      </c>
      <c r="C213" s="199">
        <f t="shared" si="6"/>
        <v>215</v>
      </c>
      <c r="D213" s="199">
        <v>200</v>
      </c>
      <c r="E213" s="199">
        <v>356</v>
      </c>
      <c r="F213" s="203">
        <v>14</v>
      </c>
      <c r="G213" s="203">
        <v>16</v>
      </c>
      <c r="H213" s="203">
        <v>0</v>
      </c>
      <c r="I213" s="203">
        <v>0</v>
      </c>
      <c r="J213" s="234">
        <f t="shared" si="7"/>
        <v>0.19000365296803651</v>
      </c>
    </row>
    <row r="214" spans="1:10" ht="15.75" customHeight="1" x14ac:dyDescent="0.25">
      <c r="A214" s="201" t="s">
        <v>58</v>
      </c>
      <c r="B214" s="202" t="s">
        <v>673</v>
      </c>
      <c r="C214" s="199">
        <f t="shared" si="6"/>
        <v>223</v>
      </c>
      <c r="D214" s="199">
        <v>307</v>
      </c>
      <c r="E214" s="199">
        <v>364</v>
      </c>
      <c r="F214" s="203">
        <v>22</v>
      </c>
      <c r="G214" s="203">
        <v>7</v>
      </c>
      <c r="H214" s="203">
        <v>0</v>
      </c>
      <c r="I214" s="203">
        <v>0</v>
      </c>
      <c r="J214" s="234">
        <f t="shared" si="7"/>
        <v>0.1828379782711384</v>
      </c>
    </row>
    <row r="215" spans="1:10" ht="15.75" customHeight="1" x14ac:dyDescent="0.25">
      <c r="A215" s="201" t="s">
        <v>207</v>
      </c>
      <c r="B215" s="202" t="s">
        <v>669</v>
      </c>
      <c r="C215" s="199">
        <f t="shared" si="6"/>
        <v>220</v>
      </c>
      <c r="D215" s="199">
        <v>250</v>
      </c>
      <c r="E215" s="199">
        <v>348</v>
      </c>
      <c r="F215" s="203">
        <v>17</v>
      </c>
      <c r="G215" s="203">
        <v>13</v>
      </c>
      <c r="H215" s="203">
        <v>0</v>
      </c>
      <c r="I215" s="203">
        <v>0</v>
      </c>
      <c r="J215" s="234">
        <f t="shared" si="7"/>
        <v>0.18836621004566209</v>
      </c>
    </row>
    <row r="216" spans="1:10" ht="15.75" customHeight="1" x14ac:dyDescent="0.25">
      <c r="A216" s="201" t="s">
        <v>424</v>
      </c>
      <c r="B216" s="202" t="s">
        <v>670</v>
      </c>
      <c r="C216" s="199">
        <f t="shared" si="6"/>
        <v>227</v>
      </c>
      <c r="D216" s="199">
        <v>226</v>
      </c>
      <c r="E216" s="199">
        <v>250</v>
      </c>
      <c r="F216" s="203">
        <v>14</v>
      </c>
      <c r="G216" s="203">
        <v>17</v>
      </c>
      <c r="H216" s="203">
        <v>0</v>
      </c>
      <c r="I216" s="203">
        <v>3</v>
      </c>
      <c r="J216" s="234">
        <f t="shared" si="7"/>
        <v>0.17766327883340693</v>
      </c>
    </row>
    <row r="217" spans="1:10" ht="15.75" customHeight="1" x14ac:dyDescent="0.25">
      <c r="A217" s="201" t="s">
        <v>235</v>
      </c>
      <c r="B217" s="202" t="s">
        <v>665</v>
      </c>
      <c r="C217" s="199">
        <f t="shared" si="6"/>
        <v>218</v>
      </c>
      <c r="D217" s="199">
        <v>185</v>
      </c>
      <c r="E217" s="199">
        <v>285</v>
      </c>
      <c r="F217" s="203">
        <v>11</v>
      </c>
      <c r="G217" s="203">
        <v>15</v>
      </c>
      <c r="H217" s="203">
        <v>0</v>
      </c>
      <c r="I217" s="203">
        <v>1</v>
      </c>
      <c r="J217" s="234">
        <f t="shared" si="7"/>
        <v>0.18939936775553212</v>
      </c>
    </row>
    <row r="218" spans="1:10" ht="15.75" customHeight="1" x14ac:dyDescent="0.25">
      <c r="A218" s="201" t="s">
        <v>192</v>
      </c>
      <c r="B218" s="202" t="s">
        <v>679</v>
      </c>
      <c r="C218" s="199">
        <f t="shared" si="6"/>
        <v>236</v>
      </c>
      <c r="D218" s="199">
        <v>253</v>
      </c>
      <c r="E218" s="199">
        <v>8</v>
      </c>
      <c r="F218" s="203">
        <v>13</v>
      </c>
      <c r="G218" s="203">
        <v>18</v>
      </c>
      <c r="H218" s="203">
        <v>0</v>
      </c>
      <c r="I218" s="203">
        <v>4</v>
      </c>
      <c r="J218" s="234">
        <f t="shared" si="7"/>
        <v>0.17262483429076447</v>
      </c>
    </row>
    <row r="219" spans="1:10" ht="15.75" customHeight="1" x14ac:dyDescent="0.25">
      <c r="A219" s="201" t="s">
        <v>263</v>
      </c>
      <c r="B219" s="202" t="s">
        <v>676</v>
      </c>
      <c r="C219" s="199">
        <f t="shared" si="6"/>
        <v>219</v>
      </c>
      <c r="D219" s="199">
        <v>280</v>
      </c>
      <c r="E219" s="199">
        <v>262</v>
      </c>
      <c r="F219" s="203">
        <v>19</v>
      </c>
      <c r="G219" s="203">
        <v>12</v>
      </c>
      <c r="H219" s="203">
        <v>0</v>
      </c>
      <c r="I219" s="203">
        <v>0</v>
      </c>
      <c r="J219" s="234">
        <f t="shared" si="7"/>
        <v>0.18852231551038445</v>
      </c>
    </row>
    <row r="220" spans="1:10" ht="15.75" customHeight="1" x14ac:dyDescent="0.25">
      <c r="A220" s="201" t="s">
        <v>228</v>
      </c>
      <c r="B220" s="202" t="s">
        <v>682</v>
      </c>
      <c r="C220" s="199">
        <f t="shared" si="6"/>
        <v>228</v>
      </c>
      <c r="D220" s="199">
        <v>295</v>
      </c>
      <c r="E220" s="199">
        <v>138</v>
      </c>
      <c r="F220" s="203">
        <v>18</v>
      </c>
      <c r="G220" s="203">
        <v>14</v>
      </c>
      <c r="H220" s="203">
        <v>0</v>
      </c>
      <c r="I220" s="203">
        <v>3</v>
      </c>
      <c r="J220" s="234">
        <f t="shared" si="7"/>
        <v>0.17727226027397258</v>
      </c>
    </row>
    <row r="221" spans="1:10" ht="15.75" customHeight="1" x14ac:dyDescent="0.25">
      <c r="A221" s="201" t="s">
        <v>295</v>
      </c>
      <c r="B221" s="202" t="s">
        <v>662</v>
      </c>
      <c r="C221" s="199">
        <f t="shared" si="6"/>
        <v>206</v>
      </c>
      <c r="D221" s="199">
        <v>82</v>
      </c>
      <c r="E221" s="199">
        <v>55</v>
      </c>
      <c r="F221" s="203">
        <v>9</v>
      </c>
      <c r="G221" s="203">
        <v>21</v>
      </c>
      <c r="H221" s="203">
        <v>0</v>
      </c>
      <c r="I221" s="203">
        <v>5</v>
      </c>
      <c r="J221" s="234">
        <f t="shared" si="7"/>
        <v>0.19872328767123287</v>
      </c>
    </row>
    <row r="222" spans="1:10" ht="15.75" customHeight="1" x14ac:dyDescent="0.25">
      <c r="A222" s="201" t="s">
        <v>182</v>
      </c>
      <c r="B222" s="202" t="s">
        <v>670</v>
      </c>
      <c r="C222" s="199">
        <f t="shared" si="6"/>
        <v>214</v>
      </c>
      <c r="D222" s="199">
        <v>198</v>
      </c>
      <c r="E222" s="199">
        <v>241</v>
      </c>
      <c r="F222" s="203">
        <v>13</v>
      </c>
      <c r="G222" s="203">
        <v>17</v>
      </c>
      <c r="H222" s="203">
        <v>0</v>
      </c>
      <c r="I222" s="203">
        <v>2</v>
      </c>
      <c r="J222" s="234">
        <f t="shared" si="7"/>
        <v>0.19004931506849315</v>
      </c>
    </row>
    <row r="223" spans="1:10" ht="15.75" customHeight="1" x14ac:dyDescent="0.25">
      <c r="A223" s="201" t="s">
        <v>284</v>
      </c>
      <c r="B223" s="202" t="s">
        <v>664</v>
      </c>
      <c r="C223" s="199">
        <f t="shared" si="6"/>
        <v>226</v>
      </c>
      <c r="D223" s="199">
        <v>131</v>
      </c>
      <c r="E223" s="199">
        <v>324</v>
      </c>
      <c r="F223" s="203">
        <v>11</v>
      </c>
      <c r="G223" s="203">
        <v>21</v>
      </c>
      <c r="H223" s="203">
        <v>0</v>
      </c>
      <c r="I223" s="203">
        <v>1</v>
      </c>
      <c r="J223" s="234">
        <f t="shared" si="7"/>
        <v>0.17906078767123285</v>
      </c>
    </row>
    <row r="224" spans="1:10" ht="15.75" customHeight="1" x14ac:dyDescent="0.25">
      <c r="A224" s="201" t="s">
        <v>202</v>
      </c>
      <c r="B224" s="202" t="s">
        <v>669</v>
      </c>
      <c r="C224" s="199">
        <f t="shared" si="6"/>
        <v>221</v>
      </c>
      <c r="D224" s="199">
        <v>251</v>
      </c>
      <c r="E224" s="199">
        <v>347</v>
      </c>
      <c r="F224" s="203">
        <v>17</v>
      </c>
      <c r="G224" s="203">
        <v>13</v>
      </c>
      <c r="H224" s="203">
        <v>0</v>
      </c>
      <c r="I224" s="203">
        <v>0</v>
      </c>
      <c r="J224" s="234">
        <f t="shared" si="7"/>
        <v>0.18763652968036526</v>
      </c>
    </row>
    <row r="225" spans="1:10" ht="15.75" customHeight="1" x14ac:dyDescent="0.25">
      <c r="A225" s="201" t="s">
        <v>451</v>
      </c>
      <c r="B225" s="202" t="s">
        <v>666</v>
      </c>
      <c r="C225" s="199">
        <f t="shared" si="6"/>
        <v>210</v>
      </c>
      <c r="D225" s="199">
        <v>145</v>
      </c>
      <c r="E225" s="199">
        <v>193</v>
      </c>
      <c r="F225" s="203">
        <v>11</v>
      </c>
      <c r="G225" s="203">
        <v>19</v>
      </c>
      <c r="H225" s="203">
        <v>0</v>
      </c>
      <c r="I225" s="203">
        <v>1</v>
      </c>
      <c r="J225" s="234">
        <f t="shared" si="7"/>
        <v>0.19496621004566206</v>
      </c>
    </row>
    <row r="226" spans="1:10" ht="15.75" customHeight="1" x14ac:dyDescent="0.25">
      <c r="A226" s="201" t="s">
        <v>244</v>
      </c>
      <c r="B226" s="202" t="s">
        <v>668</v>
      </c>
      <c r="C226" s="199">
        <f t="shared" si="6"/>
        <v>212</v>
      </c>
      <c r="D226" s="199">
        <v>225</v>
      </c>
      <c r="E226" s="199">
        <v>329</v>
      </c>
      <c r="F226" s="203">
        <v>16</v>
      </c>
      <c r="G226" s="203">
        <v>15</v>
      </c>
      <c r="H226" s="203">
        <v>0</v>
      </c>
      <c r="I226" s="203">
        <v>0</v>
      </c>
      <c r="J226" s="234">
        <f t="shared" si="7"/>
        <v>0.19378170570039771</v>
      </c>
    </row>
    <row r="227" spans="1:10" ht="15.75" customHeight="1" x14ac:dyDescent="0.25">
      <c r="A227" s="201" t="s">
        <v>399</v>
      </c>
      <c r="B227" s="202" t="s">
        <v>660</v>
      </c>
      <c r="C227" s="199">
        <f t="shared" si="6"/>
        <v>213</v>
      </c>
      <c r="D227" s="199">
        <v>139</v>
      </c>
      <c r="E227" s="199">
        <v>295</v>
      </c>
      <c r="F227" s="203">
        <v>12</v>
      </c>
      <c r="G227" s="203">
        <v>20</v>
      </c>
      <c r="H227" s="203">
        <v>0</v>
      </c>
      <c r="I227" s="203">
        <v>5</v>
      </c>
      <c r="J227" s="234">
        <f t="shared" si="7"/>
        <v>0.19341780821917806</v>
      </c>
    </row>
    <row r="228" spans="1:10" ht="15.75" customHeight="1" x14ac:dyDescent="0.25">
      <c r="A228" s="201" t="s">
        <v>317</v>
      </c>
      <c r="B228" s="202" t="s">
        <v>669</v>
      </c>
      <c r="C228" s="199">
        <f t="shared" si="6"/>
        <v>224</v>
      </c>
      <c r="D228" s="199">
        <v>240</v>
      </c>
      <c r="E228" s="199">
        <v>332</v>
      </c>
      <c r="F228" s="203">
        <v>16</v>
      </c>
      <c r="G228" s="203">
        <v>15</v>
      </c>
      <c r="H228" s="203">
        <v>0</v>
      </c>
      <c r="I228" s="203">
        <v>0</v>
      </c>
      <c r="J228" s="234">
        <f t="shared" si="7"/>
        <v>0.18152187361908967</v>
      </c>
    </row>
    <row r="229" spans="1:10" ht="15.75" customHeight="1" x14ac:dyDescent="0.25">
      <c r="A229" s="201" t="s">
        <v>401</v>
      </c>
      <c r="B229" s="202" t="s">
        <v>661</v>
      </c>
      <c r="C229" s="199">
        <f t="shared" si="6"/>
        <v>234</v>
      </c>
      <c r="D229" s="199">
        <v>83</v>
      </c>
      <c r="E229" s="199">
        <v>104</v>
      </c>
      <c r="F229" s="203">
        <v>8</v>
      </c>
      <c r="G229" s="203">
        <v>22</v>
      </c>
      <c r="H229" s="203">
        <v>0</v>
      </c>
      <c r="I229" s="203">
        <v>2</v>
      </c>
      <c r="J229" s="234">
        <f t="shared" si="7"/>
        <v>0.17301187214611871</v>
      </c>
    </row>
    <row r="230" spans="1:10" ht="15.75" customHeight="1" x14ac:dyDescent="0.25">
      <c r="A230" s="201" t="s">
        <v>474</v>
      </c>
      <c r="B230" s="202" t="s">
        <v>676</v>
      </c>
      <c r="C230" s="199">
        <f t="shared" si="6"/>
        <v>222</v>
      </c>
      <c r="D230" s="199">
        <v>281</v>
      </c>
      <c r="E230" s="199">
        <v>291</v>
      </c>
      <c r="F230" s="203">
        <v>19</v>
      </c>
      <c r="G230" s="203">
        <v>12</v>
      </c>
      <c r="H230" s="203">
        <v>0</v>
      </c>
      <c r="I230" s="203">
        <v>1</v>
      </c>
      <c r="J230" s="234">
        <f t="shared" si="7"/>
        <v>0.1831992929739284</v>
      </c>
    </row>
    <row r="231" spans="1:10" ht="15.75" customHeight="1" x14ac:dyDescent="0.25">
      <c r="A231" s="201" t="s">
        <v>247</v>
      </c>
      <c r="B231" s="202" t="s">
        <v>667</v>
      </c>
      <c r="C231" s="199">
        <f t="shared" si="6"/>
        <v>231</v>
      </c>
      <c r="D231" s="199">
        <v>172</v>
      </c>
      <c r="E231" s="199">
        <v>109</v>
      </c>
      <c r="F231" s="203">
        <v>11</v>
      </c>
      <c r="G231" s="203">
        <v>21</v>
      </c>
      <c r="H231" s="203">
        <v>0</v>
      </c>
      <c r="I231" s="203">
        <v>2</v>
      </c>
      <c r="J231" s="234">
        <f t="shared" si="7"/>
        <v>0.1756609589041096</v>
      </c>
    </row>
    <row r="232" spans="1:10" ht="15.75" customHeight="1" x14ac:dyDescent="0.25">
      <c r="A232" s="201" t="s">
        <v>329</v>
      </c>
      <c r="B232" s="202" t="s">
        <v>678</v>
      </c>
      <c r="C232" s="199">
        <f t="shared" si="6"/>
        <v>225</v>
      </c>
      <c r="D232" s="199">
        <v>255</v>
      </c>
      <c r="E232" s="199">
        <v>244</v>
      </c>
      <c r="F232" s="203">
        <v>16</v>
      </c>
      <c r="G232" s="203">
        <v>15</v>
      </c>
      <c r="H232" s="203">
        <v>0</v>
      </c>
      <c r="I232" s="203">
        <v>2</v>
      </c>
      <c r="J232" s="234">
        <f t="shared" si="7"/>
        <v>0.18084312859036678</v>
      </c>
    </row>
    <row r="233" spans="1:10" ht="15.75" customHeight="1" x14ac:dyDescent="0.25">
      <c r="A233" s="201" t="s">
        <v>281</v>
      </c>
      <c r="B233" s="202" t="s">
        <v>678</v>
      </c>
      <c r="C233" s="199">
        <f t="shared" si="6"/>
        <v>232</v>
      </c>
      <c r="D233" s="199">
        <v>272</v>
      </c>
      <c r="E233" s="199">
        <v>266</v>
      </c>
      <c r="F233" s="203">
        <v>17</v>
      </c>
      <c r="G233" s="203">
        <v>14</v>
      </c>
      <c r="H233" s="203">
        <v>0</v>
      </c>
      <c r="I233" s="203">
        <v>0</v>
      </c>
      <c r="J233" s="234">
        <f t="shared" si="7"/>
        <v>0.17486787450287228</v>
      </c>
    </row>
    <row r="234" spans="1:10" ht="15.75" customHeight="1" x14ac:dyDescent="0.25">
      <c r="A234" s="201" t="s">
        <v>96</v>
      </c>
      <c r="B234" s="202" t="s">
        <v>680</v>
      </c>
      <c r="C234" s="199">
        <f t="shared" si="6"/>
        <v>235</v>
      </c>
      <c r="D234" s="199">
        <v>329</v>
      </c>
      <c r="E234" s="199">
        <v>307</v>
      </c>
      <c r="F234" s="203">
        <v>25</v>
      </c>
      <c r="G234" s="203">
        <v>7</v>
      </c>
      <c r="H234" s="203">
        <v>0</v>
      </c>
      <c r="I234" s="203">
        <v>0</v>
      </c>
      <c r="J234" s="234">
        <f t="shared" si="7"/>
        <v>0.17290239726027395</v>
      </c>
    </row>
    <row r="235" spans="1:10" ht="15.75" customHeight="1" x14ac:dyDescent="0.25">
      <c r="A235" s="201" t="s">
        <v>464</v>
      </c>
      <c r="B235" s="202" t="s">
        <v>678</v>
      </c>
      <c r="C235" s="199">
        <f t="shared" si="6"/>
        <v>229</v>
      </c>
      <c r="D235" s="199">
        <v>260</v>
      </c>
      <c r="E235" s="199">
        <v>246</v>
      </c>
      <c r="F235" s="203">
        <v>16</v>
      </c>
      <c r="G235" s="203">
        <v>15</v>
      </c>
      <c r="H235" s="203">
        <v>0</v>
      </c>
      <c r="I235" s="203">
        <v>1</v>
      </c>
      <c r="J235" s="234">
        <f t="shared" si="7"/>
        <v>0.17662925320371187</v>
      </c>
    </row>
    <row r="236" spans="1:10" ht="15.75" customHeight="1" x14ac:dyDescent="0.25">
      <c r="A236" s="201" t="s">
        <v>377</v>
      </c>
      <c r="B236" s="202" t="s">
        <v>665</v>
      </c>
      <c r="C236" s="199">
        <f t="shared" si="6"/>
        <v>233</v>
      </c>
      <c r="D236" s="199">
        <v>151</v>
      </c>
      <c r="E236" s="199">
        <v>124</v>
      </c>
      <c r="F236" s="203">
        <v>9</v>
      </c>
      <c r="G236" s="203">
        <v>19</v>
      </c>
      <c r="H236" s="203">
        <v>0</v>
      </c>
      <c r="I236" s="203">
        <v>1</v>
      </c>
      <c r="J236" s="234">
        <f t="shared" si="7"/>
        <v>0.17342172211350293</v>
      </c>
    </row>
    <row r="237" spans="1:10" ht="15.75" customHeight="1" x14ac:dyDescent="0.25">
      <c r="A237" s="201" t="s">
        <v>395</v>
      </c>
      <c r="B237" s="202" t="s">
        <v>674</v>
      </c>
      <c r="C237" s="199">
        <f t="shared" si="6"/>
        <v>238</v>
      </c>
      <c r="D237" s="199">
        <v>311</v>
      </c>
      <c r="E237" s="199">
        <v>175</v>
      </c>
      <c r="F237" s="203">
        <v>17</v>
      </c>
      <c r="G237" s="203">
        <v>11</v>
      </c>
      <c r="H237" s="203">
        <v>0</v>
      </c>
      <c r="I237" s="203">
        <v>1</v>
      </c>
      <c r="J237" s="234">
        <f t="shared" si="7"/>
        <v>0.17089823874755378</v>
      </c>
    </row>
    <row r="238" spans="1:10" ht="15.75" customHeight="1" x14ac:dyDescent="0.25">
      <c r="A238" s="201" t="s">
        <v>283</v>
      </c>
      <c r="B238" s="202" t="s">
        <v>667</v>
      </c>
      <c r="C238" s="199">
        <f t="shared" si="6"/>
        <v>237</v>
      </c>
      <c r="D238" s="199">
        <v>202</v>
      </c>
      <c r="E238" s="199">
        <v>197</v>
      </c>
      <c r="F238" s="203">
        <v>12</v>
      </c>
      <c r="G238" s="203">
        <v>19</v>
      </c>
      <c r="H238" s="203">
        <v>0</v>
      </c>
      <c r="I238" s="203">
        <v>2</v>
      </c>
      <c r="J238" s="234">
        <f t="shared" si="7"/>
        <v>0.1715952275740168</v>
      </c>
    </row>
    <row r="239" spans="1:10" ht="15.75" customHeight="1" x14ac:dyDescent="0.25">
      <c r="A239" s="201" t="s">
        <v>219</v>
      </c>
      <c r="B239" s="202" t="s">
        <v>669</v>
      </c>
      <c r="C239" s="199">
        <f t="shared" si="6"/>
        <v>239</v>
      </c>
      <c r="D239" s="199">
        <v>168</v>
      </c>
      <c r="E239" s="199">
        <v>157</v>
      </c>
      <c r="F239" s="203">
        <v>10</v>
      </c>
      <c r="G239" s="203">
        <v>20</v>
      </c>
      <c r="H239" s="203">
        <v>0</v>
      </c>
      <c r="I239" s="203">
        <v>2</v>
      </c>
      <c r="J239" s="234">
        <f t="shared" si="7"/>
        <v>0.16843835616438355</v>
      </c>
    </row>
    <row r="240" spans="1:10" ht="15.75" customHeight="1" x14ac:dyDescent="0.25">
      <c r="A240" s="201" t="s">
        <v>470</v>
      </c>
      <c r="B240" s="202" t="s">
        <v>669</v>
      </c>
      <c r="C240" s="199">
        <f t="shared" si="6"/>
        <v>261</v>
      </c>
      <c r="D240" s="199">
        <v>177</v>
      </c>
      <c r="E240" s="199">
        <v>261</v>
      </c>
      <c r="F240" s="203">
        <v>10</v>
      </c>
      <c r="G240" s="203">
        <v>20</v>
      </c>
      <c r="H240" s="203">
        <v>0</v>
      </c>
      <c r="I240" s="203">
        <v>2</v>
      </c>
      <c r="J240" s="234">
        <f t="shared" si="7"/>
        <v>0.15528767123287668</v>
      </c>
    </row>
    <row r="241" spans="1:10" ht="15.75" customHeight="1" x14ac:dyDescent="0.25">
      <c r="A241" s="201" t="s">
        <v>416</v>
      </c>
      <c r="B241" s="202" t="s">
        <v>670</v>
      </c>
      <c r="C241" s="199">
        <f t="shared" si="6"/>
        <v>243</v>
      </c>
      <c r="D241" s="199">
        <v>171</v>
      </c>
      <c r="E241" s="199">
        <v>161</v>
      </c>
      <c r="F241" s="203">
        <v>10</v>
      </c>
      <c r="G241" s="203">
        <v>20</v>
      </c>
      <c r="H241" s="203">
        <v>0</v>
      </c>
      <c r="I241" s="203">
        <v>2</v>
      </c>
      <c r="J241" s="234">
        <f t="shared" si="7"/>
        <v>0.1665753424657534</v>
      </c>
    </row>
    <row r="242" spans="1:10" ht="15.75" customHeight="1" x14ac:dyDescent="0.25">
      <c r="A242" s="201" t="s">
        <v>335</v>
      </c>
      <c r="B242" s="202" t="s">
        <v>683</v>
      </c>
      <c r="C242" s="199">
        <f t="shared" si="6"/>
        <v>244</v>
      </c>
      <c r="D242" s="199">
        <v>285</v>
      </c>
      <c r="E242" s="199">
        <v>90</v>
      </c>
      <c r="F242" s="203">
        <v>15</v>
      </c>
      <c r="G242" s="203">
        <v>16</v>
      </c>
      <c r="H242" s="203">
        <v>0</v>
      </c>
      <c r="I242" s="203">
        <v>2</v>
      </c>
      <c r="J242" s="234">
        <f t="shared" si="7"/>
        <v>0.16564295183384886</v>
      </c>
    </row>
    <row r="243" spans="1:10" ht="15.75" customHeight="1" x14ac:dyDescent="0.25">
      <c r="A243" s="201" t="s">
        <v>356</v>
      </c>
      <c r="B243" s="202" t="s">
        <v>667</v>
      </c>
      <c r="C243" s="199">
        <f t="shared" si="6"/>
        <v>241</v>
      </c>
      <c r="D243" s="199">
        <v>173</v>
      </c>
      <c r="E243" s="199">
        <v>70</v>
      </c>
      <c r="F243" s="203">
        <v>10</v>
      </c>
      <c r="G243" s="203">
        <v>21</v>
      </c>
      <c r="H243" s="203">
        <v>0</v>
      </c>
      <c r="I243" s="203">
        <v>1</v>
      </c>
      <c r="J243" s="234">
        <f t="shared" si="7"/>
        <v>0.16745028722934158</v>
      </c>
    </row>
    <row r="244" spans="1:10" ht="15.75" customHeight="1" x14ac:dyDescent="0.25">
      <c r="A244" s="201" t="s">
        <v>414</v>
      </c>
      <c r="B244" s="202" t="s">
        <v>679</v>
      </c>
      <c r="C244" s="199">
        <f t="shared" si="6"/>
        <v>230</v>
      </c>
      <c r="D244" s="199">
        <v>282</v>
      </c>
      <c r="E244" s="199">
        <v>23</v>
      </c>
      <c r="F244" s="203">
        <v>15</v>
      </c>
      <c r="G244" s="203">
        <v>16</v>
      </c>
      <c r="H244" s="203">
        <v>0</v>
      </c>
      <c r="I244" s="203">
        <v>5</v>
      </c>
      <c r="J244" s="234">
        <f t="shared" si="7"/>
        <v>0.17586389748121961</v>
      </c>
    </row>
    <row r="245" spans="1:10" ht="15.75" customHeight="1" x14ac:dyDescent="0.25">
      <c r="A245" s="201" t="s">
        <v>40</v>
      </c>
      <c r="B245" s="202" t="s">
        <v>676</v>
      </c>
      <c r="C245" s="199">
        <f t="shared" si="6"/>
        <v>246</v>
      </c>
      <c r="D245" s="199">
        <v>313</v>
      </c>
      <c r="E245" s="199">
        <v>314</v>
      </c>
      <c r="F245" s="203">
        <v>21</v>
      </c>
      <c r="G245" s="203">
        <v>10</v>
      </c>
      <c r="H245" s="203">
        <v>0</v>
      </c>
      <c r="I245" s="203">
        <v>1</v>
      </c>
      <c r="J245" s="234">
        <f t="shared" si="7"/>
        <v>0.16538311975254086</v>
      </c>
    </row>
    <row r="246" spans="1:10" ht="15.75" customHeight="1" x14ac:dyDescent="0.25">
      <c r="A246" s="201" t="s">
        <v>391</v>
      </c>
      <c r="B246" s="202" t="s">
        <v>678</v>
      </c>
      <c r="C246" s="199">
        <f t="shared" si="6"/>
        <v>247</v>
      </c>
      <c r="D246" s="199">
        <v>183</v>
      </c>
      <c r="E246" s="199">
        <v>103</v>
      </c>
      <c r="F246" s="203">
        <v>10</v>
      </c>
      <c r="G246" s="203">
        <v>20</v>
      </c>
      <c r="H246" s="203">
        <v>0</v>
      </c>
      <c r="I246" s="203">
        <v>2</v>
      </c>
      <c r="J246" s="234">
        <f t="shared" si="7"/>
        <v>0.16520547945205477</v>
      </c>
    </row>
    <row r="247" spans="1:10" ht="15.75" customHeight="1" x14ac:dyDescent="0.25">
      <c r="A247" s="201" t="s">
        <v>137</v>
      </c>
      <c r="B247" s="202" t="s">
        <v>673</v>
      </c>
      <c r="C247" s="199">
        <f t="shared" si="6"/>
        <v>248</v>
      </c>
      <c r="D247" s="199">
        <v>161</v>
      </c>
      <c r="E247" s="199">
        <v>112</v>
      </c>
      <c r="F247" s="203">
        <v>10</v>
      </c>
      <c r="G247" s="203">
        <v>22</v>
      </c>
      <c r="H247" s="203">
        <v>0</v>
      </c>
      <c r="I247" s="203">
        <v>2</v>
      </c>
      <c r="J247" s="234">
        <f t="shared" si="7"/>
        <v>0.16473458904109589</v>
      </c>
    </row>
    <row r="248" spans="1:10" ht="15.75" customHeight="1" x14ac:dyDescent="0.25">
      <c r="A248" s="201" t="s">
        <v>85</v>
      </c>
      <c r="B248" s="202" t="s">
        <v>684</v>
      </c>
      <c r="C248" s="199">
        <f t="shared" si="6"/>
        <v>242</v>
      </c>
      <c r="D248" s="199">
        <v>340</v>
      </c>
      <c r="E248" s="199">
        <v>169</v>
      </c>
      <c r="F248" s="203">
        <v>21</v>
      </c>
      <c r="G248" s="203">
        <v>9</v>
      </c>
      <c r="H248" s="203">
        <v>0</v>
      </c>
      <c r="I248" s="203">
        <v>1</v>
      </c>
      <c r="J248" s="234">
        <f t="shared" si="7"/>
        <v>0.16692602739726026</v>
      </c>
    </row>
    <row r="249" spans="1:10" ht="15.75" customHeight="1" x14ac:dyDescent="0.25">
      <c r="A249" s="201" t="s">
        <v>286</v>
      </c>
      <c r="B249" s="202" t="s">
        <v>679</v>
      </c>
      <c r="C249" s="199">
        <f t="shared" si="6"/>
        <v>240</v>
      </c>
      <c r="D249" s="199">
        <v>214</v>
      </c>
      <c r="E249" s="199">
        <v>5</v>
      </c>
      <c r="F249" s="203">
        <v>11</v>
      </c>
      <c r="G249" s="203">
        <v>20</v>
      </c>
      <c r="H249" s="203">
        <v>0</v>
      </c>
      <c r="I249" s="203">
        <v>6</v>
      </c>
      <c r="J249" s="234">
        <f t="shared" si="7"/>
        <v>0.16756164383561645</v>
      </c>
    </row>
    <row r="250" spans="1:10" ht="15.75" customHeight="1" x14ac:dyDescent="0.25">
      <c r="A250" s="201" t="s">
        <v>389</v>
      </c>
      <c r="B250" s="202" t="s">
        <v>667</v>
      </c>
      <c r="C250" s="199">
        <f t="shared" si="6"/>
        <v>250</v>
      </c>
      <c r="D250" s="199">
        <v>154</v>
      </c>
      <c r="E250" s="199">
        <v>28</v>
      </c>
      <c r="F250" s="203">
        <v>9</v>
      </c>
      <c r="G250" s="203">
        <v>22</v>
      </c>
      <c r="H250" s="203">
        <v>0</v>
      </c>
      <c r="I250" s="203">
        <v>0</v>
      </c>
      <c r="J250" s="234">
        <f t="shared" si="7"/>
        <v>0.16217498895271762</v>
      </c>
    </row>
    <row r="251" spans="1:10" ht="15.75" customHeight="1" x14ac:dyDescent="0.25">
      <c r="A251" s="201" t="s">
        <v>352</v>
      </c>
      <c r="B251" s="202" t="s">
        <v>678</v>
      </c>
      <c r="C251" s="199">
        <f t="shared" si="6"/>
        <v>251</v>
      </c>
      <c r="D251" s="199">
        <v>305</v>
      </c>
      <c r="E251" s="199">
        <v>336</v>
      </c>
      <c r="F251" s="203">
        <v>20</v>
      </c>
      <c r="G251" s="203">
        <v>11</v>
      </c>
      <c r="H251" s="203">
        <v>0</v>
      </c>
      <c r="I251" s="203">
        <v>1</v>
      </c>
      <c r="J251" s="234">
        <f t="shared" si="7"/>
        <v>0.1619266460450729</v>
      </c>
    </row>
    <row r="252" spans="1:10" ht="15.75" customHeight="1" x14ac:dyDescent="0.25">
      <c r="A252" s="201" t="s">
        <v>353</v>
      </c>
      <c r="B252" s="202" t="s">
        <v>669</v>
      </c>
      <c r="C252" s="199">
        <f t="shared" si="6"/>
        <v>263</v>
      </c>
      <c r="D252" s="199">
        <v>176</v>
      </c>
      <c r="E252" s="199">
        <v>137</v>
      </c>
      <c r="F252" s="203">
        <v>9</v>
      </c>
      <c r="G252" s="203">
        <v>20</v>
      </c>
      <c r="H252" s="203">
        <v>0</v>
      </c>
      <c r="I252" s="203">
        <v>1</v>
      </c>
      <c r="J252" s="234">
        <f t="shared" si="7"/>
        <v>0.15454322153991498</v>
      </c>
    </row>
    <row r="253" spans="1:10" ht="15.75" customHeight="1" x14ac:dyDescent="0.25">
      <c r="A253" s="201" t="s">
        <v>73</v>
      </c>
      <c r="B253" s="202" t="s">
        <v>675</v>
      </c>
      <c r="C253" s="199">
        <f t="shared" si="6"/>
        <v>259</v>
      </c>
      <c r="D253" s="199">
        <v>347</v>
      </c>
      <c r="E253" s="199">
        <v>359</v>
      </c>
      <c r="F253" s="203">
        <v>27</v>
      </c>
      <c r="G253" s="203">
        <v>4</v>
      </c>
      <c r="H253" s="203">
        <v>0</v>
      </c>
      <c r="I253" s="203">
        <v>0</v>
      </c>
      <c r="J253" s="234">
        <f t="shared" si="7"/>
        <v>0.1575377817057004</v>
      </c>
    </row>
    <row r="254" spans="1:10" ht="15.75" customHeight="1" x14ac:dyDescent="0.25">
      <c r="A254" s="201" t="s">
        <v>333</v>
      </c>
      <c r="B254" s="202" t="s">
        <v>674</v>
      </c>
      <c r="C254" s="199">
        <f t="shared" si="6"/>
        <v>253</v>
      </c>
      <c r="D254" s="199">
        <v>287</v>
      </c>
      <c r="E254" s="199">
        <v>118</v>
      </c>
      <c r="F254" s="203">
        <v>15</v>
      </c>
      <c r="G254" s="203">
        <v>16</v>
      </c>
      <c r="H254" s="203">
        <v>0</v>
      </c>
      <c r="I254" s="203">
        <v>3</v>
      </c>
      <c r="J254" s="234">
        <f t="shared" si="7"/>
        <v>0.16081749889527175</v>
      </c>
    </row>
    <row r="255" spans="1:10" ht="15.75" customHeight="1" x14ac:dyDescent="0.25">
      <c r="A255" s="201" t="s">
        <v>331</v>
      </c>
      <c r="B255" s="202" t="s">
        <v>684</v>
      </c>
      <c r="C255" s="199">
        <f t="shared" si="6"/>
        <v>254</v>
      </c>
      <c r="D255" s="199">
        <v>328</v>
      </c>
      <c r="E255" s="199">
        <v>148</v>
      </c>
      <c r="F255" s="203">
        <v>19</v>
      </c>
      <c r="G255" s="203">
        <v>12</v>
      </c>
      <c r="H255" s="203">
        <v>0</v>
      </c>
      <c r="I255" s="203">
        <v>2</v>
      </c>
      <c r="J255" s="234">
        <f t="shared" si="7"/>
        <v>0.16061422889969068</v>
      </c>
    </row>
    <row r="256" spans="1:10" ht="15.75" customHeight="1" x14ac:dyDescent="0.25">
      <c r="A256" s="201" t="s">
        <v>280</v>
      </c>
      <c r="B256" s="202" t="s">
        <v>678</v>
      </c>
      <c r="C256" s="199">
        <f t="shared" si="6"/>
        <v>255</v>
      </c>
      <c r="D256" s="199">
        <v>222</v>
      </c>
      <c r="E256" s="199">
        <v>207</v>
      </c>
      <c r="F256" s="203">
        <v>12</v>
      </c>
      <c r="G256" s="203">
        <v>19</v>
      </c>
      <c r="H256" s="203">
        <v>0</v>
      </c>
      <c r="I256" s="203">
        <v>1</v>
      </c>
      <c r="J256" s="234">
        <f t="shared" si="7"/>
        <v>0.15876270437472378</v>
      </c>
    </row>
    <row r="257" spans="1:10" ht="15.75" customHeight="1" x14ac:dyDescent="0.25">
      <c r="A257" s="201" t="s">
        <v>410</v>
      </c>
      <c r="B257" s="202" t="s">
        <v>680</v>
      </c>
      <c r="C257" s="199">
        <f t="shared" si="6"/>
        <v>249</v>
      </c>
      <c r="D257" s="199">
        <v>254</v>
      </c>
      <c r="E257" s="199">
        <v>158</v>
      </c>
      <c r="F257" s="203">
        <v>14</v>
      </c>
      <c r="G257" s="203">
        <v>18</v>
      </c>
      <c r="H257" s="203">
        <v>0</v>
      </c>
      <c r="I257" s="203">
        <v>1</v>
      </c>
      <c r="J257" s="234">
        <f t="shared" si="7"/>
        <v>0.16324143835616439</v>
      </c>
    </row>
    <row r="258" spans="1:10" ht="15.75" customHeight="1" x14ac:dyDescent="0.25">
      <c r="A258" s="201" t="s">
        <v>305</v>
      </c>
      <c r="B258" s="202" t="s">
        <v>671</v>
      </c>
      <c r="C258" s="199">
        <f t="shared" ref="C258:C321" si="8">RANK(J258,J$2:J$366,0)</f>
        <v>258</v>
      </c>
      <c r="D258" s="199">
        <v>187</v>
      </c>
      <c r="E258" s="199">
        <v>165</v>
      </c>
      <c r="F258" s="203">
        <v>11</v>
      </c>
      <c r="G258" s="203">
        <v>22</v>
      </c>
      <c r="H258" s="203">
        <v>0</v>
      </c>
      <c r="I258" s="203">
        <v>1</v>
      </c>
      <c r="J258" s="234">
        <f t="shared" ref="J258:J321" si="9">0.35*(F258/(F258+G258))*((366-D258)/(366-1))+0.3*(F258/(F258+G258))*(0.7*((366-D258)/(366-1))+0.3*((366-E258)/(366-1)))+0.2*IF((H258+I258)&gt;0,H258/(H258+I258),0)*(H258+I258)/(F258+G258)+0.15*(F258/(F258+G258))</f>
        <v>0.15806392694063925</v>
      </c>
    </row>
    <row r="259" spans="1:10" ht="15.75" customHeight="1" x14ac:dyDescent="0.25">
      <c r="A259" s="201" t="s">
        <v>287</v>
      </c>
      <c r="B259" s="202" t="s">
        <v>677</v>
      </c>
      <c r="C259" s="199">
        <f t="shared" si="8"/>
        <v>272</v>
      </c>
      <c r="D259" s="199">
        <v>245</v>
      </c>
      <c r="E259" s="199">
        <v>123</v>
      </c>
      <c r="F259" s="203">
        <v>12</v>
      </c>
      <c r="G259" s="203">
        <v>20</v>
      </c>
      <c r="H259" s="203">
        <v>0</v>
      </c>
      <c r="I259" s="203">
        <v>2</v>
      </c>
      <c r="J259" s="234">
        <f t="shared" si="9"/>
        <v>0.14833561643835613</v>
      </c>
    </row>
    <row r="260" spans="1:10" ht="15.75" customHeight="1" x14ac:dyDescent="0.25">
      <c r="A260" s="201" t="s">
        <v>278</v>
      </c>
      <c r="B260" s="202" t="s">
        <v>667</v>
      </c>
      <c r="C260" s="199">
        <f t="shared" si="8"/>
        <v>257</v>
      </c>
      <c r="D260" s="199">
        <v>212</v>
      </c>
      <c r="E260" s="199">
        <v>276</v>
      </c>
      <c r="F260" s="203">
        <v>12</v>
      </c>
      <c r="G260" s="203">
        <v>19</v>
      </c>
      <c r="H260" s="203">
        <v>0</v>
      </c>
      <c r="I260" s="203">
        <v>1</v>
      </c>
      <c r="J260" s="234">
        <f t="shared" si="9"/>
        <v>0.15811577551922223</v>
      </c>
    </row>
    <row r="261" spans="1:10" ht="15.75" customHeight="1" x14ac:dyDescent="0.25">
      <c r="A261" s="201" t="s">
        <v>307</v>
      </c>
      <c r="B261" s="202" t="s">
        <v>662</v>
      </c>
      <c r="C261" s="199">
        <f t="shared" si="8"/>
        <v>267</v>
      </c>
      <c r="D261" s="199">
        <v>92</v>
      </c>
      <c r="E261" s="199">
        <v>182</v>
      </c>
      <c r="F261" s="203">
        <v>7</v>
      </c>
      <c r="G261" s="203">
        <v>23</v>
      </c>
      <c r="H261" s="203">
        <v>1</v>
      </c>
      <c r="I261" s="203">
        <v>3</v>
      </c>
      <c r="J261" s="234">
        <f t="shared" si="9"/>
        <v>0.15034246575342464</v>
      </c>
    </row>
    <row r="262" spans="1:10" ht="15.75" customHeight="1" x14ac:dyDescent="0.25">
      <c r="A262" s="201" t="s">
        <v>365</v>
      </c>
      <c r="B262" s="202" t="s">
        <v>680</v>
      </c>
      <c r="C262" s="199">
        <f t="shared" si="8"/>
        <v>262</v>
      </c>
      <c r="D262" s="199">
        <v>278</v>
      </c>
      <c r="E262" s="199">
        <v>223</v>
      </c>
      <c r="F262" s="203">
        <v>15</v>
      </c>
      <c r="G262" s="203">
        <v>16</v>
      </c>
      <c r="H262" s="203">
        <v>0</v>
      </c>
      <c r="I262" s="203">
        <v>0</v>
      </c>
      <c r="J262" s="234">
        <f t="shared" si="9"/>
        <v>0.15497127706584179</v>
      </c>
    </row>
    <row r="263" spans="1:10" ht="15.75" customHeight="1" x14ac:dyDescent="0.25">
      <c r="A263" s="201" t="s">
        <v>372</v>
      </c>
      <c r="B263" s="202" t="s">
        <v>660</v>
      </c>
      <c r="C263" s="199">
        <f t="shared" si="8"/>
        <v>277</v>
      </c>
      <c r="D263" s="199">
        <v>134</v>
      </c>
      <c r="E263" s="199">
        <v>333</v>
      </c>
      <c r="F263" s="203">
        <v>9</v>
      </c>
      <c r="G263" s="203">
        <v>23</v>
      </c>
      <c r="H263" s="203">
        <v>0</v>
      </c>
      <c r="I263" s="203">
        <v>6</v>
      </c>
      <c r="J263" s="234">
        <f t="shared" si="9"/>
        <v>0.14458561643835616</v>
      </c>
    </row>
    <row r="264" spans="1:10" ht="15.75" customHeight="1" x14ac:dyDescent="0.25">
      <c r="A264" s="201" t="s">
        <v>420</v>
      </c>
      <c r="B264" s="202" t="s">
        <v>677</v>
      </c>
      <c r="C264" s="199">
        <f t="shared" si="8"/>
        <v>256</v>
      </c>
      <c r="D264" s="199">
        <v>229</v>
      </c>
      <c r="E264" s="199">
        <v>111</v>
      </c>
      <c r="F264" s="203">
        <v>12</v>
      </c>
      <c r="G264" s="203">
        <v>20</v>
      </c>
      <c r="H264" s="203">
        <v>0</v>
      </c>
      <c r="I264" s="203">
        <v>2</v>
      </c>
      <c r="J264" s="234">
        <f t="shared" si="9"/>
        <v>0.15865068493150683</v>
      </c>
    </row>
    <row r="265" spans="1:10" ht="15.75" customHeight="1" x14ac:dyDescent="0.25">
      <c r="A265" s="201" t="s">
        <v>376</v>
      </c>
      <c r="B265" s="202" t="s">
        <v>675</v>
      </c>
      <c r="C265" s="199">
        <f t="shared" si="8"/>
        <v>265</v>
      </c>
      <c r="D265" s="199">
        <v>259</v>
      </c>
      <c r="E265" s="199">
        <v>280</v>
      </c>
      <c r="F265" s="203">
        <v>14</v>
      </c>
      <c r="G265" s="203">
        <v>17</v>
      </c>
      <c r="H265" s="203">
        <v>0</v>
      </c>
      <c r="I265" s="203">
        <v>1</v>
      </c>
      <c r="J265" s="234">
        <f t="shared" si="9"/>
        <v>0.15145735749005743</v>
      </c>
    </row>
    <row r="266" spans="1:10" ht="15.75" customHeight="1" x14ac:dyDescent="0.25">
      <c r="A266" s="201" t="s">
        <v>418</v>
      </c>
      <c r="B266" s="202" t="s">
        <v>680</v>
      </c>
      <c r="C266" s="199">
        <f t="shared" si="8"/>
        <v>260</v>
      </c>
      <c r="D266" s="199">
        <v>336</v>
      </c>
      <c r="E266" s="199">
        <v>320</v>
      </c>
      <c r="F266" s="203">
        <v>24</v>
      </c>
      <c r="G266" s="203">
        <v>8</v>
      </c>
      <c r="H266" s="203">
        <v>0</v>
      </c>
      <c r="I266" s="203">
        <v>1</v>
      </c>
      <c r="J266" s="234">
        <f t="shared" si="9"/>
        <v>0.15552739726027395</v>
      </c>
    </row>
    <row r="267" spans="1:10" ht="15.75" customHeight="1" x14ac:dyDescent="0.25">
      <c r="A267" s="201" t="s">
        <v>345</v>
      </c>
      <c r="B267" s="202" t="s">
        <v>668</v>
      </c>
      <c r="C267" s="199">
        <f t="shared" si="8"/>
        <v>270</v>
      </c>
      <c r="D267" s="199">
        <v>211</v>
      </c>
      <c r="E267" s="199">
        <v>346</v>
      </c>
      <c r="F267" s="203">
        <v>11</v>
      </c>
      <c r="G267" s="203">
        <v>18</v>
      </c>
      <c r="H267" s="203">
        <v>0</v>
      </c>
      <c r="I267" s="203">
        <v>0</v>
      </c>
      <c r="J267" s="234">
        <f t="shared" si="9"/>
        <v>0.14897024090694377</v>
      </c>
    </row>
    <row r="268" spans="1:10" ht="15.75" customHeight="1" x14ac:dyDescent="0.25">
      <c r="A268" s="201" t="s">
        <v>239</v>
      </c>
      <c r="B268" s="202" t="s">
        <v>666</v>
      </c>
      <c r="C268" s="199">
        <f t="shared" si="8"/>
        <v>252</v>
      </c>
      <c r="D268" s="199">
        <v>156</v>
      </c>
      <c r="E268" s="199">
        <v>318</v>
      </c>
      <c r="F268" s="203">
        <v>10</v>
      </c>
      <c r="G268" s="203">
        <v>20</v>
      </c>
      <c r="H268" s="203">
        <v>0</v>
      </c>
      <c r="I268" s="203">
        <v>1</v>
      </c>
      <c r="J268" s="234">
        <f t="shared" si="9"/>
        <v>0.16134246575342462</v>
      </c>
    </row>
    <row r="269" spans="1:10" ht="15.75" customHeight="1" x14ac:dyDescent="0.25">
      <c r="A269" s="201" t="s">
        <v>249</v>
      </c>
      <c r="B269" s="202" t="s">
        <v>677</v>
      </c>
      <c r="C269" s="199">
        <f t="shared" si="8"/>
        <v>284</v>
      </c>
      <c r="D269" s="199">
        <v>242</v>
      </c>
      <c r="E269" s="199">
        <v>130</v>
      </c>
      <c r="F269" s="203">
        <v>11</v>
      </c>
      <c r="G269" s="203">
        <v>21</v>
      </c>
      <c r="H269" s="203">
        <v>0</v>
      </c>
      <c r="I269" s="203">
        <v>1</v>
      </c>
      <c r="J269" s="234">
        <f t="shared" si="9"/>
        <v>0.13696318493150683</v>
      </c>
    </row>
    <row r="270" spans="1:10" ht="15.75" customHeight="1" x14ac:dyDescent="0.25">
      <c r="A270" s="201" t="s">
        <v>445</v>
      </c>
      <c r="B270" s="202" t="s">
        <v>676</v>
      </c>
      <c r="C270" s="199">
        <f t="shared" si="8"/>
        <v>266</v>
      </c>
      <c r="D270" s="199">
        <v>252</v>
      </c>
      <c r="E270" s="199">
        <v>226</v>
      </c>
      <c r="F270" s="203">
        <v>13</v>
      </c>
      <c r="G270" s="203">
        <v>18</v>
      </c>
      <c r="H270" s="203">
        <v>0</v>
      </c>
      <c r="I270" s="203">
        <v>1</v>
      </c>
      <c r="J270" s="234">
        <f t="shared" si="9"/>
        <v>0.15072646928855499</v>
      </c>
    </row>
    <row r="271" spans="1:10" ht="15.75" customHeight="1" x14ac:dyDescent="0.25">
      <c r="A271" s="201" t="s">
        <v>186</v>
      </c>
      <c r="B271" s="202" t="s">
        <v>679</v>
      </c>
      <c r="C271" s="199">
        <f t="shared" si="8"/>
        <v>297</v>
      </c>
      <c r="D271" s="199">
        <v>264</v>
      </c>
      <c r="E271" s="199">
        <v>17</v>
      </c>
      <c r="F271" s="203">
        <v>10</v>
      </c>
      <c r="G271" s="203">
        <v>21</v>
      </c>
      <c r="H271" s="203">
        <v>0</v>
      </c>
      <c r="I271" s="203">
        <v>2</v>
      </c>
      <c r="J271" s="234">
        <f t="shared" si="9"/>
        <v>0.12662836942112238</v>
      </c>
    </row>
    <row r="272" spans="1:10" ht="15.75" customHeight="1" x14ac:dyDescent="0.25">
      <c r="A272" s="201" t="s">
        <v>303</v>
      </c>
      <c r="B272" s="202" t="s">
        <v>673</v>
      </c>
      <c r="C272" s="199">
        <f t="shared" si="8"/>
        <v>280</v>
      </c>
      <c r="D272" s="199">
        <v>180</v>
      </c>
      <c r="E272" s="199">
        <v>152</v>
      </c>
      <c r="F272" s="203">
        <v>9</v>
      </c>
      <c r="G272" s="203">
        <v>22</v>
      </c>
      <c r="H272" s="203">
        <v>0</v>
      </c>
      <c r="I272" s="203">
        <v>1</v>
      </c>
      <c r="J272" s="234">
        <f t="shared" si="9"/>
        <v>0.14171718957136542</v>
      </c>
    </row>
    <row r="273" spans="1:10" ht="15.75" customHeight="1" x14ac:dyDescent="0.25">
      <c r="A273" s="201" t="s">
        <v>404</v>
      </c>
      <c r="B273" s="202" t="s">
        <v>674</v>
      </c>
      <c r="C273" s="199">
        <f t="shared" si="8"/>
        <v>269</v>
      </c>
      <c r="D273" s="199">
        <v>332</v>
      </c>
      <c r="E273" s="199">
        <v>249</v>
      </c>
      <c r="F273" s="203">
        <v>20</v>
      </c>
      <c r="G273" s="203">
        <v>11</v>
      </c>
      <c r="H273" s="203">
        <v>0</v>
      </c>
      <c r="I273" s="203">
        <v>1</v>
      </c>
      <c r="J273" s="234">
        <f t="shared" si="9"/>
        <v>0.14904109589041095</v>
      </c>
    </row>
    <row r="274" spans="1:10" ht="15.75" customHeight="1" x14ac:dyDescent="0.25">
      <c r="A274" s="201" t="s">
        <v>285</v>
      </c>
      <c r="B274" s="202" t="s">
        <v>674</v>
      </c>
      <c r="C274" s="199">
        <f t="shared" si="8"/>
        <v>283</v>
      </c>
      <c r="D274" s="199">
        <v>327</v>
      </c>
      <c r="E274" s="199">
        <v>209</v>
      </c>
      <c r="F274" s="203">
        <v>18</v>
      </c>
      <c r="G274" s="203">
        <v>14</v>
      </c>
      <c r="H274" s="203">
        <v>0</v>
      </c>
      <c r="I274" s="203">
        <v>1</v>
      </c>
      <c r="J274" s="234">
        <f t="shared" si="9"/>
        <v>0.13980821917808217</v>
      </c>
    </row>
    <row r="275" spans="1:10" ht="15.75" customHeight="1" x14ac:dyDescent="0.25">
      <c r="A275" s="201" t="s">
        <v>269</v>
      </c>
      <c r="B275" s="202" t="s">
        <v>671</v>
      </c>
      <c r="C275" s="199">
        <f t="shared" si="8"/>
        <v>287</v>
      </c>
      <c r="D275" s="199">
        <v>210</v>
      </c>
      <c r="E275" s="199">
        <v>210</v>
      </c>
      <c r="F275" s="203">
        <v>10</v>
      </c>
      <c r="G275" s="203">
        <v>22</v>
      </c>
      <c r="H275" s="203">
        <v>0</v>
      </c>
      <c r="I275" s="203">
        <v>1</v>
      </c>
      <c r="J275" s="234">
        <f t="shared" si="9"/>
        <v>0.13369006849315068</v>
      </c>
    </row>
    <row r="276" spans="1:10" ht="15.75" customHeight="1" x14ac:dyDescent="0.25">
      <c r="A276" s="201" t="s">
        <v>408</v>
      </c>
      <c r="B276" s="202" t="s">
        <v>675</v>
      </c>
      <c r="C276" s="199">
        <f t="shared" si="8"/>
        <v>293</v>
      </c>
      <c r="D276" s="199">
        <v>266</v>
      </c>
      <c r="E276" s="199">
        <v>309</v>
      </c>
      <c r="F276" s="203">
        <v>13</v>
      </c>
      <c r="G276" s="203">
        <v>19</v>
      </c>
      <c r="H276" s="203">
        <v>0</v>
      </c>
      <c r="I276" s="203">
        <v>2</v>
      </c>
      <c r="J276" s="234">
        <f t="shared" si="9"/>
        <v>0.12897602739726027</v>
      </c>
    </row>
    <row r="277" spans="1:10" ht="15.75" customHeight="1" x14ac:dyDescent="0.25">
      <c r="A277" s="201" t="s">
        <v>355</v>
      </c>
      <c r="B277" s="202" t="s">
        <v>672</v>
      </c>
      <c r="C277" s="199">
        <f t="shared" si="8"/>
        <v>245</v>
      </c>
      <c r="D277" s="199">
        <v>288</v>
      </c>
      <c r="E277" s="199">
        <v>330</v>
      </c>
      <c r="F277" s="203">
        <v>19</v>
      </c>
      <c r="G277" s="203">
        <v>13</v>
      </c>
      <c r="H277" s="203">
        <v>0</v>
      </c>
      <c r="I277" s="203">
        <v>1</v>
      </c>
      <c r="J277" s="234">
        <f t="shared" si="9"/>
        <v>0.16538784246575344</v>
      </c>
    </row>
    <row r="278" spans="1:10" ht="15.75" customHeight="1" x14ac:dyDescent="0.25">
      <c r="A278" s="201" t="s">
        <v>274</v>
      </c>
      <c r="B278" s="202" t="s">
        <v>668</v>
      </c>
      <c r="C278" s="199">
        <f t="shared" si="8"/>
        <v>268</v>
      </c>
      <c r="D278" s="199">
        <v>235</v>
      </c>
      <c r="E278" s="199">
        <v>344</v>
      </c>
      <c r="F278" s="203">
        <v>13</v>
      </c>
      <c r="G278" s="203">
        <v>18</v>
      </c>
      <c r="H278" s="203">
        <v>0</v>
      </c>
      <c r="I278" s="203">
        <v>1</v>
      </c>
      <c r="J278" s="234">
        <f t="shared" si="9"/>
        <v>0.14946266018559434</v>
      </c>
    </row>
    <row r="279" spans="1:10" ht="15.75" customHeight="1" x14ac:dyDescent="0.25">
      <c r="A279" s="201" t="s">
        <v>258</v>
      </c>
      <c r="B279" s="202" t="s">
        <v>677</v>
      </c>
      <c r="C279" s="199">
        <f t="shared" si="8"/>
        <v>281</v>
      </c>
      <c r="D279" s="199">
        <v>292</v>
      </c>
      <c r="E279" s="199">
        <v>215</v>
      </c>
      <c r="F279" s="203">
        <v>15</v>
      </c>
      <c r="G279" s="203">
        <v>17</v>
      </c>
      <c r="H279" s="203">
        <v>0</v>
      </c>
      <c r="I279" s="203">
        <v>1</v>
      </c>
      <c r="J279" s="234">
        <f t="shared" si="9"/>
        <v>0.1409845890410959</v>
      </c>
    </row>
    <row r="280" spans="1:10" ht="15.75" customHeight="1" x14ac:dyDescent="0.25">
      <c r="A280" s="201" t="s">
        <v>382</v>
      </c>
      <c r="B280" s="202" t="s">
        <v>675</v>
      </c>
      <c r="C280" s="199">
        <f t="shared" si="8"/>
        <v>271</v>
      </c>
      <c r="D280" s="199">
        <v>283</v>
      </c>
      <c r="E280" s="199">
        <v>325</v>
      </c>
      <c r="F280" s="203">
        <v>16</v>
      </c>
      <c r="G280" s="203">
        <v>15</v>
      </c>
      <c r="H280" s="203">
        <v>0</v>
      </c>
      <c r="I280" s="203">
        <v>2</v>
      </c>
      <c r="J280" s="234">
        <f t="shared" si="9"/>
        <v>0.148362350861688</v>
      </c>
    </row>
    <row r="281" spans="1:10" ht="15.75" customHeight="1" x14ac:dyDescent="0.25">
      <c r="A281" s="201" t="s">
        <v>188</v>
      </c>
      <c r="B281" s="202" t="s">
        <v>682</v>
      </c>
      <c r="C281" s="199">
        <f t="shared" si="8"/>
        <v>278</v>
      </c>
      <c r="D281" s="199">
        <v>308</v>
      </c>
      <c r="E281" s="199">
        <v>174</v>
      </c>
      <c r="F281" s="203">
        <v>16</v>
      </c>
      <c r="G281" s="203">
        <v>16</v>
      </c>
      <c r="H281" s="203">
        <v>0</v>
      </c>
      <c r="I281" s="203">
        <v>2</v>
      </c>
      <c r="J281" s="234">
        <f t="shared" si="9"/>
        <v>0.14316438356164382</v>
      </c>
    </row>
    <row r="282" spans="1:10" ht="15.75" customHeight="1" x14ac:dyDescent="0.25">
      <c r="A282" s="201" t="s">
        <v>347</v>
      </c>
      <c r="B282" s="202" t="s">
        <v>680</v>
      </c>
      <c r="C282" s="199">
        <f t="shared" si="8"/>
        <v>275</v>
      </c>
      <c r="D282" s="199">
        <v>290</v>
      </c>
      <c r="E282" s="199">
        <v>270</v>
      </c>
      <c r="F282" s="203">
        <v>16</v>
      </c>
      <c r="G282" s="203">
        <v>16</v>
      </c>
      <c r="H282" s="203">
        <v>0</v>
      </c>
      <c r="I282" s="203">
        <v>2</v>
      </c>
      <c r="J282" s="234">
        <f t="shared" si="9"/>
        <v>0.14513698630136984</v>
      </c>
    </row>
    <row r="283" spans="1:10" ht="15.75" customHeight="1" x14ac:dyDescent="0.25">
      <c r="A283" s="201" t="s">
        <v>226</v>
      </c>
      <c r="B283" s="202" t="s">
        <v>672</v>
      </c>
      <c r="C283" s="199">
        <f t="shared" si="8"/>
        <v>264</v>
      </c>
      <c r="D283" s="199">
        <v>199</v>
      </c>
      <c r="E283" s="199">
        <v>168</v>
      </c>
      <c r="F283" s="203">
        <v>11</v>
      </c>
      <c r="G283" s="203">
        <v>22</v>
      </c>
      <c r="H283" s="203">
        <v>0</v>
      </c>
      <c r="I283" s="203">
        <v>1</v>
      </c>
      <c r="J283" s="234">
        <f t="shared" si="9"/>
        <v>0.15168036529680362</v>
      </c>
    </row>
    <row r="284" spans="1:10" ht="15.75" customHeight="1" x14ac:dyDescent="0.25">
      <c r="A284" s="201" t="s">
        <v>429</v>
      </c>
      <c r="B284" s="202" t="s">
        <v>671</v>
      </c>
      <c r="C284" s="199">
        <f t="shared" si="8"/>
        <v>279</v>
      </c>
      <c r="D284" s="199">
        <v>314</v>
      </c>
      <c r="E284" s="199">
        <v>360</v>
      </c>
      <c r="F284" s="203">
        <v>19</v>
      </c>
      <c r="G284" s="203">
        <v>12</v>
      </c>
      <c r="H284" s="203">
        <v>0</v>
      </c>
      <c r="I284" s="203">
        <v>0</v>
      </c>
      <c r="J284" s="234">
        <f t="shared" si="9"/>
        <v>0.14174016791869198</v>
      </c>
    </row>
    <row r="285" spans="1:10" ht="15.75" customHeight="1" x14ac:dyDescent="0.25">
      <c r="A285" s="201" t="s">
        <v>197</v>
      </c>
      <c r="B285" s="202" t="s">
        <v>677</v>
      </c>
      <c r="C285" s="199">
        <f t="shared" si="8"/>
        <v>276</v>
      </c>
      <c r="D285" s="199">
        <v>268</v>
      </c>
      <c r="E285" s="199">
        <v>183</v>
      </c>
      <c r="F285" s="203">
        <v>13</v>
      </c>
      <c r="G285" s="203">
        <v>18</v>
      </c>
      <c r="H285" s="203">
        <v>0</v>
      </c>
      <c r="I285" s="203">
        <v>2</v>
      </c>
      <c r="J285" s="234">
        <f t="shared" si="9"/>
        <v>0.14487847989394609</v>
      </c>
    </row>
    <row r="286" spans="1:10" ht="15.75" customHeight="1" x14ac:dyDescent="0.25">
      <c r="A286" s="201" t="s">
        <v>477</v>
      </c>
      <c r="B286" s="202" t="s">
        <v>672</v>
      </c>
      <c r="C286" s="199">
        <f t="shared" si="8"/>
        <v>273</v>
      </c>
      <c r="D286" s="199">
        <v>273</v>
      </c>
      <c r="E286" s="199">
        <v>281</v>
      </c>
      <c r="F286" s="203">
        <v>15</v>
      </c>
      <c r="G286" s="203">
        <v>17</v>
      </c>
      <c r="H286" s="203">
        <v>0</v>
      </c>
      <c r="I286" s="203">
        <v>0</v>
      </c>
      <c r="J286" s="234">
        <f t="shared" si="9"/>
        <v>0.14702054794520547</v>
      </c>
    </row>
    <row r="287" spans="1:10" ht="15.75" customHeight="1" x14ac:dyDescent="0.25">
      <c r="A287" s="201" t="s">
        <v>411</v>
      </c>
      <c r="B287" s="202" t="s">
        <v>684</v>
      </c>
      <c r="C287" s="199">
        <f t="shared" si="8"/>
        <v>282</v>
      </c>
      <c r="D287" s="199">
        <v>341</v>
      </c>
      <c r="E287" s="199">
        <v>217</v>
      </c>
      <c r="F287" s="203">
        <v>20</v>
      </c>
      <c r="G287" s="203">
        <v>12</v>
      </c>
      <c r="H287" s="203">
        <v>0</v>
      </c>
      <c r="I287" s="203">
        <v>3</v>
      </c>
      <c r="J287" s="234">
        <f t="shared" si="9"/>
        <v>0.1406849315068493</v>
      </c>
    </row>
    <row r="288" spans="1:10" ht="15.75" customHeight="1" x14ac:dyDescent="0.25">
      <c r="A288" s="201" t="s">
        <v>253</v>
      </c>
      <c r="B288" s="202" t="s">
        <v>664</v>
      </c>
      <c r="C288" s="199">
        <f t="shared" si="8"/>
        <v>285</v>
      </c>
      <c r="D288" s="199">
        <v>100</v>
      </c>
      <c r="E288" s="199">
        <v>94</v>
      </c>
      <c r="F288" s="203">
        <v>7</v>
      </c>
      <c r="G288" s="203">
        <v>25</v>
      </c>
      <c r="H288" s="203">
        <v>0</v>
      </c>
      <c r="I288" s="203">
        <v>1</v>
      </c>
      <c r="J288" s="234">
        <f t="shared" si="9"/>
        <v>0.13675770547945204</v>
      </c>
    </row>
    <row r="289" spans="1:10" ht="15.75" customHeight="1" x14ac:dyDescent="0.25">
      <c r="A289" s="201" t="s">
        <v>187</v>
      </c>
      <c r="B289" s="202" t="s">
        <v>679</v>
      </c>
      <c r="C289" s="199">
        <f t="shared" si="8"/>
        <v>286</v>
      </c>
      <c r="D289" s="199">
        <v>190</v>
      </c>
      <c r="E289" s="199">
        <v>2</v>
      </c>
      <c r="F289" s="203">
        <v>8</v>
      </c>
      <c r="G289" s="203">
        <v>22</v>
      </c>
      <c r="H289" s="203">
        <v>0</v>
      </c>
      <c r="I289" s="203">
        <v>3</v>
      </c>
      <c r="J289" s="234">
        <f t="shared" si="9"/>
        <v>0.13594155251141551</v>
      </c>
    </row>
    <row r="290" spans="1:10" ht="15.75" customHeight="1" x14ac:dyDescent="0.25">
      <c r="A290" s="201" t="s">
        <v>465</v>
      </c>
      <c r="B290" s="202" t="s">
        <v>677</v>
      </c>
      <c r="C290" s="199">
        <f t="shared" si="8"/>
        <v>291</v>
      </c>
      <c r="D290" s="199">
        <v>309</v>
      </c>
      <c r="E290" s="199">
        <v>233</v>
      </c>
      <c r="F290" s="203">
        <v>15</v>
      </c>
      <c r="G290" s="203">
        <v>16</v>
      </c>
      <c r="H290" s="203">
        <v>0</v>
      </c>
      <c r="I290" s="203">
        <v>3</v>
      </c>
      <c r="J290" s="234">
        <f t="shared" si="9"/>
        <v>0.13076447193990279</v>
      </c>
    </row>
    <row r="291" spans="1:10" ht="15.75" customHeight="1" x14ac:dyDescent="0.25">
      <c r="A291" s="201" t="s">
        <v>299</v>
      </c>
      <c r="B291" s="202" t="s">
        <v>682</v>
      </c>
      <c r="C291" s="199">
        <f t="shared" si="8"/>
        <v>295</v>
      </c>
      <c r="D291" s="199">
        <v>318</v>
      </c>
      <c r="E291" s="199">
        <v>235</v>
      </c>
      <c r="F291" s="203">
        <v>16</v>
      </c>
      <c r="G291" s="203">
        <v>16</v>
      </c>
      <c r="H291" s="203">
        <v>0</v>
      </c>
      <c r="I291" s="203">
        <v>2</v>
      </c>
      <c r="J291" s="234">
        <f t="shared" si="9"/>
        <v>0.12797260273972602</v>
      </c>
    </row>
    <row r="292" spans="1:10" ht="15.75" customHeight="1" x14ac:dyDescent="0.25">
      <c r="A292" s="201" t="s">
        <v>34</v>
      </c>
      <c r="B292" s="202" t="s">
        <v>682</v>
      </c>
      <c r="C292" s="199">
        <f t="shared" si="8"/>
        <v>292</v>
      </c>
      <c r="D292" s="199">
        <v>361</v>
      </c>
      <c r="E292" s="199">
        <v>354</v>
      </c>
      <c r="F292" s="203">
        <v>26</v>
      </c>
      <c r="G292" s="203">
        <v>6</v>
      </c>
      <c r="H292" s="203">
        <v>0</v>
      </c>
      <c r="I292" s="203">
        <v>1</v>
      </c>
      <c r="J292" s="234">
        <f t="shared" si="9"/>
        <v>0.13051198630136987</v>
      </c>
    </row>
    <row r="293" spans="1:10" ht="15.75" customHeight="1" x14ac:dyDescent="0.25">
      <c r="A293" s="201" t="s">
        <v>428</v>
      </c>
      <c r="B293" s="202" t="s">
        <v>679</v>
      </c>
      <c r="C293" s="199">
        <f t="shared" si="8"/>
        <v>301</v>
      </c>
      <c r="D293" s="199">
        <v>325</v>
      </c>
      <c r="E293" s="199">
        <v>26</v>
      </c>
      <c r="F293" s="203">
        <v>12</v>
      </c>
      <c r="G293" s="203">
        <v>17</v>
      </c>
      <c r="H293" s="203">
        <v>0</v>
      </c>
      <c r="I293" s="203">
        <v>4</v>
      </c>
      <c r="J293" s="234">
        <f t="shared" si="9"/>
        <v>0.12278885214926782</v>
      </c>
    </row>
    <row r="294" spans="1:10" ht="15.75" customHeight="1" x14ac:dyDescent="0.25">
      <c r="A294" s="201" t="s">
        <v>297</v>
      </c>
      <c r="B294" s="202" t="s">
        <v>667</v>
      </c>
      <c r="C294" s="199">
        <f t="shared" si="8"/>
        <v>288</v>
      </c>
      <c r="D294" s="199">
        <v>249</v>
      </c>
      <c r="E294" s="199">
        <v>304</v>
      </c>
      <c r="F294" s="203">
        <v>12</v>
      </c>
      <c r="G294" s="203">
        <v>19</v>
      </c>
      <c r="H294" s="203">
        <v>0</v>
      </c>
      <c r="I294" s="203">
        <v>1</v>
      </c>
      <c r="J294" s="234">
        <f t="shared" si="9"/>
        <v>0.13346884666372072</v>
      </c>
    </row>
    <row r="295" spans="1:10" ht="15.75" customHeight="1" x14ac:dyDescent="0.25">
      <c r="A295" s="201" t="s">
        <v>221</v>
      </c>
      <c r="B295" s="202" t="s">
        <v>675</v>
      </c>
      <c r="C295" s="199">
        <f t="shared" si="8"/>
        <v>294</v>
      </c>
      <c r="D295" s="199">
        <v>294</v>
      </c>
      <c r="E295" s="199">
        <v>342</v>
      </c>
      <c r="F295" s="203">
        <v>15</v>
      </c>
      <c r="G295" s="203">
        <v>16</v>
      </c>
      <c r="H295" s="203">
        <v>0</v>
      </c>
      <c r="I295" s="203">
        <v>0</v>
      </c>
      <c r="J295" s="234">
        <f t="shared" si="9"/>
        <v>0.12889527176314627</v>
      </c>
    </row>
    <row r="296" spans="1:10" ht="15.75" customHeight="1" x14ac:dyDescent="0.25">
      <c r="A296" s="201" t="s">
        <v>256</v>
      </c>
      <c r="B296" s="202" t="s">
        <v>679</v>
      </c>
      <c r="C296" s="199">
        <f t="shared" si="8"/>
        <v>289</v>
      </c>
      <c r="D296" s="199">
        <v>333</v>
      </c>
      <c r="E296" s="199">
        <v>59</v>
      </c>
      <c r="F296" s="203">
        <v>14</v>
      </c>
      <c r="G296" s="203">
        <v>15</v>
      </c>
      <c r="H296" s="203">
        <v>0</v>
      </c>
      <c r="I296" s="203">
        <v>2</v>
      </c>
      <c r="J296" s="234">
        <f t="shared" si="9"/>
        <v>0.1334000944733113</v>
      </c>
    </row>
    <row r="297" spans="1:10" ht="15.75" customHeight="1" x14ac:dyDescent="0.25">
      <c r="A297" s="201" t="s">
        <v>268</v>
      </c>
      <c r="B297" s="202" t="s">
        <v>671</v>
      </c>
      <c r="C297" s="199">
        <f t="shared" si="8"/>
        <v>274</v>
      </c>
      <c r="D297" s="199">
        <v>293</v>
      </c>
      <c r="E297" s="199">
        <v>340</v>
      </c>
      <c r="F297" s="203">
        <v>18</v>
      </c>
      <c r="G297" s="203">
        <v>15</v>
      </c>
      <c r="H297" s="203">
        <v>0</v>
      </c>
      <c r="I297" s="203">
        <v>0</v>
      </c>
      <c r="J297" s="234">
        <f t="shared" si="9"/>
        <v>0.14640597758405977</v>
      </c>
    </row>
    <row r="298" spans="1:10" ht="15.75" customHeight="1" x14ac:dyDescent="0.25">
      <c r="A298" s="201" t="s">
        <v>366</v>
      </c>
      <c r="B298" s="202" t="s">
        <v>680</v>
      </c>
      <c r="C298" s="199">
        <f t="shared" si="8"/>
        <v>290</v>
      </c>
      <c r="D298" s="199">
        <v>215</v>
      </c>
      <c r="E298" s="199">
        <v>131</v>
      </c>
      <c r="F298" s="203">
        <v>10</v>
      </c>
      <c r="G298" s="203">
        <v>23</v>
      </c>
      <c r="H298" s="203">
        <v>0</v>
      </c>
      <c r="I298" s="203">
        <v>2</v>
      </c>
      <c r="J298" s="234">
        <f t="shared" si="9"/>
        <v>0.13321710253217101</v>
      </c>
    </row>
    <row r="299" spans="1:10" ht="15.75" customHeight="1" x14ac:dyDescent="0.25">
      <c r="A299" s="201" t="s">
        <v>204</v>
      </c>
      <c r="B299" s="202" t="s">
        <v>665</v>
      </c>
      <c r="C299" s="199">
        <f t="shared" si="8"/>
        <v>302</v>
      </c>
      <c r="D299" s="199">
        <v>236</v>
      </c>
      <c r="E299" s="199">
        <v>349</v>
      </c>
      <c r="F299" s="203">
        <v>9</v>
      </c>
      <c r="G299" s="203">
        <v>17</v>
      </c>
      <c r="H299" s="203">
        <v>0</v>
      </c>
      <c r="I299" s="203">
        <v>0</v>
      </c>
      <c r="J299" s="234">
        <f t="shared" si="9"/>
        <v>0.12241517386722864</v>
      </c>
    </row>
    <row r="300" spans="1:10" ht="15.75" customHeight="1" x14ac:dyDescent="0.25">
      <c r="A300" s="201" t="s">
        <v>458</v>
      </c>
      <c r="B300" s="202" t="s">
        <v>683</v>
      </c>
      <c r="C300" s="199">
        <f t="shared" si="8"/>
        <v>300</v>
      </c>
      <c r="D300" s="199">
        <v>355</v>
      </c>
      <c r="E300" s="199">
        <v>265</v>
      </c>
      <c r="F300" s="203">
        <v>20</v>
      </c>
      <c r="G300" s="203">
        <v>11</v>
      </c>
      <c r="H300" s="203">
        <v>0</v>
      </c>
      <c r="I300" s="203">
        <v>0</v>
      </c>
      <c r="J300" s="234">
        <f t="shared" si="9"/>
        <v>0.1237295625276182</v>
      </c>
    </row>
    <row r="301" spans="1:10" ht="15.75" customHeight="1" x14ac:dyDescent="0.25">
      <c r="A301" s="201" t="s">
        <v>302</v>
      </c>
      <c r="B301" s="202" t="s">
        <v>684</v>
      </c>
      <c r="C301" s="199">
        <f t="shared" si="8"/>
        <v>312</v>
      </c>
      <c r="D301" s="199">
        <v>310</v>
      </c>
      <c r="E301" s="199">
        <v>92</v>
      </c>
      <c r="F301" s="203">
        <v>12</v>
      </c>
      <c r="G301" s="203">
        <v>20</v>
      </c>
      <c r="H301" s="203">
        <v>0</v>
      </c>
      <c r="I301" s="203">
        <v>1</v>
      </c>
      <c r="J301" s="234">
        <f t="shared" si="9"/>
        <v>0.11380479452054792</v>
      </c>
    </row>
    <row r="302" spans="1:10" ht="15.75" customHeight="1" x14ac:dyDescent="0.25">
      <c r="A302" s="201" t="s">
        <v>206</v>
      </c>
      <c r="B302" s="202" t="s">
        <v>682</v>
      </c>
      <c r="C302" s="199">
        <f t="shared" si="8"/>
        <v>296</v>
      </c>
      <c r="D302" s="199">
        <v>238</v>
      </c>
      <c r="E302" s="199">
        <v>75</v>
      </c>
      <c r="F302" s="203">
        <v>10</v>
      </c>
      <c r="G302" s="203">
        <v>23</v>
      </c>
      <c r="H302" s="203">
        <v>0</v>
      </c>
      <c r="I302" s="203">
        <v>2</v>
      </c>
      <c r="J302" s="234">
        <f t="shared" si="9"/>
        <v>0.12670817766708178</v>
      </c>
    </row>
    <row r="303" spans="1:10" ht="15.75" customHeight="1" x14ac:dyDescent="0.25">
      <c r="A303" s="201" t="s">
        <v>449</v>
      </c>
      <c r="B303" s="202" t="s">
        <v>684</v>
      </c>
      <c r="C303" s="199">
        <f t="shared" si="8"/>
        <v>305</v>
      </c>
      <c r="D303" s="199">
        <v>358</v>
      </c>
      <c r="E303" s="199">
        <v>321</v>
      </c>
      <c r="F303" s="203">
        <v>22</v>
      </c>
      <c r="G303" s="203">
        <v>10</v>
      </c>
      <c r="H303" s="203">
        <v>0</v>
      </c>
      <c r="I303" s="203">
        <v>0</v>
      </c>
      <c r="J303" s="234">
        <f t="shared" si="9"/>
        <v>0.11919178082191779</v>
      </c>
    </row>
    <row r="304" spans="1:10" ht="15.75" customHeight="1" x14ac:dyDescent="0.25">
      <c r="A304" s="201" t="s">
        <v>350</v>
      </c>
      <c r="B304" s="202" t="s">
        <v>668</v>
      </c>
      <c r="C304" s="199">
        <f t="shared" si="8"/>
        <v>308</v>
      </c>
      <c r="D304" s="199">
        <v>143</v>
      </c>
      <c r="E304" s="199">
        <v>80</v>
      </c>
      <c r="F304" s="203">
        <v>6</v>
      </c>
      <c r="G304" s="203">
        <v>23</v>
      </c>
      <c r="H304" s="203">
        <v>0</v>
      </c>
      <c r="I304" s="203">
        <v>0</v>
      </c>
      <c r="J304" s="234">
        <f t="shared" si="9"/>
        <v>0.11641190363722248</v>
      </c>
    </row>
    <row r="305" spans="1:10" ht="15.75" customHeight="1" x14ac:dyDescent="0.25">
      <c r="A305" s="201" t="s">
        <v>346</v>
      </c>
      <c r="B305" s="202" t="s">
        <v>685</v>
      </c>
      <c r="C305" s="199">
        <f t="shared" si="8"/>
        <v>315</v>
      </c>
      <c r="D305" s="199">
        <v>331</v>
      </c>
      <c r="E305" s="199">
        <v>88</v>
      </c>
      <c r="F305" s="203">
        <v>12</v>
      </c>
      <c r="G305" s="203">
        <v>17</v>
      </c>
      <c r="H305" s="203">
        <v>0</v>
      </c>
      <c r="I305" s="203">
        <v>4</v>
      </c>
      <c r="J305" s="234">
        <f t="shared" si="9"/>
        <v>0.11265375531412375</v>
      </c>
    </row>
    <row r="306" spans="1:10" ht="15.75" customHeight="1" x14ac:dyDescent="0.25">
      <c r="A306" s="201" t="s">
        <v>210</v>
      </c>
      <c r="B306" s="202" t="s">
        <v>673</v>
      </c>
      <c r="C306" s="199">
        <f t="shared" si="8"/>
        <v>310</v>
      </c>
      <c r="D306" s="199">
        <v>193</v>
      </c>
      <c r="E306" s="199">
        <v>251</v>
      </c>
      <c r="F306" s="203">
        <v>8</v>
      </c>
      <c r="G306" s="203">
        <v>23</v>
      </c>
      <c r="H306" s="203">
        <v>0</v>
      </c>
      <c r="I306" s="203">
        <v>0</v>
      </c>
      <c r="J306" s="234">
        <f t="shared" si="9"/>
        <v>0.11452408307556339</v>
      </c>
    </row>
    <row r="307" spans="1:10" ht="15.75" customHeight="1" x14ac:dyDescent="0.25">
      <c r="A307" s="201" t="s">
        <v>195</v>
      </c>
      <c r="B307" s="202" t="s">
        <v>669</v>
      </c>
      <c r="C307" s="199">
        <f t="shared" si="8"/>
        <v>298</v>
      </c>
      <c r="D307" s="199">
        <v>244</v>
      </c>
      <c r="E307" s="199">
        <v>351</v>
      </c>
      <c r="F307" s="203">
        <v>11</v>
      </c>
      <c r="G307" s="203">
        <v>19</v>
      </c>
      <c r="H307" s="203">
        <v>0</v>
      </c>
      <c r="I307" s="203">
        <v>1</v>
      </c>
      <c r="J307" s="234">
        <f t="shared" si="9"/>
        <v>0.12498812785388128</v>
      </c>
    </row>
    <row r="308" spans="1:10" ht="15.75" customHeight="1" x14ac:dyDescent="0.25">
      <c r="A308" s="201" t="s">
        <v>14</v>
      </c>
      <c r="B308" s="202" t="s">
        <v>683</v>
      </c>
      <c r="C308" s="199">
        <f t="shared" si="8"/>
        <v>304</v>
      </c>
      <c r="D308" s="199">
        <v>363</v>
      </c>
      <c r="E308" s="199">
        <v>323</v>
      </c>
      <c r="F308" s="203">
        <v>21</v>
      </c>
      <c r="G308" s="203">
        <v>8</v>
      </c>
      <c r="H308" s="203">
        <v>0</v>
      </c>
      <c r="I308" s="203">
        <v>0</v>
      </c>
      <c r="J308" s="234">
        <f t="shared" si="9"/>
        <v>0.1196315540859707</v>
      </c>
    </row>
    <row r="309" spans="1:10" ht="15.75" customHeight="1" x14ac:dyDescent="0.25">
      <c r="A309" s="201" t="s">
        <v>321</v>
      </c>
      <c r="B309" s="202" t="s">
        <v>681</v>
      </c>
      <c r="C309" s="199">
        <f t="shared" si="8"/>
        <v>311</v>
      </c>
      <c r="D309" s="199">
        <v>343</v>
      </c>
      <c r="E309" s="199">
        <v>190</v>
      </c>
      <c r="F309" s="203">
        <v>16</v>
      </c>
      <c r="G309" s="203">
        <v>16</v>
      </c>
      <c r="H309" s="203">
        <v>0</v>
      </c>
      <c r="I309" s="203">
        <v>1</v>
      </c>
      <c r="J309" s="234">
        <f t="shared" si="9"/>
        <v>0.11434246575342466</v>
      </c>
    </row>
    <row r="310" spans="1:10" ht="15.75" customHeight="1" x14ac:dyDescent="0.25">
      <c r="A310" s="201" t="s">
        <v>409</v>
      </c>
      <c r="B310" s="202" t="s">
        <v>680</v>
      </c>
      <c r="C310" s="199">
        <f t="shared" si="8"/>
        <v>303</v>
      </c>
      <c r="D310" s="199">
        <v>317</v>
      </c>
      <c r="E310" s="199">
        <v>328</v>
      </c>
      <c r="F310" s="203">
        <v>16</v>
      </c>
      <c r="G310" s="203">
        <v>15</v>
      </c>
      <c r="H310" s="203">
        <v>0</v>
      </c>
      <c r="I310" s="203">
        <v>1</v>
      </c>
      <c r="J310" s="234">
        <f t="shared" si="9"/>
        <v>0.12105700397702164</v>
      </c>
    </row>
    <row r="311" spans="1:10" ht="15.75" customHeight="1" x14ac:dyDescent="0.25">
      <c r="A311" s="201" t="s">
        <v>443</v>
      </c>
      <c r="B311" s="202" t="s">
        <v>683</v>
      </c>
      <c r="C311" s="199">
        <f t="shared" si="8"/>
        <v>299</v>
      </c>
      <c r="D311" s="199">
        <v>319</v>
      </c>
      <c r="E311" s="199">
        <v>153</v>
      </c>
      <c r="F311" s="203">
        <v>14</v>
      </c>
      <c r="G311" s="203">
        <v>17</v>
      </c>
      <c r="H311" s="203">
        <v>0</v>
      </c>
      <c r="I311" s="203">
        <v>2</v>
      </c>
      <c r="J311" s="234">
        <f t="shared" si="9"/>
        <v>0.12402651347768448</v>
      </c>
    </row>
    <row r="312" spans="1:10" ht="15.75" customHeight="1" x14ac:dyDescent="0.25">
      <c r="A312" s="201" t="s">
        <v>218</v>
      </c>
      <c r="B312" s="202" t="s">
        <v>681</v>
      </c>
      <c r="C312" s="199">
        <f t="shared" si="8"/>
        <v>322</v>
      </c>
      <c r="D312" s="199">
        <v>360</v>
      </c>
      <c r="E312" s="199">
        <v>287</v>
      </c>
      <c r="F312" s="203">
        <v>18</v>
      </c>
      <c r="G312" s="203">
        <v>12</v>
      </c>
      <c r="H312" s="203">
        <v>0</v>
      </c>
      <c r="I312" s="203">
        <v>0</v>
      </c>
      <c r="J312" s="234">
        <f t="shared" si="9"/>
        <v>0.10721095890410959</v>
      </c>
    </row>
    <row r="313" spans="1:10" ht="15.75" customHeight="1" x14ac:dyDescent="0.25">
      <c r="A313" s="201" t="s">
        <v>312</v>
      </c>
      <c r="B313" s="202" t="s">
        <v>674</v>
      </c>
      <c r="C313" s="199">
        <f t="shared" si="8"/>
        <v>307</v>
      </c>
      <c r="D313" s="199">
        <v>344</v>
      </c>
      <c r="E313" s="199">
        <v>343</v>
      </c>
      <c r="F313" s="203">
        <v>18</v>
      </c>
      <c r="G313" s="203">
        <v>11</v>
      </c>
      <c r="H313" s="203">
        <v>0</v>
      </c>
      <c r="I313" s="203">
        <v>0</v>
      </c>
      <c r="J313" s="234">
        <f t="shared" si="9"/>
        <v>0.11757392536608409</v>
      </c>
    </row>
    <row r="314" spans="1:10" ht="15.75" customHeight="1" x14ac:dyDescent="0.25">
      <c r="A314" s="201" t="s">
        <v>254</v>
      </c>
      <c r="B314" s="202" t="s">
        <v>674</v>
      </c>
      <c r="C314" s="199">
        <f t="shared" si="8"/>
        <v>309</v>
      </c>
      <c r="D314" s="199">
        <v>346</v>
      </c>
      <c r="E314" s="199">
        <v>352</v>
      </c>
      <c r="F314" s="203">
        <v>20</v>
      </c>
      <c r="G314" s="203">
        <v>12</v>
      </c>
      <c r="H314" s="203">
        <v>0</v>
      </c>
      <c r="I314" s="203">
        <v>0</v>
      </c>
      <c r="J314" s="234">
        <f t="shared" si="9"/>
        <v>0.11508561643835616</v>
      </c>
    </row>
    <row r="315" spans="1:10" ht="15.75" customHeight="1" x14ac:dyDescent="0.25">
      <c r="A315" s="201" t="s">
        <v>298</v>
      </c>
      <c r="B315" s="202" t="s">
        <v>681</v>
      </c>
      <c r="C315" s="199">
        <f t="shared" si="8"/>
        <v>327</v>
      </c>
      <c r="D315" s="199">
        <v>345</v>
      </c>
      <c r="E315" s="199">
        <v>200</v>
      </c>
      <c r="F315" s="203">
        <v>15</v>
      </c>
      <c r="G315" s="203">
        <v>17</v>
      </c>
      <c r="H315" s="203">
        <v>0</v>
      </c>
      <c r="I315" s="203">
        <v>1</v>
      </c>
      <c r="J315" s="234">
        <f t="shared" si="9"/>
        <v>0.10460188356164384</v>
      </c>
    </row>
    <row r="316" spans="1:10" ht="15.75" customHeight="1" x14ac:dyDescent="0.25">
      <c r="A316" s="201" t="s">
        <v>392</v>
      </c>
      <c r="B316" s="202" t="s">
        <v>674</v>
      </c>
      <c r="C316" s="199">
        <f t="shared" si="8"/>
        <v>306</v>
      </c>
      <c r="D316" s="199">
        <v>315</v>
      </c>
      <c r="E316" s="199">
        <v>196</v>
      </c>
      <c r="F316" s="203">
        <v>14</v>
      </c>
      <c r="G316" s="203">
        <v>18</v>
      </c>
      <c r="H316" s="203">
        <v>0</v>
      </c>
      <c r="I316" s="203">
        <v>1</v>
      </c>
      <c r="J316" s="234">
        <f t="shared" si="9"/>
        <v>0.11819691780821917</v>
      </c>
    </row>
    <row r="317" spans="1:10" ht="15.75" customHeight="1" x14ac:dyDescent="0.25">
      <c r="A317" s="201" t="s">
        <v>344</v>
      </c>
      <c r="B317" s="202" t="s">
        <v>677</v>
      </c>
      <c r="C317" s="199">
        <f t="shared" si="8"/>
        <v>321</v>
      </c>
      <c r="D317" s="199">
        <v>265</v>
      </c>
      <c r="E317" s="199">
        <v>139</v>
      </c>
      <c r="F317" s="203">
        <v>9</v>
      </c>
      <c r="G317" s="203">
        <v>21</v>
      </c>
      <c r="H317" s="203">
        <v>0</v>
      </c>
      <c r="I317" s="203">
        <v>1</v>
      </c>
      <c r="J317" s="234">
        <f t="shared" si="9"/>
        <v>0.10827945205479451</v>
      </c>
    </row>
    <row r="318" spans="1:10" ht="15.75" customHeight="1" x14ac:dyDescent="0.25">
      <c r="A318" s="201" t="s">
        <v>304</v>
      </c>
      <c r="B318" s="202" t="s">
        <v>675</v>
      </c>
      <c r="C318" s="199">
        <f t="shared" si="8"/>
        <v>316</v>
      </c>
      <c r="D318" s="199">
        <v>323</v>
      </c>
      <c r="E318" s="199">
        <v>358</v>
      </c>
      <c r="F318" s="203">
        <v>16</v>
      </c>
      <c r="G318" s="203">
        <v>15</v>
      </c>
      <c r="H318" s="203">
        <v>0</v>
      </c>
      <c r="I318" s="203">
        <v>0</v>
      </c>
      <c r="J318" s="234">
        <f t="shared" si="9"/>
        <v>0.1124878479893946</v>
      </c>
    </row>
    <row r="319" spans="1:10" ht="15.75" customHeight="1" x14ac:dyDescent="0.25">
      <c r="A319" s="201" t="s">
        <v>296</v>
      </c>
      <c r="B319" s="202" t="s">
        <v>682</v>
      </c>
      <c r="C319" s="199">
        <f t="shared" si="8"/>
        <v>329</v>
      </c>
      <c r="D319" s="199">
        <v>302</v>
      </c>
      <c r="E319" s="199">
        <v>192</v>
      </c>
      <c r="F319" s="203">
        <v>11</v>
      </c>
      <c r="G319" s="203">
        <v>21</v>
      </c>
      <c r="H319" s="203">
        <v>0</v>
      </c>
      <c r="I319" s="203">
        <v>2</v>
      </c>
      <c r="J319" s="234">
        <f t="shared" si="9"/>
        <v>0.10006421232876711</v>
      </c>
    </row>
    <row r="320" spans="1:10" ht="15.75" customHeight="1" x14ac:dyDescent="0.25">
      <c r="A320" s="201" t="s">
        <v>224</v>
      </c>
      <c r="B320" s="202" t="s">
        <v>681</v>
      </c>
      <c r="C320" s="199">
        <f t="shared" si="8"/>
        <v>320</v>
      </c>
      <c r="D320" s="199">
        <v>197</v>
      </c>
      <c r="E320" s="199">
        <v>10</v>
      </c>
      <c r="F320" s="203">
        <v>7</v>
      </c>
      <c r="G320" s="203">
        <v>25</v>
      </c>
      <c r="H320" s="203">
        <v>0</v>
      </c>
      <c r="I320" s="203">
        <v>3</v>
      </c>
      <c r="J320" s="234">
        <f t="shared" si="9"/>
        <v>0.10873373287671231</v>
      </c>
    </row>
    <row r="321" spans="1:10" ht="15.75" customHeight="1" x14ac:dyDescent="0.25">
      <c r="A321" s="201" t="s">
        <v>460</v>
      </c>
      <c r="B321" s="202" t="s">
        <v>681</v>
      </c>
      <c r="C321" s="199">
        <f t="shared" si="8"/>
        <v>313</v>
      </c>
      <c r="D321" s="199">
        <v>338</v>
      </c>
      <c r="E321" s="199">
        <v>164</v>
      </c>
      <c r="F321" s="203">
        <v>14</v>
      </c>
      <c r="G321" s="203">
        <v>16</v>
      </c>
      <c r="H321" s="203">
        <v>0</v>
      </c>
      <c r="I321" s="203">
        <v>1</v>
      </c>
      <c r="J321" s="234">
        <f t="shared" si="9"/>
        <v>0.11329132420091323</v>
      </c>
    </row>
    <row r="322" spans="1:10" ht="15.75" customHeight="1" x14ac:dyDescent="0.25">
      <c r="A322" s="201" t="s">
        <v>12</v>
      </c>
      <c r="B322" s="202" t="s">
        <v>685</v>
      </c>
      <c r="C322" s="199">
        <f t="shared" ref="C322:C366" si="10">RANK(J322,J$2:J$366,0)</f>
        <v>314</v>
      </c>
      <c r="D322" s="199">
        <v>364</v>
      </c>
      <c r="E322" s="199">
        <v>311</v>
      </c>
      <c r="F322" s="203">
        <v>21</v>
      </c>
      <c r="G322" s="203">
        <v>10</v>
      </c>
      <c r="H322" s="203">
        <v>0</v>
      </c>
      <c r="I322" s="203">
        <v>2</v>
      </c>
      <c r="J322" s="234">
        <f t="shared" ref="J322:J385" si="11">0.35*(F322/(F322+G322))*((366-D322)/(366-1))+0.3*(F322/(F322+G322))*(0.7*((366-D322)/(366-1))+0.3*((366-E322)/(366-1)))+0.2*IF((H322+I322)&gt;0,H322/(H322+I322),0)*(H322+I322)/(F322+G322)+0.15*(F322/(F322+G322))</f>
        <v>0.11287847989394609</v>
      </c>
    </row>
    <row r="323" spans="1:10" ht="15.75" customHeight="1" x14ac:dyDescent="0.25">
      <c r="A323" s="201" t="s">
        <v>436</v>
      </c>
      <c r="B323" s="202" t="s">
        <v>683</v>
      </c>
      <c r="C323" s="199">
        <f t="shared" si="10"/>
        <v>317</v>
      </c>
      <c r="D323" s="199">
        <v>301</v>
      </c>
      <c r="E323" s="199">
        <v>100</v>
      </c>
      <c r="F323" s="203">
        <v>11</v>
      </c>
      <c r="G323" s="203">
        <v>20</v>
      </c>
      <c r="H323" s="203">
        <v>0</v>
      </c>
      <c r="I323" s="203">
        <v>0</v>
      </c>
      <c r="J323" s="234">
        <f t="shared" si="11"/>
        <v>0.1118859920459567</v>
      </c>
    </row>
    <row r="324" spans="1:10" ht="15.75" customHeight="1" x14ac:dyDescent="0.25">
      <c r="A324" s="201" t="s">
        <v>300</v>
      </c>
      <c r="B324" s="202" t="s">
        <v>684</v>
      </c>
      <c r="C324" s="199">
        <f t="shared" si="10"/>
        <v>324</v>
      </c>
      <c r="D324" s="199">
        <v>350</v>
      </c>
      <c r="E324" s="199">
        <v>289</v>
      </c>
      <c r="F324" s="203">
        <v>18</v>
      </c>
      <c r="G324" s="203">
        <v>15</v>
      </c>
      <c r="H324" s="203">
        <v>0</v>
      </c>
      <c r="I324" s="203">
        <v>3</v>
      </c>
      <c r="J324" s="234">
        <f t="shared" si="11"/>
        <v>0.10556413449564132</v>
      </c>
    </row>
    <row r="325" spans="1:10" ht="15.75" customHeight="1" x14ac:dyDescent="0.25">
      <c r="A325" s="201" t="s">
        <v>315</v>
      </c>
      <c r="B325" s="202" t="s">
        <v>685</v>
      </c>
      <c r="C325" s="199">
        <f t="shared" si="10"/>
        <v>332</v>
      </c>
      <c r="D325" s="199">
        <v>289</v>
      </c>
      <c r="E325" s="199">
        <v>71</v>
      </c>
      <c r="F325" s="203">
        <v>9</v>
      </c>
      <c r="G325" s="203">
        <v>22</v>
      </c>
      <c r="H325" s="203">
        <v>0</v>
      </c>
      <c r="I325" s="203">
        <v>4</v>
      </c>
      <c r="J325" s="234">
        <f t="shared" si="11"/>
        <v>9.8964206805125937E-2</v>
      </c>
    </row>
    <row r="326" spans="1:10" ht="15.75" customHeight="1" x14ac:dyDescent="0.25">
      <c r="A326" s="201" t="s">
        <v>201</v>
      </c>
      <c r="B326" s="202" t="s">
        <v>682</v>
      </c>
      <c r="C326" s="199">
        <f t="shared" si="10"/>
        <v>318</v>
      </c>
      <c r="D326" s="199">
        <v>334</v>
      </c>
      <c r="E326" s="199">
        <v>279</v>
      </c>
      <c r="F326" s="203">
        <v>16</v>
      </c>
      <c r="G326" s="203">
        <v>16</v>
      </c>
      <c r="H326" s="203">
        <v>0</v>
      </c>
      <c r="I326" s="203">
        <v>0</v>
      </c>
      <c r="J326" s="234">
        <f t="shared" si="11"/>
        <v>0.11027397260273972</v>
      </c>
    </row>
    <row r="327" spans="1:10" ht="15.75" customHeight="1" x14ac:dyDescent="0.25">
      <c r="A327" s="201" t="s">
        <v>223</v>
      </c>
      <c r="B327" s="202" t="s">
        <v>676</v>
      </c>
      <c r="C327" s="199">
        <f t="shared" si="10"/>
        <v>319</v>
      </c>
      <c r="D327" s="199">
        <v>299</v>
      </c>
      <c r="E327" s="199">
        <v>326</v>
      </c>
      <c r="F327" s="203">
        <v>13</v>
      </c>
      <c r="G327" s="203">
        <v>18</v>
      </c>
      <c r="H327" s="203">
        <v>0</v>
      </c>
      <c r="I327" s="203">
        <v>2</v>
      </c>
      <c r="J327" s="234">
        <f t="shared" si="11"/>
        <v>0.11014670790985416</v>
      </c>
    </row>
    <row r="328" spans="1:10" ht="15.75" customHeight="1" x14ac:dyDescent="0.25">
      <c r="A328" s="201" t="s">
        <v>348</v>
      </c>
      <c r="B328" s="202" t="s">
        <v>677</v>
      </c>
      <c r="C328" s="199">
        <f t="shared" si="10"/>
        <v>335</v>
      </c>
      <c r="D328" s="199">
        <v>219</v>
      </c>
      <c r="E328" s="199">
        <v>91</v>
      </c>
      <c r="F328" s="203">
        <v>7</v>
      </c>
      <c r="G328" s="203">
        <v>25</v>
      </c>
      <c r="H328" s="203">
        <v>0</v>
      </c>
      <c r="I328" s="203">
        <v>4</v>
      </c>
      <c r="J328" s="234">
        <f t="shared" si="11"/>
        <v>9.6981164383561635E-2</v>
      </c>
    </row>
    <row r="329" spans="1:10" ht="15.75" customHeight="1" x14ac:dyDescent="0.25">
      <c r="A329" s="201" t="s">
        <v>351</v>
      </c>
      <c r="B329" s="202" t="s">
        <v>678</v>
      </c>
      <c r="C329" s="199">
        <f t="shared" si="10"/>
        <v>323</v>
      </c>
      <c r="D329" s="199">
        <v>261</v>
      </c>
      <c r="E329" s="199">
        <v>298</v>
      </c>
      <c r="F329" s="203">
        <v>10</v>
      </c>
      <c r="G329" s="203">
        <v>21</v>
      </c>
      <c r="H329" s="203">
        <v>0</v>
      </c>
      <c r="I329" s="203">
        <v>1</v>
      </c>
      <c r="J329" s="234">
        <f t="shared" si="11"/>
        <v>0.10576226248342907</v>
      </c>
    </row>
    <row r="330" spans="1:10" ht="15.75" customHeight="1" x14ac:dyDescent="0.25">
      <c r="A330" s="201" t="s">
        <v>248</v>
      </c>
      <c r="B330" s="202" t="s">
        <v>684</v>
      </c>
      <c r="C330" s="199">
        <f t="shared" si="10"/>
        <v>328</v>
      </c>
      <c r="D330" s="199">
        <v>322</v>
      </c>
      <c r="E330" s="199">
        <v>185</v>
      </c>
      <c r="F330" s="203">
        <v>13</v>
      </c>
      <c r="G330" s="203">
        <v>20</v>
      </c>
      <c r="H330" s="203">
        <v>0</v>
      </c>
      <c r="I330" s="203">
        <v>3</v>
      </c>
      <c r="J330" s="234">
        <f t="shared" si="11"/>
        <v>0.10326608551266084</v>
      </c>
    </row>
    <row r="331" spans="1:10" ht="15.75" customHeight="1" x14ac:dyDescent="0.25">
      <c r="A331" s="201" t="s">
        <v>232</v>
      </c>
      <c r="B331" s="202" t="s">
        <v>685</v>
      </c>
      <c r="C331" s="199">
        <f t="shared" si="10"/>
        <v>339</v>
      </c>
      <c r="D331" s="199">
        <v>246</v>
      </c>
      <c r="E331" s="199">
        <v>30</v>
      </c>
      <c r="F331" s="203">
        <v>7</v>
      </c>
      <c r="G331" s="203">
        <v>24</v>
      </c>
      <c r="H331" s="203">
        <v>0</v>
      </c>
      <c r="I331" s="203">
        <v>2</v>
      </c>
      <c r="J331" s="234">
        <f t="shared" si="11"/>
        <v>9.4152010605391051E-2</v>
      </c>
    </row>
    <row r="332" spans="1:10" ht="15.75" customHeight="1" x14ac:dyDescent="0.25">
      <c r="A332" s="201" t="s">
        <v>337</v>
      </c>
      <c r="B332" s="202" t="s">
        <v>683</v>
      </c>
      <c r="C332" s="199">
        <f t="shared" si="10"/>
        <v>326</v>
      </c>
      <c r="D332" s="199">
        <v>291</v>
      </c>
      <c r="E332" s="199">
        <v>74</v>
      </c>
      <c r="F332" s="203">
        <v>9</v>
      </c>
      <c r="G332" s="203">
        <v>20</v>
      </c>
      <c r="H332" s="203">
        <v>0</v>
      </c>
      <c r="I332" s="203">
        <v>3</v>
      </c>
      <c r="J332" s="234">
        <f t="shared" si="11"/>
        <v>0.10460746339159188</v>
      </c>
    </row>
    <row r="333" spans="1:10" ht="15.75" customHeight="1" x14ac:dyDescent="0.25">
      <c r="A333" s="201" t="s">
        <v>452</v>
      </c>
      <c r="B333" s="202" t="s">
        <v>663</v>
      </c>
      <c r="C333" s="199">
        <f t="shared" si="10"/>
        <v>330</v>
      </c>
      <c r="D333" s="199">
        <v>117</v>
      </c>
      <c r="E333" s="199">
        <v>180</v>
      </c>
      <c r="F333" s="203">
        <v>5</v>
      </c>
      <c r="G333" s="203">
        <v>24</v>
      </c>
      <c r="H333" s="203">
        <v>0</v>
      </c>
      <c r="I333" s="203">
        <v>1</v>
      </c>
      <c r="J333" s="234">
        <f t="shared" si="11"/>
        <v>9.9636277751535191E-2</v>
      </c>
    </row>
    <row r="334" spans="1:10" ht="15.75" customHeight="1" x14ac:dyDescent="0.25">
      <c r="A334" s="201" t="s">
        <v>185</v>
      </c>
      <c r="B334" s="202" t="s">
        <v>679</v>
      </c>
      <c r="C334" s="199">
        <f t="shared" si="10"/>
        <v>331</v>
      </c>
      <c r="D334" s="199">
        <v>359</v>
      </c>
      <c r="E334" s="199">
        <v>282</v>
      </c>
      <c r="F334" s="203">
        <v>17</v>
      </c>
      <c r="G334" s="203">
        <v>14</v>
      </c>
      <c r="H334" s="203">
        <v>0</v>
      </c>
      <c r="I334" s="203">
        <v>2</v>
      </c>
      <c r="J334" s="234">
        <f t="shared" si="11"/>
        <v>9.9505965532478993E-2</v>
      </c>
    </row>
    <row r="335" spans="1:10" ht="15.75" customHeight="1" x14ac:dyDescent="0.25">
      <c r="A335" s="201" t="s">
        <v>375</v>
      </c>
      <c r="B335" s="202" t="s">
        <v>679</v>
      </c>
      <c r="C335" s="199">
        <f t="shared" si="10"/>
        <v>325</v>
      </c>
      <c r="D335" s="199">
        <v>349</v>
      </c>
      <c r="E335" s="199">
        <v>133</v>
      </c>
      <c r="F335" s="203">
        <v>14</v>
      </c>
      <c r="G335" s="203">
        <v>17</v>
      </c>
      <c r="H335" s="203">
        <v>0</v>
      </c>
      <c r="I335" s="203">
        <v>2</v>
      </c>
      <c r="J335" s="234">
        <f t="shared" si="11"/>
        <v>0.10546707909854175</v>
      </c>
    </row>
    <row r="336" spans="1:10" ht="15.75" customHeight="1" x14ac:dyDescent="0.25">
      <c r="A336" s="201" t="s">
        <v>430</v>
      </c>
      <c r="B336" s="202" t="s">
        <v>676</v>
      </c>
      <c r="C336" s="199">
        <f t="shared" si="10"/>
        <v>334</v>
      </c>
      <c r="D336" s="199">
        <v>274</v>
      </c>
      <c r="E336" s="199">
        <v>312</v>
      </c>
      <c r="F336" s="203">
        <v>10</v>
      </c>
      <c r="G336" s="203">
        <v>21</v>
      </c>
      <c r="H336" s="203">
        <v>0</v>
      </c>
      <c r="I336" s="203">
        <v>0</v>
      </c>
      <c r="J336" s="234">
        <f t="shared" si="11"/>
        <v>9.8214759169244353E-2</v>
      </c>
    </row>
    <row r="337" spans="1:10" ht="15.75" customHeight="1" x14ac:dyDescent="0.25">
      <c r="A337" s="201" t="s">
        <v>205</v>
      </c>
      <c r="B337" s="202" t="s">
        <v>683</v>
      </c>
      <c r="C337" s="199">
        <f t="shared" si="10"/>
        <v>343</v>
      </c>
      <c r="D337" s="199">
        <v>304</v>
      </c>
      <c r="E337" s="199">
        <v>116</v>
      </c>
      <c r="F337" s="203">
        <v>9</v>
      </c>
      <c r="G337" s="203">
        <v>21</v>
      </c>
      <c r="H337" s="203">
        <v>0</v>
      </c>
      <c r="I337" s="203">
        <v>1</v>
      </c>
      <c r="J337" s="234">
        <f t="shared" si="11"/>
        <v>9.2030136986301359E-2</v>
      </c>
    </row>
    <row r="338" spans="1:10" ht="15.75" customHeight="1" x14ac:dyDescent="0.25">
      <c r="A338" s="201" t="s">
        <v>426</v>
      </c>
      <c r="B338" s="202" t="s">
        <v>684</v>
      </c>
      <c r="C338" s="199">
        <f t="shared" si="10"/>
        <v>337</v>
      </c>
      <c r="D338" s="199">
        <v>339</v>
      </c>
      <c r="E338" s="199">
        <v>221</v>
      </c>
      <c r="F338" s="203">
        <v>13</v>
      </c>
      <c r="G338" s="203">
        <v>18</v>
      </c>
      <c r="H338" s="203">
        <v>0</v>
      </c>
      <c r="I338" s="203">
        <v>2</v>
      </c>
      <c r="J338" s="234">
        <f t="shared" si="11"/>
        <v>9.5268228015908077E-2</v>
      </c>
    </row>
    <row r="339" spans="1:10" ht="15.75" customHeight="1" x14ac:dyDescent="0.25">
      <c r="A339" s="201" t="s">
        <v>338</v>
      </c>
      <c r="B339" s="202" t="s">
        <v>681</v>
      </c>
      <c r="C339" s="199">
        <f t="shared" si="10"/>
        <v>336</v>
      </c>
      <c r="D339" s="199">
        <v>352</v>
      </c>
      <c r="E339" s="199">
        <v>202</v>
      </c>
      <c r="F339" s="203">
        <v>14</v>
      </c>
      <c r="G339" s="203">
        <v>17</v>
      </c>
      <c r="H339" s="203">
        <v>0</v>
      </c>
      <c r="I339" s="203">
        <v>2</v>
      </c>
      <c r="J339" s="234">
        <f t="shared" si="11"/>
        <v>9.5704816615112667E-2</v>
      </c>
    </row>
    <row r="340" spans="1:10" ht="15.75" customHeight="1" x14ac:dyDescent="0.25">
      <c r="A340" s="201" t="s">
        <v>277</v>
      </c>
      <c r="B340" s="202" t="s">
        <v>682</v>
      </c>
      <c r="C340" s="199">
        <f t="shared" si="10"/>
        <v>338</v>
      </c>
      <c r="D340" s="199">
        <v>303</v>
      </c>
      <c r="E340" s="199">
        <v>214</v>
      </c>
      <c r="F340" s="203">
        <v>11</v>
      </c>
      <c r="G340" s="203">
        <v>22</v>
      </c>
      <c r="H340" s="203">
        <v>0</v>
      </c>
      <c r="I340" s="203">
        <v>1</v>
      </c>
      <c r="J340" s="234">
        <f t="shared" si="11"/>
        <v>9.471232876712328E-2</v>
      </c>
    </row>
    <row r="341" spans="1:10" ht="15.75" customHeight="1" x14ac:dyDescent="0.25">
      <c r="A341" s="201" t="s">
        <v>343</v>
      </c>
      <c r="B341" s="202" t="s">
        <v>685</v>
      </c>
      <c r="C341" s="199">
        <f t="shared" si="10"/>
        <v>340</v>
      </c>
      <c r="D341" s="199">
        <v>356</v>
      </c>
      <c r="E341" s="199">
        <v>248</v>
      </c>
      <c r="F341" s="203">
        <v>15</v>
      </c>
      <c r="G341" s="203">
        <v>16</v>
      </c>
      <c r="H341" s="203">
        <v>0</v>
      </c>
      <c r="I341" s="203">
        <v>2</v>
      </c>
      <c r="J341" s="234">
        <f t="shared" si="11"/>
        <v>9.4083075563411403E-2</v>
      </c>
    </row>
    <row r="342" spans="1:10" ht="15.75" customHeight="1" x14ac:dyDescent="0.25">
      <c r="A342" s="201" t="s">
        <v>271</v>
      </c>
      <c r="B342" s="202" t="s">
        <v>679</v>
      </c>
      <c r="C342" s="199">
        <f t="shared" si="10"/>
        <v>333</v>
      </c>
      <c r="D342" s="199">
        <v>342</v>
      </c>
      <c r="E342" s="199">
        <v>173</v>
      </c>
      <c r="F342" s="203">
        <v>13</v>
      </c>
      <c r="G342" s="203">
        <v>18</v>
      </c>
      <c r="H342" s="203">
        <v>0</v>
      </c>
      <c r="I342" s="203">
        <v>2</v>
      </c>
      <c r="J342" s="234">
        <f t="shared" si="11"/>
        <v>9.8301369863013688E-2</v>
      </c>
    </row>
    <row r="343" spans="1:10" ht="15.75" customHeight="1" x14ac:dyDescent="0.25">
      <c r="A343" s="201" t="s">
        <v>311</v>
      </c>
      <c r="B343" s="202" t="s">
        <v>674</v>
      </c>
      <c r="C343" s="199">
        <f t="shared" si="10"/>
        <v>344</v>
      </c>
      <c r="D343" s="199">
        <v>324</v>
      </c>
      <c r="E343" s="199">
        <v>253</v>
      </c>
      <c r="F343" s="203">
        <v>12</v>
      </c>
      <c r="G343" s="203">
        <v>20</v>
      </c>
      <c r="H343" s="203">
        <v>0</v>
      </c>
      <c r="I343" s="203">
        <v>1</v>
      </c>
      <c r="J343" s="234">
        <f t="shared" si="11"/>
        <v>9.0863013698630118E-2</v>
      </c>
    </row>
    <row r="344" spans="1:10" ht="15.75" customHeight="1" x14ac:dyDescent="0.25">
      <c r="A344" s="201" t="s">
        <v>390</v>
      </c>
      <c r="B344" s="202" t="s">
        <v>684</v>
      </c>
      <c r="C344" s="199">
        <f t="shared" si="10"/>
        <v>345</v>
      </c>
      <c r="D344" s="199">
        <v>365</v>
      </c>
      <c r="E344" s="199">
        <v>363</v>
      </c>
      <c r="F344" s="203">
        <v>19</v>
      </c>
      <c r="G344" s="203">
        <v>13</v>
      </c>
      <c r="H344" s="203">
        <v>0</v>
      </c>
      <c r="I344" s="203">
        <v>1</v>
      </c>
      <c r="J344" s="234">
        <f t="shared" si="11"/>
        <v>9.0412671232876718E-2</v>
      </c>
    </row>
    <row r="345" spans="1:10" ht="15.75" customHeight="1" x14ac:dyDescent="0.25">
      <c r="A345" s="201" t="s">
        <v>216</v>
      </c>
      <c r="B345" s="202" t="s">
        <v>674</v>
      </c>
      <c r="C345" s="199">
        <f t="shared" si="10"/>
        <v>342</v>
      </c>
      <c r="D345" s="199">
        <v>306</v>
      </c>
      <c r="E345" s="199">
        <v>188</v>
      </c>
      <c r="F345" s="203">
        <v>10</v>
      </c>
      <c r="G345" s="203">
        <v>21</v>
      </c>
      <c r="H345" s="203">
        <v>0</v>
      </c>
      <c r="I345" s="203">
        <v>0</v>
      </c>
      <c r="J345" s="234">
        <f t="shared" si="11"/>
        <v>9.224038886433937E-2</v>
      </c>
    </row>
    <row r="346" spans="1:10" ht="15.75" customHeight="1" x14ac:dyDescent="0.25">
      <c r="A346" s="201" t="s">
        <v>332</v>
      </c>
      <c r="B346" s="202" t="s">
        <v>685</v>
      </c>
      <c r="C346" s="199">
        <f t="shared" si="10"/>
        <v>341</v>
      </c>
      <c r="D346" s="199">
        <v>357</v>
      </c>
      <c r="E346" s="199">
        <v>252</v>
      </c>
      <c r="F346" s="203">
        <v>14</v>
      </c>
      <c r="G346" s="203">
        <v>15</v>
      </c>
      <c r="H346" s="203">
        <v>0</v>
      </c>
      <c r="I346" s="203">
        <v>0</v>
      </c>
      <c r="J346" s="234">
        <f t="shared" si="11"/>
        <v>9.2649976381672189E-2</v>
      </c>
    </row>
    <row r="347" spans="1:10" ht="15.75" customHeight="1" x14ac:dyDescent="0.25">
      <c r="A347" s="201" t="s">
        <v>193</v>
      </c>
      <c r="B347" s="202" t="s">
        <v>682</v>
      </c>
      <c r="C347" s="199">
        <f t="shared" si="10"/>
        <v>347</v>
      </c>
      <c r="D347" s="199">
        <v>320</v>
      </c>
      <c r="E347" s="199">
        <v>269</v>
      </c>
      <c r="F347" s="203">
        <v>11</v>
      </c>
      <c r="G347" s="203">
        <v>21</v>
      </c>
      <c r="H347" s="203">
        <v>0</v>
      </c>
      <c r="I347" s="203">
        <v>1</v>
      </c>
      <c r="J347" s="234">
        <f t="shared" si="11"/>
        <v>8.4044520547945201E-2</v>
      </c>
    </row>
    <row r="348" spans="1:10" ht="15.75" customHeight="1" x14ac:dyDescent="0.25">
      <c r="A348" s="201" t="s">
        <v>255</v>
      </c>
      <c r="B348" s="202" t="s">
        <v>681</v>
      </c>
      <c r="C348" s="199">
        <f t="shared" si="10"/>
        <v>348</v>
      </c>
      <c r="D348" s="199">
        <v>337</v>
      </c>
      <c r="E348" s="199">
        <v>167</v>
      </c>
      <c r="F348" s="203">
        <v>11</v>
      </c>
      <c r="G348" s="203">
        <v>21</v>
      </c>
      <c r="H348" s="203">
        <v>0</v>
      </c>
      <c r="I348" s="203">
        <v>2</v>
      </c>
      <c r="J348" s="234">
        <f t="shared" si="11"/>
        <v>8.3724315068493149E-2</v>
      </c>
    </row>
    <row r="349" spans="1:10" ht="15.75" customHeight="1" x14ac:dyDescent="0.25">
      <c r="A349" s="201" t="s">
        <v>407</v>
      </c>
      <c r="B349" s="202" t="s">
        <v>685</v>
      </c>
      <c r="C349" s="199">
        <f t="shared" si="10"/>
        <v>346</v>
      </c>
      <c r="D349" s="199">
        <v>321</v>
      </c>
      <c r="E349" s="199">
        <v>81</v>
      </c>
      <c r="F349" s="203">
        <v>9</v>
      </c>
      <c r="G349" s="203">
        <v>21</v>
      </c>
      <c r="H349" s="203">
        <v>0</v>
      </c>
      <c r="I349" s="203">
        <v>3</v>
      </c>
      <c r="J349" s="234">
        <f t="shared" si="11"/>
        <v>8.6794520547945203E-2</v>
      </c>
    </row>
    <row r="350" spans="1:10" ht="15.75" customHeight="1" x14ac:dyDescent="0.25">
      <c r="A350" s="201" t="s">
        <v>308</v>
      </c>
      <c r="B350" s="202" t="s">
        <v>682</v>
      </c>
      <c r="C350" s="199">
        <f t="shared" si="10"/>
        <v>349</v>
      </c>
      <c r="D350" s="199">
        <v>335</v>
      </c>
      <c r="E350" s="199">
        <v>317</v>
      </c>
      <c r="F350" s="203">
        <v>12</v>
      </c>
      <c r="G350" s="203">
        <v>20</v>
      </c>
      <c r="H350" s="203">
        <v>0</v>
      </c>
      <c r="I350" s="203">
        <v>1</v>
      </c>
      <c r="J350" s="234">
        <f t="shared" si="11"/>
        <v>7.8616438356164373E-2</v>
      </c>
    </row>
    <row r="351" spans="1:10" ht="15.75" customHeight="1" x14ac:dyDescent="0.25">
      <c r="A351" s="201" t="s">
        <v>310</v>
      </c>
      <c r="B351" s="202" t="s">
        <v>683</v>
      </c>
      <c r="C351" s="199">
        <f t="shared" si="10"/>
        <v>353</v>
      </c>
      <c r="D351" s="199">
        <v>316</v>
      </c>
      <c r="E351" s="199">
        <v>151</v>
      </c>
      <c r="F351" s="203">
        <v>8</v>
      </c>
      <c r="G351" s="203">
        <v>23</v>
      </c>
      <c r="H351" s="203">
        <v>0</v>
      </c>
      <c r="I351" s="203">
        <v>0</v>
      </c>
      <c r="J351" s="234">
        <f t="shared" si="11"/>
        <v>7.2187361908970377E-2</v>
      </c>
    </row>
    <row r="352" spans="1:10" ht="15.75" customHeight="1" x14ac:dyDescent="0.25">
      <c r="A352" s="201" t="s">
        <v>279</v>
      </c>
      <c r="B352" s="202" t="s">
        <v>672</v>
      </c>
      <c r="C352" s="199">
        <f t="shared" si="10"/>
        <v>350</v>
      </c>
      <c r="D352" s="199">
        <v>248</v>
      </c>
      <c r="E352" s="199">
        <v>272</v>
      </c>
      <c r="F352" s="203">
        <v>7</v>
      </c>
      <c r="G352" s="203">
        <v>25</v>
      </c>
      <c r="H352" s="203">
        <v>0</v>
      </c>
      <c r="I352" s="203">
        <v>1</v>
      </c>
      <c r="J352" s="234">
        <f t="shared" si="11"/>
        <v>7.7485445205479453E-2</v>
      </c>
    </row>
    <row r="353" spans="1:10" ht="15.75" customHeight="1" x14ac:dyDescent="0.25">
      <c r="A353" s="201" t="s">
        <v>393</v>
      </c>
      <c r="B353" s="202" t="s">
        <v>681</v>
      </c>
      <c r="C353" s="199">
        <f t="shared" si="10"/>
        <v>351</v>
      </c>
      <c r="D353" s="199">
        <v>298</v>
      </c>
      <c r="E353" s="199">
        <v>42</v>
      </c>
      <c r="F353" s="203">
        <v>7</v>
      </c>
      <c r="G353" s="203">
        <v>24</v>
      </c>
      <c r="H353" s="203">
        <v>0</v>
      </c>
      <c r="I353" s="203">
        <v>3</v>
      </c>
      <c r="J353" s="234">
        <f t="shared" si="11"/>
        <v>7.5468846663720723E-2</v>
      </c>
    </row>
    <row r="354" spans="1:10" ht="15.75" customHeight="1" x14ac:dyDescent="0.25">
      <c r="A354" s="201" t="s">
        <v>421</v>
      </c>
      <c r="B354" s="202" t="s">
        <v>681</v>
      </c>
      <c r="C354" s="199">
        <f t="shared" si="10"/>
        <v>352</v>
      </c>
      <c r="D354" s="199">
        <v>353</v>
      </c>
      <c r="E354" s="199">
        <v>242</v>
      </c>
      <c r="F354" s="203">
        <v>12</v>
      </c>
      <c r="G354" s="203">
        <v>20</v>
      </c>
      <c r="H354" s="203">
        <v>0</v>
      </c>
      <c r="I354" s="203">
        <v>1</v>
      </c>
      <c r="J354" s="234">
        <f t="shared" si="11"/>
        <v>7.5195205479452049E-2</v>
      </c>
    </row>
    <row r="355" spans="1:10" ht="15.75" customHeight="1" x14ac:dyDescent="0.25">
      <c r="A355" s="201" t="s">
        <v>386</v>
      </c>
      <c r="B355" s="202" t="s">
        <v>674</v>
      </c>
      <c r="C355" s="199">
        <f t="shared" si="10"/>
        <v>356</v>
      </c>
      <c r="D355" s="199">
        <v>220</v>
      </c>
      <c r="E355" s="199">
        <v>27</v>
      </c>
      <c r="F355" s="203">
        <v>4</v>
      </c>
      <c r="G355" s="203">
        <v>25</v>
      </c>
      <c r="H355" s="203">
        <v>0</v>
      </c>
      <c r="I355" s="203">
        <v>4</v>
      </c>
      <c r="J355" s="234">
        <f t="shared" si="11"/>
        <v>6.3115729806329707E-2</v>
      </c>
    </row>
    <row r="356" spans="1:10" ht="15.75" customHeight="1" x14ac:dyDescent="0.25">
      <c r="A356" s="201" t="s">
        <v>341</v>
      </c>
      <c r="B356" s="202" t="s">
        <v>674</v>
      </c>
      <c r="C356" s="199">
        <f t="shared" si="10"/>
        <v>355</v>
      </c>
      <c r="D356" s="199">
        <v>326</v>
      </c>
      <c r="E356" s="199">
        <v>258</v>
      </c>
      <c r="F356" s="203">
        <v>8</v>
      </c>
      <c r="G356" s="203">
        <v>22</v>
      </c>
      <c r="H356" s="203">
        <v>0</v>
      </c>
      <c r="I356" s="203">
        <v>2</v>
      </c>
      <c r="J356" s="234">
        <f t="shared" si="11"/>
        <v>6.3466666666666671E-2</v>
      </c>
    </row>
    <row r="357" spans="1:10" ht="15.75" customHeight="1" x14ac:dyDescent="0.25">
      <c r="A357" s="201" t="s">
        <v>183</v>
      </c>
      <c r="B357" s="202" t="s">
        <v>661</v>
      </c>
      <c r="C357" s="199">
        <f t="shared" si="10"/>
        <v>358</v>
      </c>
      <c r="D357" s="199">
        <v>91</v>
      </c>
      <c r="E357" s="199">
        <v>259</v>
      </c>
      <c r="F357" s="203">
        <v>3</v>
      </c>
      <c r="G357" s="203">
        <v>27</v>
      </c>
      <c r="H357" s="203">
        <v>0</v>
      </c>
      <c r="I357" s="203">
        <v>1</v>
      </c>
      <c r="J357" s="234">
        <f t="shared" si="11"/>
        <v>5.9830136986301366E-2</v>
      </c>
    </row>
    <row r="358" spans="1:10" ht="15.75" customHeight="1" x14ac:dyDescent="0.25">
      <c r="A358" s="201" t="s">
        <v>456</v>
      </c>
      <c r="B358" s="202" t="s">
        <v>676</v>
      </c>
      <c r="C358" s="199">
        <f t="shared" si="10"/>
        <v>357</v>
      </c>
      <c r="D358" s="199">
        <v>271</v>
      </c>
      <c r="E358" s="199">
        <v>305</v>
      </c>
      <c r="F358" s="203">
        <v>6</v>
      </c>
      <c r="G358" s="203">
        <v>25</v>
      </c>
      <c r="H358" s="203">
        <v>0</v>
      </c>
      <c r="I358" s="203">
        <v>1</v>
      </c>
      <c r="J358" s="234">
        <f t="shared" si="11"/>
        <v>6.0153778170570035E-2</v>
      </c>
    </row>
    <row r="359" spans="1:10" ht="15.75" customHeight="1" x14ac:dyDescent="0.25">
      <c r="A359" s="201" t="s">
        <v>290</v>
      </c>
      <c r="B359" s="202" t="s">
        <v>680</v>
      </c>
      <c r="C359" s="199">
        <f t="shared" si="10"/>
        <v>360</v>
      </c>
      <c r="D359" s="199">
        <v>232</v>
      </c>
      <c r="E359" s="199">
        <v>171</v>
      </c>
      <c r="F359" s="203">
        <v>4</v>
      </c>
      <c r="G359" s="203">
        <v>27</v>
      </c>
      <c r="H359" s="203">
        <v>0</v>
      </c>
      <c r="I359" s="203">
        <v>3</v>
      </c>
      <c r="J359" s="234">
        <f t="shared" si="11"/>
        <v>5.2086610693769325E-2</v>
      </c>
    </row>
    <row r="360" spans="1:10" ht="15.75" customHeight="1" x14ac:dyDescent="0.25">
      <c r="A360" s="201" t="s">
        <v>442</v>
      </c>
      <c r="B360" s="202" t="s">
        <v>671</v>
      </c>
      <c r="C360" s="199">
        <f t="shared" si="10"/>
        <v>359</v>
      </c>
      <c r="D360" s="199">
        <v>207</v>
      </c>
      <c r="E360" s="199">
        <v>224</v>
      </c>
      <c r="F360" s="203">
        <v>4</v>
      </c>
      <c r="G360" s="203">
        <v>28</v>
      </c>
      <c r="H360" s="203">
        <v>0</v>
      </c>
      <c r="I360" s="203">
        <v>1</v>
      </c>
      <c r="J360" s="234">
        <f t="shared" si="11"/>
        <v>5.3619863013698629E-2</v>
      </c>
    </row>
    <row r="361" spans="1:10" ht="15.75" customHeight="1" x14ac:dyDescent="0.25">
      <c r="A361" s="201" t="s">
        <v>264</v>
      </c>
      <c r="B361" s="202" t="s">
        <v>675</v>
      </c>
      <c r="C361" s="199">
        <f t="shared" si="10"/>
        <v>354</v>
      </c>
      <c r="D361" s="199">
        <v>160</v>
      </c>
      <c r="E361" s="199">
        <v>119</v>
      </c>
      <c r="F361" s="203">
        <v>4</v>
      </c>
      <c r="G361" s="203">
        <v>28</v>
      </c>
      <c r="H361" s="203">
        <v>0</v>
      </c>
      <c r="I361" s="203">
        <v>2</v>
      </c>
      <c r="J361" s="234">
        <f t="shared" si="11"/>
        <v>6.5869863013698626E-2</v>
      </c>
    </row>
    <row r="362" spans="1:10" ht="15.75" customHeight="1" x14ac:dyDescent="0.25">
      <c r="A362" s="201" t="s">
        <v>413</v>
      </c>
      <c r="B362" s="202" t="s">
        <v>684</v>
      </c>
      <c r="C362" s="199">
        <f t="shared" si="10"/>
        <v>362</v>
      </c>
      <c r="D362" s="199">
        <v>348</v>
      </c>
      <c r="E362" s="199">
        <v>303</v>
      </c>
      <c r="F362" s="203">
        <v>7</v>
      </c>
      <c r="G362" s="203">
        <v>23</v>
      </c>
      <c r="H362" s="203">
        <v>0</v>
      </c>
      <c r="I362" s="203">
        <v>0</v>
      </c>
      <c r="J362" s="234">
        <f t="shared" si="11"/>
        <v>4.5068493150684924E-2</v>
      </c>
    </row>
    <row r="363" spans="1:10" ht="15.75" customHeight="1" x14ac:dyDescent="0.25">
      <c r="A363" s="201" t="s">
        <v>240</v>
      </c>
      <c r="B363" s="202" t="s">
        <v>685</v>
      </c>
      <c r="C363" s="199">
        <f t="shared" si="10"/>
        <v>361</v>
      </c>
      <c r="D363" s="199">
        <v>354</v>
      </c>
      <c r="E363" s="199">
        <v>225</v>
      </c>
      <c r="F363" s="203">
        <v>7</v>
      </c>
      <c r="G363" s="203">
        <v>22</v>
      </c>
      <c r="H363" s="203">
        <v>0</v>
      </c>
      <c r="I363" s="203">
        <v>1</v>
      </c>
      <c r="J363" s="234">
        <f t="shared" si="11"/>
        <v>4.9042985356636752E-2</v>
      </c>
    </row>
    <row r="364" spans="1:10" ht="15.75" customHeight="1" x14ac:dyDescent="0.25">
      <c r="A364" s="201" t="s">
        <v>198</v>
      </c>
      <c r="B364" s="202" t="s">
        <v>683</v>
      </c>
      <c r="C364" s="199">
        <f t="shared" si="10"/>
        <v>363</v>
      </c>
      <c r="D364" s="199">
        <v>362</v>
      </c>
      <c r="E364" s="199">
        <v>355</v>
      </c>
      <c r="F364" s="203">
        <v>8</v>
      </c>
      <c r="G364" s="203">
        <v>23</v>
      </c>
      <c r="H364" s="203">
        <v>0</v>
      </c>
      <c r="I364" s="203">
        <v>0</v>
      </c>
      <c r="J364" s="234">
        <f t="shared" si="11"/>
        <v>4.0993371630578875E-2</v>
      </c>
    </row>
    <row r="365" spans="1:10" ht="15.75" customHeight="1" x14ac:dyDescent="0.25">
      <c r="A365" s="201" t="s">
        <v>326</v>
      </c>
      <c r="B365" s="202" t="s">
        <v>679</v>
      </c>
      <c r="C365" s="199">
        <f t="shared" si="10"/>
        <v>364</v>
      </c>
      <c r="D365" s="199">
        <v>297</v>
      </c>
      <c r="E365" s="199">
        <v>29</v>
      </c>
      <c r="F365" s="203">
        <v>3</v>
      </c>
      <c r="G365" s="203">
        <v>29</v>
      </c>
      <c r="H365" s="203">
        <v>0</v>
      </c>
      <c r="I365" s="203">
        <v>3</v>
      </c>
      <c r="J365" s="234">
        <f t="shared" si="11"/>
        <v>3.1777397260273968E-2</v>
      </c>
    </row>
    <row r="366" spans="1:10" ht="15.75" customHeight="1" x14ac:dyDescent="0.25">
      <c r="A366" s="201" t="s">
        <v>468</v>
      </c>
      <c r="B366" s="202" t="s">
        <v>684</v>
      </c>
      <c r="C366" s="199">
        <f t="shared" si="10"/>
        <v>365</v>
      </c>
      <c r="D366" s="199">
        <v>351</v>
      </c>
      <c r="E366" s="199">
        <v>334</v>
      </c>
      <c r="F366" s="203">
        <v>5</v>
      </c>
      <c r="G366" s="203">
        <v>26</v>
      </c>
      <c r="H366" s="203">
        <v>0</v>
      </c>
      <c r="I366" s="203">
        <v>1</v>
      </c>
      <c r="J366" s="234">
        <f t="shared" si="11"/>
        <v>2.9178082191780821E-2</v>
      </c>
    </row>
  </sheetData>
  <autoFilter ref="A1:J366" xr:uid="{00000000-0009-0000-0000-000009000000}">
    <sortState xmlns:xlrd2="http://schemas.microsoft.com/office/spreadsheetml/2017/richdata2" ref="A2:J366">
      <sortCondition descending="1" ref="J1:J366"/>
    </sortState>
  </autoFilter>
  <hyperlinks>
    <hyperlink ref="C1" r:id="rId1" xr:uid="{00000000-0004-0000-0900-000000000000}"/>
    <hyperlink ref="D1" r:id="rId2" xr:uid="{00000000-0004-0000-0900-000001000000}"/>
    <hyperlink ref="E1" r:id="rId3" xr:uid="{00000000-0004-0000-0900-000002000000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48"/>
  <sheetViews>
    <sheetView workbookViewId="0">
      <selection activeCell="O16" sqref="O16"/>
    </sheetView>
  </sheetViews>
  <sheetFormatPr defaultRowHeight="15" outlineLevelCol="2" x14ac:dyDescent="0.25"/>
  <cols>
    <col min="1" max="1" width="14.28515625" style="233" customWidth="1"/>
    <col min="2" max="2" width="16.140625" customWidth="1"/>
    <col min="3" max="3" width="6.7109375" customWidth="1"/>
    <col min="4" max="4" width="35.28515625" customWidth="1"/>
    <col min="5" max="5" width="4.7109375" customWidth="1"/>
    <col min="6" max="6" width="6.7109375" customWidth="1"/>
    <col min="7" max="7" width="35.28515625" customWidth="1"/>
    <col min="8" max="8" width="10.42578125" customWidth="1"/>
    <col min="10" max="12" width="9.140625" hidden="1" customWidth="1" outlineLevel="2"/>
    <col min="13" max="13" width="9.140625" customWidth="1" collapsed="1"/>
  </cols>
  <sheetData>
    <row r="1" spans="1:12" ht="18" customHeight="1" x14ac:dyDescent="0.25">
      <c r="A1" s="207" t="s">
        <v>686</v>
      </c>
      <c r="J1" s="208" t="s">
        <v>687</v>
      </c>
      <c r="K1" s="208" t="s">
        <v>688</v>
      </c>
      <c r="L1" s="208" t="s">
        <v>689</v>
      </c>
    </row>
    <row r="2" spans="1:12" x14ac:dyDescent="0.25">
      <c r="A2" s="209" t="s">
        <v>690</v>
      </c>
    </row>
    <row r="3" spans="1:12" x14ac:dyDescent="0.25">
      <c r="A3" s="210" t="s">
        <v>3</v>
      </c>
      <c r="B3" s="211" t="s">
        <v>691</v>
      </c>
      <c r="C3" s="211" t="s">
        <v>5</v>
      </c>
      <c r="D3" s="211" t="s">
        <v>105</v>
      </c>
      <c r="E3" s="211"/>
      <c r="F3" s="211" t="s">
        <v>5</v>
      </c>
      <c r="G3" s="211" t="s">
        <v>107</v>
      </c>
      <c r="H3" s="211" t="s">
        <v>692</v>
      </c>
    </row>
    <row r="4" spans="1:12" x14ac:dyDescent="0.25">
      <c r="A4" s="212" t="s">
        <v>693</v>
      </c>
    </row>
    <row r="5" spans="1:12" x14ac:dyDescent="0.25">
      <c r="A5" s="213" t="s">
        <v>10</v>
      </c>
      <c r="B5" s="214" t="s">
        <v>11</v>
      </c>
      <c r="C5" s="213">
        <v>16</v>
      </c>
      <c r="D5" s="213" t="str">
        <f>IFERROR(INDEX(SOS!A:A,MATCH(J5,SOS!C:C,0)),"")</f>
        <v>George Mason Patriots</v>
      </c>
      <c r="E5" s="215" t="s">
        <v>13</v>
      </c>
      <c r="F5" s="213">
        <v>16</v>
      </c>
      <c r="G5" s="213" t="str">
        <f>IFERROR(INDEX(SOS!A:A,MATCH(K5,SOS!C:C,0)),"")</f>
        <v>Colorado Buffaloes</v>
      </c>
      <c r="H5" s="213">
        <f>IFERROR(VLOOKUP(D5,SOS!A:J,10,0)-VLOOKUP(G5,SOS!A:J,10,0),"")</f>
        <v>8.8127853881286855E-4</v>
      </c>
      <c r="J5">
        <v>64</v>
      </c>
      <c r="K5">
        <v>65</v>
      </c>
    </row>
    <row r="6" spans="1:12" x14ac:dyDescent="0.25">
      <c r="A6" s="213" t="s">
        <v>10</v>
      </c>
      <c r="B6" s="213" t="str">
        <f t="shared" ref="B6:B13" si="0">C6&amp;" vs "&amp;F6</f>
        <v>1 vs 16</v>
      </c>
      <c r="C6" s="213">
        <f t="shared" ref="C6:C13" si="1">INT((J6-1)/4)+1</f>
        <v>1</v>
      </c>
      <c r="D6" s="213" t="str">
        <f>IFERROR(INDEX(SOS!A:A,MATCH(J6,SOS!C:C,0)),"")</f>
        <v>Michigan Wolverines</v>
      </c>
      <c r="E6" s="215" t="s">
        <v>13</v>
      </c>
      <c r="F6" s="213">
        <v>16</v>
      </c>
      <c r="G6" s="216" t="s">
        <v>18</v>
      </c>
      <c r="H6" s="213"/>
      <c r="J6">
        <v>1</v>
      </c>
      <c r="K6">
        <v>64</v>
      </c>
    </row>
    <row r="7" spans="1:12" x14ac:dyDescent="0.25">
      <c r="A7" s="213" t="s">
        <v>10</v>
      </c>
      <c r="B7" s="213" t="str">
        <f t="shared" si="0"/>
        <v>8 vs 9</v>
      </c>
      <c r="C7" s="213">
        <f t="shared" si="1"/>
        <v>8</v>
      </c>
      <c r="D7" s="213" t="str">
        <f>IFERROR(INDEX(SOS!A:A,MATCH(J7,SOS!C:C,0)),"")</f>
        <v>Santa Clara Broncos</v>
      </c>
      <c r="E7" s="215" t="s">
        <v>13</v>
      </c>
      <c r="F7" s="213">
        <f t="shared" ref="F7:F13" si="2">INT((K7-1)/4)+1</f>
        <v>9</v>
      </c>
      <c r="G7" s="213" t="str">
        <f>IFERROR(INDEX(SOS!A:A,MATCH(K7,SOS!C:C,0)),"")</f>
        <v>Miami Hurricanes</v>
      </c>
      <c r="H7" s="213">
        <f>IFERROR(VLOOKUP(D7,SOS!A:J,10,0)-VLOOKUP(G7,SOS!A:J,10,0),"")</f>
        <v>3.5312417145382247E-3</v>
      </c>
      <c r="J7">
        <v>32</v>
      </c>
      <c r="K7">
        <v>33</v>
      </c>
    </row>
    <row r="8" spans="1:12" x14ac:dyDescent="0.25">
      <c r="A8" s="213" t="s">
        <v>10</v>
      </c>
      <c r="B8" s="213" t="str">
        <f t="shared" si="0"/>
        <v>5 vs 12</v>
      </c>
      <c r="C8" s="213">
        <f t="shared" si="1"/>
        <v>5</v>
      </c>
      <c r="D8" s="213" t="str">
        <f>IFERROR(INDEX(SOS!A:A,MATCH(J8,SOS!C:C,0)),"")</f>
        <v>Kansas Jayhawks</v>
      </c>
      <c r="E8" s="215" t="s">
        <v>13</v>
      </c>
      <c r="F8" s="213">
        <f t="shared" si="2"/>
        <v>12</v>
      </c>
      <c r="G8" s="213" t="str">
        <f>IFERROR(INDEX(SOS!A:A,MATCH(K8,SOS!C:C,0)),"")</f>
        <v>Arizona State Sun Devils</v>
      </c>
      <c r="H8" s="213">
        <f>IFERROR(VLOOKUP(D8,SOS!A:J,10,0)-VLOOKUP(G8,SOS!A:J,10,0),"")</f>
        <v>0.1747013698630136</v>
      </c>
      <c r="J8">
        <v>17</v>
      </c>
      <c r="K8">
        <v>48</v>
      </c>
    </row>
    <row r="9" spans="1:12" x14ac:dyDescent="0.25">
      <c r="A9" s="213" t="s">
        <v>10</v>
      </c>
      <c r="B9" s="213" t="str">
        <f t="shared" si="0"/>
        <v>4 vs 13</v>
      </c>
      <c r="C9" s="213">
        <f t="shared" si="1"/>
        <v>4</v>
      </c>
      <c r="D9" s="213" t="str">
        <f>IFERROR(INDEX(SOS!A:A,MATCH(J9,SOS!C:C,0)),"")</f>
        <v>Gonzaga Bulldogs</v>
      </c>
      <c r="E9" s="215" t="s">
        <v>13</v>
      </c>
      <c r="F9" s="213">
        <f t="shared" si="2"/>
        <v>13</v>
      </c>
      <c r="G9" s="213" t="str">
        <f>IFERROR(INDEX(SOS!A:A,MATCH(K9,SOS!C:C,0)),"")</f>
        <v>Seton Hall Pirates</v>
      </c>
      <c r="H9" s="213">
        <f>IFERROR(VLOOKUP(D9,SOS!A:J,10,0)-VLOOKUP(G9,SOS!A:J,10,0),"")</f>
        <v>0.20168095448519663</v>
      </c>
      <c r="J9">
        <v>13</v>
      </c>
      <c r="K9">
        <v>49</v>
      </c>
    </row>
    <row r="10" spans="1:12" x14ac:dyDescent="0.25">
      <c r="A10" s="213" t="s">
        <v>10</v>
      </c>
      <c r="B10" s="213" t="str">
        <f t="shared" si="0"/>
        <v>6 vs 11</v>
      </c>
      <c r="C10" s="213">
        <f t="shared" si="1"/>
        <v>6</v>
      </c>
      <c r="D10" s="213" t="str">
        <f>IFERROR(INDEX(SOS!A:A,MATCH(J10,SOS!C:C,0)),"")</f>
        <v>Wisconsin Badgers</v>
      </c>
      <c r="E10" s="215" t="s">
        <v>13</v>
      </c>
      <c r="F10" s="213">
        <f t="shared" si="2"/>
        <v>11</v>
      </c>
      <c r="G10" s="213" t="str">
        <f>IFERROR(INDEX(SOS!A:A,MATCH(K10,SOS!C:C,0)),"")</f>
        <v>TCU Horned Frogs</v>
      </c>
      <c r="H10" s="213">
        <f>IFERROR(VLOOKUP(D10,SOS!A:J,10,0)-VLOOKUP(G10,SOS!A:J,10,0),"")</f>
        <v>8.789589041095891E-2</v>
      </c>
      <c r="J10">
        <v>24</v>
      </c>
      <c r="K10">
        <v>41</v>
      </c>
    </row>
    <row r="11" spans="1:12" x14ac:dyDescent="0.25">
      <c r="A11" s="213" t="s">
        <v>10</v>
      </c>
      <c r="B11" s="213" t="str">
        <f t="shared" si="0"/>
        <v>3 vs 14</v>
      </c>
      <c r="C11" s="213">
        <f t="shared" si="1"/>
        <v>3</v>
      </c>
      <c r="D11" s="213" t="str">
        <f>IFERROR(INDEX(SOS!A:A,MATCH(J11,SOS!C:C,0)),"")</f>
        <v>Vanderbilt Commodores</v>
      </c>
      <c r="E11" s="215" t="s">
        <v>13</v>
      </c>
      <c r="F11" s="213">
        <f t="shared" si="2"/>
        <v>14</v>
      </c>
      <c r="G11" s="213" t="str">
        <f>IFERROR(INDEX(SOS!A:A,MATCH(K11,SOS!C:C,0)),"")</f>
        <v>Stanford Cardinal</v>
      </c>
      <c r="H11" s="213">
        <f>IFERROR(VLOOKUP(D11,SOS!A:J,10,0)-VLOOKUP(G11,SOS!A:J,10,0),"")</f>
        <v>0.21125479452054802</v>
      </c>
      <c r="J11">
        <v>12</v>
      </c>
      <c r="K11">
        <v>56</v>
      </c>
    </row>
    <row r="12" spans="1:12" x14ac:dyDescent="0.25">
      <c r="A12" s="213" t="s">
        <v>10</v>
      </c>
      <c r="B12" s="213" t="str">
        <f t="shared" si="0"/>
        <v>7 vs 10</v>
      </c>
      <c r="C12" s="213">
        <f t="shared" si="1"/>
        <v>7</v>
      </c>
      <c r="D12" s="213" t="str">
        <f>IFERROR(INDEX(SOS!A:A,MATCH(J12,SOS!C:C,0)),"")</f>
        <v>BYU Cougars</v>
      </c>
      <c r="E12" s="215" t="s">
        <v>13</v>
      </c>
      <c r="F12" s="213">
        <f t="shared" si="2"/>
        <v>10</v>
      </c>
      <c r="G12" s="213" t="str">
        <f>IFERROR(INDEX(SOS!A:A,MATCH(K12,SOS!C:C,0)),"")</f>
        <v>Missouri Tigers</v>
      </c>
      <c r="H12" s="213">
        <f>IFERROR(VLOOKUP(D12,SOS!A:J,10,0)-VLOOKUP(G12,SOS!A:J,10,0),"")</f>
        <v>7.5689497716895038E-2</v>
      </c>
      <c r="J12">
        <v>25</v>
      </c>
      <c r="K12">
        <v>40</v>
      </c>
    </row>
    <row r="13" spans="1:12" x14ac:dyDescent="0.25">
      <c r="A13" s="213" t="s">
        <v>10</v>
      </c>
      <c r="B13" s="213" t="str">
        <f t="shared" si="0"/>
        <v>2 vs 15</v>
      </c>
      <c r="C13" s="213">
        <f t="shared" si="1"/>
        <v>2</v>
      </c>
      <c r="D13" s="213" t="str">
        <f>IFERROR(INDEX(SOS!A:A,MATCH(J13,SOS!C:C,0)),"")</f>
        <v>Michigan State Spartans</v>
      </c>
      <c r="E13" s="215" t="s">
        <v>13</v>
      </c>
      <c r="F13" s="213">
        <f t="shared" si="2"/>
        <v>15</v>
      </c>
      <c r="G13" s="213" t="str">
        <f>IFERROR(INDEX(SOS!A:A,MATCH(K13,SOS!C:C,0)),"")</f>
        <v>Boise State Broncos</v>
      </c>
      <c r="H13" s="213">
        <f>IFERROR(VLOOKUP(D13,SOS!A:J,10,0)-VLOOKUP(G13,SOS!A:J,10,0),"")</f>
        <v>0.28002374429223753</v>
      </c>
      <c r="J13">
        <v>5</v>
      </c>
      <c r="K13">
        <v>57</v>
      </c>
    </row>
    <row r="15" spans="1:12" x14ac:dyDescent="0.25">
      <c r="A15" s="217" t="s">
        <v>694</v>
      </c>
    </row>
    <row r="16" spans="1:12" x14ac:dyDescent="0.25">
      <c r="A16" s="218" t="s">
        <v>42</v>
      </c>
      <c r="B16" s="219" t="s">
        <v>43</v>
      </c>
      <c r="C16" s="218">
        <v>11</v>
      </c>
      <c r="D16" s="218" t="str">
        <f>IFERROR(INDEX(SOS!A:A,MATCH(J16,SOS!C:C,0)),"")</f>
        <v>SMU Mustangs</v>
      </c>
      <c r="E16" s="220" t="s">
        <v>13</v>
      </c>
      <c r="F16" s="218">
        <v>11</v>
      </c>
      <c r="G16" s="218" t="str">
        <f>IFERROR(INDEX(SOS!A:A,MATCH(K16,SOS!C:C,0)),"")</f>
        <v>McNeese Cowboys</v>
      </c>
      <c r="H16" s="218">
        <f>IFERROR(VLOOKUP(D16,SOS!A:J,10,0)-VLOOKUP(G16,SOS!A:J,10,0),"")</f>
        <v>7.097590219472677E-2</v>
      </c>
      <c r="J16">
        <v>42</v>
      </c>
      <c r="K16">
        <v>66</v>
      </c>
    </row>
    <row r="17" spans="1:11" x14ac:dyDescent="0.25">
      <c r="A17" s="218" t="s">
        <v>42</v>
      </c>
      <c r="B17" s="218" t="str">
        <f t="shared" ref="B17:B24" si="3">C17&amp;" vs "&amp;F17</f>
        <v>1 vs 16</v>
      </c>
      <c r="C17" s="218">
        <f t="shared" ref="C17:C24" si="4">INT((J17-1)/4)+1</f>
        <v>1</v>
      </c>
      <c r="D17" s="218" t="str">
        <f>IFERROR(INDEX(SOS!A:A,MATCH(J17,SOS!C:C,0)),"")</f>
        <v>Duke Blue Devils</v>
      </c>
      <c r="E17" s="220" t="s">
        <v>13</v>
      </c>
      <c r="F17" s="218">
        <f>INT((K17-1)/4)+1</f>
        <v>16</v>
      </c>
      <c r="G17" s="218" t="str">
        <f>IFERROR(INDEX(SOS!A:A,MATCH(K17,SOS!C:C,0)),"")</f>
        <v>Cincinnati Bearcats</v>
      </c>
      <c r="H17" s="218">
        <f>IFERROR(VLOOKUP(D17,SOS!A:J,10,0)-VLOOKUP(G17,SOS!A:J,10,0),"")</f>
        <v>0.39394611872146124</v>
      </c>
      <c r="J17">
        <v>2</v>
      </c>
      <c r="K17">
        <v>63</v>
      </c>
    </row>
    <row r="18" spans="1:11" x14ac:dyDescent="0.25">
      <c r="A18" s="218" t="s">
        <v>42</v>
      </c>
      <c r="B18" s="218" t="str">
        <f t="shared" si="3"/>
        <v>8 vs 9</v>
      </c>
      <c r="C18" s="218">
        <f t="shared" si="4"/>
        <v>8</v>
      </c>
      <c r="D18" s="218" t="str">
        <f>IFERROR(INDEX(SOS!A:A,MATCH(J18,SOS!C:C,0)),"")</f>
        <v>NC State Wolfpack</v>
      </c>
      <c r="E18" s="220" t="s">
        <v>13</v>
      </c>
      <c r="F18" s="218">
        <f>INT((K18-1)/4)+1</f>
        <v>9</v>
      </c>
      <c r="G18" s="218" t="str">
        <f>IFERROR(INDEX(SOS!A:A,MATCH(K18,SOS!C:C,0)),"")</f>
        <v>Saint Louis Billikens</v>
      </c>
      <c r="H18" s="218">
        <f>IFERROR(VLOOKUP(D18,SOS!A:J,10,0)-VLOOKUP(G18,SOS!A:J,10,0),"")</f>
        <v>1.1315981735159797E-2</v>
      </c>
      <c r="J18">
        <v>31</v>
      </c>
      <c r="K18">
        <v>34</v>
      </c>
    </row>
    <row r="19" spans="1:11" x14ac:dyDescent="0.25">
      <c r="A19" s="218" t="s">
        <v>42</v>
      </c>
      <c r="B19" s="218" t="str">
        <f t="shared" si="3"/>
        <v>5 vs 12</v>
      </c>
      <c r="C19" s="218">
        <f t="shared" si="4"/>
        <v>5</v>
      </c>
      <c r="D19" s="218" t="str">
        <f>IFERROR(INDEX(SOS!A:A,MATCH(J19,SOS!C:C,0)),"")</f>
        <v>Virginia Cavaliers</v>
      </c>
      <c r="E19" s="220" t="s">
        <v>13</v>
      </c>
      <c r="F19" s="218">
        <f>INT((K19-1)/4)+1</f>
        <v>12</v>
      </c>
      <c r="G19" s="218" t="str">
        <f>IFERROR(INDEX(SOS!A:A,MATCH(K19,SOS!C:C,0)),"")</f>
        <v>Auburn Tigers</v>
      </c>
      <c r="H19" s="218">
        <f>IFERROR(VLOOKUP(D19,SOS!A:J,10,0)-VLOOKUP(G19,SOS!A:J,10,0),"")</f>
        <v>0.16059726027397259</v>
      </c>
      <c r="J19">
        <v>18</v>
      </c>
      <c r="K19">
        <v>47</v>
      </c>
    </row>
    <row r="20" spans="1:11" x14ac:dyDescent="0.25">
      <c r="A20" s="218" t="s">
        <v>42</v>
      </c>
      <c r="B20" s="218" t="str">
        <f t="shared" si="3"/>
        <v>4 vs 13</v>
      </c>
      <c r="C20" s="218">
        <f t="shared" si="4"/>
        <v>4</v>
      </c>
      <c r="D20" s="218" t="str">
        <f>IFERROR(INDEX(SOS!A:A,MATCH(J20,SOS!C:C,0)),"")</f>
        <v>Arkansas Razorbacks</v>
      </c>
      <c r="E20" s="220" t="s">
        <v>13</v>
      </c>
      <c r="F20" s="218">
        <f>INT((K20-1)/4)+1</f>
        <v>13</v>
      </c>
      <c r="G20" s="218" t="str">
        <f>IFERROR(INDEX(SOS!A:A,MATCH(K20,SOS!C:C,0)),"")</f>
        <v>Virginia Tech Hokies</v>
      </c>
      <c r="H20" s="218">
        <f>IFERROR(VLOOKUP(D20,SOS!A:J,10,0)-VLOOKUP(G20,SOS!A:J,10,0),"")</f>
        <v>0.18782009132420108</v>
      </c>
      <c r="J20">
        <v>14</v>
      </c>
      <c r="K20">
        <v>50</v>
      </c>
    </row>
    <row r="21" spans="1:11" x14ac:dyDescent="0.25">
      <c r="A21" s="218" t="s">
        <v>42</v>
      </c>
      <c r="B21" s="218" t="str">
        <f t="shared" si="3"/>
        <v>6 vs 11</v>
      </c>
      <c r="C21" s="218">
        <f t="shared" si="4"/>
        <v>6</v>
      </c>
      <c r="D21" s="218" t="str">
        <f>IFERROR(INDEX(SOS!A:A,MATCH(J21,SOS!C:C,0)),"")</f>
        <v>Saint Mary's Gaels</v>
      </c>
      <c r="E21" s="220" t="s">
        <v>13</v>
      </c>
      <c r="F21" s="218">
        <v>11</v>
      </c>
      <c r="G21" s="221" t="s">
        <v>56</v>
      </c>
      <c r="H21" s="218"/>
      <c r="J21">
        <v>23</v>
      </c>
      <c r="K21">
        <v>42</v>
      </c>
    </row>
    <row r="22" spans="1:11" x14ac:dyDescent="0.25">
      <c r="A22" s="218" t="s">
        <v>42</v>
      </c>
      <c r="B22" s="218" t="str">
        <f t="shared" si="3"/>
        <v>3 vs 14</v>
      </c>
      <c r="C22" s="218">
        <f t="shared" si="4"/>
        <v>3</v>
      </c>
      <c r="D22" s="218" t="str">
        <f>IFERROR(INDEX(SOS!A:A,MATCH(J22,SOS!C:C,0)),"")</f>
        <v>St. John's Red Storm</v>
      </c>
      <c r="E22" s="220" t="s">
        <v>13</v>
      </c>
      <c r="F22" s="218">
        <f>INT((K22-1)/4)+1</f>
        <v>14</v>
      </c>
      <c r="G22" s="218" t="str">
        <f>IFERROR(INDEX(SOS!A:A,MATCH(K22,SOS!C:C,0)),"")</f>
        <v>Oklahoma State Cowboys</v>
      </c>
      <c r="H22" s="218">
        <f>IFERROR(VLOOKUP(D22,SOS!A:J,10,0)-VLOOKUP(G22,SOS!A:J,10,0),"")</f>
        <v>0.21365296803652956</v>
      </c>
      <c r="J22">
        <v>11</v>
      </c>
      <c r="K22">
        <v>55</v>
      </c>
    </row>
    <row r="23" spans="1:11" x14ac:dyDescent="0.25">
      <c r="A23" s="218" t="s">
        <v>42</v>
      </c>
      <c r="B23" s="218" t="str">
        <f t="shared" si="3"/>
        <v>7 vs 10</v>
      </c>
      <c r="C23" s="218">
        <f t="shared" si="4"/>
        <v>7</v>
      </c>
      <c r="D23" s="218" t="str">
        <f>IFERROR(INDEX(SOS!A:A,MATCH(J23,SOS!C:C,0)),"")</f>
        <v>Louisville Cardinals</v>
      </c>
      <c r="E23" s="220" t="s">
        <v>13</v>
      </c>
      <c r="F23" s="218">
        <f>INT((K23-1)/4)+1</f>
        <v>10</v>
      </c>
      <c r="G23" s="218" t="str">
        <f>IFERROR(INDEX(SOS!A:A,MATCH(K23,SOS!C:C,0)),"")</f>
        <v>UCLA Bruins</v>
      </c>
      <c r="H23" s="218">
        <f>IFERROR(VLOOKUP(D23,SOS!A:J,10,0)-VLOOKUP(G23,SOS!A:J,10,0),"")</f>
        <v>7.0287671232876714E-2</v>
      </c>
      <c r="J23">
        <v>26</v>
      </c>
      <c r="K23">
        <v>39</v>
      </c>
    </row>
    <row r="24" spans="1:11" x14ac:dyDescent="0.25">
      <c r="A24" s="218" t="s">
        <v>42</v>
      </c>
      <c r="B24" s="218" t="str">
        <f t="shared" si="3"/>
        <v>2 vs 15</v>
      </c>
      <c r="C24" s="218">
        <f t="shared" si="4"/>
        <v>2</v>
      </c>
      <c r="D24" s="218" t="str">
        <f>IFERROR(INDEX(SOS!A:A,MATCH(J24,SOS!C:C,0)),"")</f>
        <v>Florida Gators</v>
      </c>
      <c r="E24" s="220" t="s">
        <v>13</v>
      </c>
      <c r="F24" s="218">
        <f>INT((K24-1)/4)+1</f>
        <v>15</v>
      </c>
      <c r="G24" s="218" t="str">
        <f>IFERROR(INDEX(SOS!A:A,MATCH(K24,SOS!C:C,0)),"")</f>
        <v>Tulsa Golden Hurricane</v>
      </c>
      <c r="H24" s="218">
        <f>IFERROR(VLOOKUP(D24,SOS!A:J,10,0)-VLOOKUP(G24,SOS!A:J,10,0),"")</f>
        <v>0.27155799086757987</v>
      </c>
      <c r="J24">
        <v>6</v>
      </c>
      <c r="K24">
        <v>58</v>
      </c>
    </row>
    <row r="26" spans="1:11" x14ac:dyDescent="0.25">
      <c r="A26" s="222" t="s">
        <v>695</v>
      </c>
    </row>
    <row r="27" spans="1:11" x14ac:dyDescent="0.25">
      <c r="A27" s="223" t="s">
        <v>64</v>
      </c>
      <c r="B27" s="224" t="s">
        <v>11</v>
      </c>
      <c r="C27" s="223">
        <v>16</v>
      </c>
      <c r="D27" s="223" t="str">
        <f>IFERROR(INDEX(SOS!A:A,MATCH(J27,SOS!C:C,0)),"")</f>
        <v>Yale Bulldogs</v>
      </c>
      <c r="E27" s="225" t="s">
        <v>13</v>
      </c>
      <c r="F27" s="223">
        <v>16</v>
      </c>
      <c r="G27" s="223" t="str">
        <f>IFERROR(INDEX(SOS!A:A,MATCH(K27,SOS!C:C,0)),"")</f>
        <v>Oklahoma Sooners</v>
      </c>
      <c r="H27" s="223">
        <f>IFERROR(VLOOKUP(D27,SOS!A:J,10,0)-VLOOKUP(G27,SOS!A:J,10,0),"")</f>
        <v>2.5127549467275356E-2</v>
      </c>
      <c r="J27">
        <v>62</v>
      </c>
      <c r="K27">
        <v>67</v>
      </c>
    </row>
    <row r="28" spans="1:11" x14ac:dyDescent="0.25">
      <c r="A28" s="223" t="s">
        <v>64</v>
      </c>
      <c r="B28" s="223" t="str">
        <f t="shared" ref="B28:B35" si="5">C28&amp;" vs "&amp;F28</f>
        <v>1 vs 16</v>
      </c>
      <c r="C28" s="223">
        <f t="shared" ref="C28:C35" si="6">INT((J28-1)/4)+1</f>
        <v>1</v>
      </c>
      <c r="D28" s="223" t="str">
        <f>IFERROR(INDEX(SOS!A:A,MATCH(J28,SOS!C:C,0)),"")</f>
        <v>Arizona Wildcats</v>
      </c>
      <c r="E28" s="225" t="s">
        <v>13</v>
      </c>
      <c r="F28" s="223">
        <v>16</v>
      </c>
      <c r="G28" s="226" t="s">
        <v>18</v>
      </c>
      <c r="H28" s="223"/>
      <c r="J28">
        <v>3</v>
      </c>
      <c r="K28">
        <v>62</v>
      </c>
    </row>
    <row r="29" spans="1:11" x14ac:dyDescent="0.25">
      <c r="A29" s="223" t="s">
        <v>64</v>
      </c>
      <c r="B29" s="223" t="str">
        <f t="shared" si="5"/>
        <v>8 vs 9</v>
      </c>
      <c r="C29" s="223">
        <f t="shared" si="6"/>
        <v>8</v>
      </c>
      <c r="D29" s="223" t="str">
        <f>IFERROR(INDEX(SOS!A:A,MATCH(J29,SOS!C:C,0)),"")</f>
        <v>UCF Knights</v>
      </c>
      <c r="E29" s="225" t="s">
        <v>13</v>
      </c>
      <c r="F29" s="223">
        <f t="shared" ref="F29:F35" si="7">INT((K29-1)/4)+1</f>
        <v>9</v>
      </c>
      <c r="G29" s="223" t="str">
        <f>IFERROR(INDEX(SOS!A:A,MATCH(K29,SOS!C:C,0)),"")</f>
        <v>Ohio State Buckeyes</v>
      </c>
      <c r="H29" s="223">
        <f>IFERROR(VLOOKUP(D29,SOS!A:J,10,0)-VLOOKUP(G29,SOS!A:J,10,0),"")</f>
        <v>1.9946905999055298E-2</v>
      </c>
      <c r="J29">
        <v>30</v>
      </c>
      <c r="K29">
        <v>35</v>
      </c>
    </row>
    <row r="30" spans="1:11" x14ac:dyDescent="0.25">
      <c r="A30" s="223" t="s">
        <v>64</v>
      </c>
      <c r="B30" s="223" t="str">
        <f t="shared" si="5"/>
        <v>5 vs 12</v>
      </c>
      <c r="C30" s="223">
        <f t="shared" si="6"/>
        <v>5</v>
      </c>
      <c r="D30" s="223" t="str">
        <f>IFERROR(INDEX(SOS!A:A,MATCH(J30,SOS!C:C,0)),"")</f>
        <v>Iowa State Cyclones</v>
      </c>
      <c r="E30" s="225" t="s">
        <v>13</v>
      </c>
      <c r="F30" s="223">
        <f t="shared" si="7"/>
        <v>12</v>
      </c>
      <c r="G30" s="223" t="str">
        <f>IFERROR(INDEX(SOS!A:A,MATCH(K30,SOS!C:C,0)),"")</f>
        <v>Dayton Flyers</v>
      </c>
      <c r="H30" s="223">
        <f>IFERROR(VLOOKUP(D30,SOS!A:J,10,0)-VLOOKUP(G30,SOS!A:J,10,0),"")</f>
        <v>0.13994337899543385</v>
      </c>
      <c r="J30">
        <v>19</v>
      </c>
      <c r="K30">
        <v>46</v>
      </c>
    </row>
    <row r="31" spans="1:11" x14ac:dyDescent="0.25">
      <c r="A31" s="223" t="s">
        <v>64</v>
      </c>
      <c r="B31" s="223" t="str">
        <f t="shared" si="5"/>
        <v>4 vs 13</v>
      </c>
      <c r="C31" s="223">
        <f t="shared" si="6"/>
        <v>4</v>
      </c>
      <c r="D31" s="223" t="str">
        <f>IFERROR(INDEX(SOS!A:A,MATCH(J31,SOS!C:C,0)),"")</f>
        <v>Texas Tech Red Raiders</v>
      </c>
      <c r="E31" s="225" t="s">
        <v>13</v>
      </c>
      <c r="F31" s="223">
        <f t="shared" si="7"/>
        <v>13</v>
      </c>
      <c r="G31" s="223" t="str">
        <f>IFERROR(INDEX(SOS!A:A,MATCH(K31,SOS!C:C,0)),"")</f>
        <v>California Golden Bears</v>
      </c>
      <c r="H31" s="223">
        <f>IFERROR(VLOOKUP(D31,SOS!A:J,10,0)-VLOOKUP(G31,SOS!A:J,10,0),"")</f>
        <v>0.19035251141552512</v>
      </c>
      <c r="J31">
        <v>15</v>
      </c>
      <c r="K31">
        <v>51</v>
      </c>
    </row>
    <row r="32" spans="1:11" x14ac:dyDescent="0.25">
      <c r="A32" s="223" t="s">
        <v>64</v>
      </c>
      <c r="B32" s="223" t="str">
        <f t="shared" si="5"/>
        <v>6 vs 11</v>
      </c>
      <c r="C32" s="223">
        <f t="shared" si="6"/>
        <v>6</v>
      </c>
      <c r="D32" s="223" t="str">
        <f>IFERROR(INDEX(SOS!A:A,MATCH(J32,SOS!C:C,0)),"")</f>
        <v>Villanova Wildcats</v>
      </c>
      <c r="E32" s="225" t="s">
        <v>13</v>
      </c>
      <c r="F32" s="223">
        <f t="shared" si="7"/>
        <v>11</v>
      </c>
      <c r="G32" s="223" t="str">
        <f>IFERROR(INDEX(SOS!A:A,MATCH(K32,SOS!C:C,0)),"")</f>
        <v>Texas A&amp;M Aggies</v>
      </c>
      <c r="H32" s="223">
        <f>IFERROR(VLOOKUP(D32,SOS!A:J,10,0)-VLOOKUP(G32,SOS!A:J,10,0),"")</f>
        <v>0.11407945205479458</v>
      </c>
      <c r="J32">
        <v>22</v>
      </c>
      <c r="K32">
        <v>43</v>
      </c>
    </row>
    <row r="33" spans="1:11" x14ac:dyDescent="0.25">
      <c r="A33" s="223" t="s">
        <v>64</v>
      </c>
      <c r="B33" s="223" t="str">
        <f t="shared" si="5"/>
        <v>3 vs 14</v>
      </c>
      <c r="C33" s="223">
        <f t="shared" si="6"/>
        <v>3</v>
      </c>
      <c r="D33" s="223" t="str">
        <f>IFERROR(INDEX(SOS!A:A,MATCH(J33,SOS!C:C,0)),"")</f>
        <v>Alabama Crimson Tide</v>
      </c>
      <c r="E33" s="225" t="s">
        <v>13</v>
      </c>
      <c r="F33" s="223">
        <f t="shared" si="7"/>
        <v>14</v>
      </c>
      <c r="G33" s="223" t="str">
        <f>IFERROR(INDEX(SOS!A:A,MATCH(K33,SOS!C:C,0)),"")</f>
        <v>Texas Longhorns</v>
      </c>
      <c r="H33" s="223">
        <f>IFERROR(VLOOKUP(D33,SOS!A:J,10,0)-VLOOKUP(G33,SOS!A:J,10,0),"")</f>
        <v>0.21405296803652962</v>
      </c>
      <c r="J33">
        <v>10</v>
      </c>
      <c r="K33">
        <v>54</v>
      </c>
    </row>
    <row r="34" spans="1:11" x14ac:dyDescent="0.25">
      <c r="A34" s="223" t="s">
        <v>64</v>
      </c>
      <c r="B34" s="223" t="str">
        <f t="shared" si="5"/>
        <v>7 vs 10</v>
      </c>
      <c r="C34" s="223">
        <f t="shared" si="6"/>
        <v>7</v>
      </c>
      <c r="D34" s="223" t="str">
        <f>IFERROR(INDEX(SOS!A:A,MATCH(J34,SOS!C:C,0)),"")</f>
        <v>Kentucky Wildcats</v>
      </c>
      <c r="E34" s="225" t="s">
        <v>13</v>
      </c>
      <c r="F34" s="223">
        <f t="shared" si="7"/>
        <v>10</v>
      </c>
      <c r="G34" s="223" t="str">
        <f>IFERROR(INDEX(SOS!A:A,MATCH(K34,SOS!C:C,0)),"")</f>
        <v>VCU Rams</v>
      </c>
      <c r="H34" s="223">
        <f>IFERROR(VLOOKUP(D34,SOS!A:J,10,0)-VLOOKUP(G34,SOS!A:J,10,0),"")</f>
        <v>5.3707762557077598E-2</v>
      </c>
      <c r="J34">
        <v>27</v>
      </c>
      <c r="K34">
        <v>38</v>
      </c>
    </row>
    <row r="35" spans="1:11" x14ac:dyDescent="0.25">
      <c r="A35" s="223" t="s">
        <v>64</v>
      </c>
      <c r="B35" s="223" t="str">
        <f t="shared" si="5"/>
        <v>2 vs 15</v>
      </c>
      <c r="C35" s="223">
        <f t="shared" si="6"/>
        <v>2</v>
      </c>
      <c r="D35" s="223" t="str">
        <f>IFERROR(INDEX(SOS!A:A,MATCH(J35,SOS!C:C,0)),"")</f>
        <v>Houston Cougars</v>
      </c>
      <c r="E35" s="225" t="s">
        <v>13</v>
      </c>
      <c r="F35" s="223">
        <f t="shared" si="7"/>
        <v>15</v>
      </c>
      <c r="G35" s="223" t="str">
        <f>IFERROR(INDEX(SOS!A:A,MATCH(K35,SOS!C:C,0)),"")</f>
        <v>Belmont Bruins</v>
      </c>
      <c r="H35" s="223">
        <f>IFERROR(VLOOKUP(D35,SOS!A:J,10,0)-VLOOKUP(G35,SOS!A:J,10,0),"")</f>
        <v>0.2458669907202829</v>
      </c>
      <c r="J35">
        <v>7</v>
      </c>
      <c r="K35">
        <v>59</v>
      </c>
    </row>
    <row r="37" spans="1:11" x14ac:dyDescent="0.25">
      <c r="A37" s="227" t="s">
        <v>696</v>
      </c>
    </row>
    <row r="38" spans="1:11" x14ac:dyDescent="0.25">
      <c r="A38" s="228" t="s">
        <v>83</v>
      </c>
      <c r="B38" s="228" t="str">
        <f>C38&amp;" vs "&amp;F38</f>
        <v>1 vs 16</v>
      </c>
      <c r="C38" s="228">
        <f>INT((J38-1)/4)+1</f>
        <v>1</v>
      </c>
      <c r="D38" s="228" t="str">
        <f>IFERROR(INDEX(SOS!A:A,MATCH(J38,SOS!C:C,0)),"")</f>
        <v>UConn Huskies</v>
      </c>
      <c r="E38" s="229" t="s">
        <v>13</v>
      </c>
      <c r="F38" s="228">
        <f>INT((K38-1)/4)+1</f>
        <v>16</v>
      </c>
      <c r="G38" s="228" t="str">
        <f>IFERROR(INDEX(SOS!A:A,MATCH(K38,SOS!C:C,0)),"")</f>
        <v>Nevada Wolf Pack</v>
      </c>
      <c r="H38" s="228">
        <f>IFERROR(VLOOKUP(D38,SOS!A:J,10,0)-VLOOKUP(G38,SOS!A:J,10,0),"")</f>
        <v>0.30978630136986318</v>
      </c>
      <c r="J38">
        <v>4</v>
      </c>
      <c r="K38">
        <v>61</v>
      </c>
    </row>
    <row r="39" spans="1:11" x14ac:dyDescent="0.25">
      <c r="A39" s="228" t="s">
        <v>83</v>
      </c>
      <c r="B39" s="228" t="str">
        <f>C39&amp;" vs "&amp;F39</f>
        <v>8 vs 9</v>
      </c>
      <c r="C39" s="228">
        <f>INT((J39-1)/4)+1</f>
        <v>8</v>
      </c>
      <c r="D39" s="228" t="str">
        <f>IFERROR(INDEX(SOS!A:A,MATCH(J39,SOS!C:C,0)),"")</f>
        <v>Utah State Aggies</v>
      </c>
      <c r="E39" s="229" t="s">
        <v>13</v>
      </c>
      <c r="F39" s="228">
        <f>INT((K39-1)/4)+1</f>
        <v>9</v>
      </c>
      <c r="G39" s="228" t="str">
        <f>IFERROR(INDEX(SOS!A:A,MATCH(K39,SOS!C:C,0)),"")</f>
        <v>Georgia Bulldogs</v>
      </c>
      <c r="H39" s="228">
        <f>IFERROR(VLOOKUP(D39,SOS!A:J,10,0)-VLOOKUP(G39,SOS!A:J,10,0),"")</f>
        <v>3.7219178082191828E-2</v>
      </c>
      <c r="J39">
        <v>29</v>
      </c>
      <c r="K39">
        <v>36</v>
      </c>
    </row>
    <row r="40" spans="1:11" x14ac:dyDescent="0.25">
      <c r="A40" s="228" t="s">
        <v>83</v>
      </c>
      <c r="B40" s="228" t="str">
        <f>C40&amp;" vs "&amp;F40</f>
        <v>5 vs 12</v>
      </c>
      <c r="C40" s="228">
        <f>INT((J40-1)/4)+1</f>
        <v>5</v>
      </c>
      <c r="D40" s="228" t="str">
        <f>IFERROR(INDEX(SOS!A:A,MATCH(J40,SOS!C:C,0)),"")</f>
        <v>Nebraska Cornhuskers</v>
      </c>
      <c r="E40" s="229" t="s">
        <v>13</v>
      </c>
      <c r="F40" s="228">
        <f>INT((K40-1)/4)+1</f>
        <v>12</v>
      </c>
      <c r="G40" s="228" t="str">
        <f>IFERROR(INDEX(SOS!A:A,MATCH(K40,SOS!C:C,0)),"")</f>
        <v>New Mexico Lobos</v>
      </c>
      <c r="H40" s="228">
        <f>IFERROR(VLOOKUP(D40,SOS!A:J,10,0)-VLOOKUP(G40,SOS!A:J,10,0),"")</f>
        <v>0.13403378995433801</v>
      </c>
      <c r="J40">
        <v>20</v>
      </c>
      <c r="K40">
        <v>45</v>
      </c>
    </row>
    <row r="41" spans="1:11" x14ac:dyDescent="0.25">
      <c r="A41" s="228" t="s">
        <v>83</v>
      </c>
      <c r="B41" s="228" t="str">
        <f>C41&amp;" vs "&amp;F41</f>
        <v>4 vs 13</v>
      </c>
      <c r="C41" s="228">
        <f>INT((J41-1)/4)+1</f>
        <v>4</v>
      </c>
      <c r="D41" s="228" t="str">
        <f>IFERROR(INDEX(SOS!A:A,MATCH(J41,SOS!C:C,0)),"")</f>
        <v>North Carolina Tar Heels</v>
      </c>
      <c r="E41" s="229" t="s">
        <v>13</v>
      </c>
      <c r="F41" s="228">
        <f>INT((K41-1)/4)+1</f>
        <v>13</v>
      </c>
      <c r="G41" s="228" t="str">
        <f>IFERROR(INDEX(SOS!A:A,MATCH(K41,SOS!C:C,0)),"")</f>
        <v>San Diego State Aztecs</v>
      </c>
      <c r="H41" s="228">
        <f>IFERROR(VLOOKUP(D41,SOS!A:J,10,0)-VLOOKUP(G41,SOS!A:J,10,0),"")</f>
        <v>0.18486600535348768</v>
      </c>
      <c r="J41">
        <v>16</v>
      </c>
      <c r="K41">
        <v>52</v>
      </c>
    </row>
    <row r="42" spans="1:11" x14ac:dyDescent="0.25">
      <c r="A42" s="228" t="s">
        <v>83</v>
      </c>
      <c r="B42" s="230" t="s">
        <v>43</v>
      </c>
      <c r="C42" s="228">
        <v>11</v>
      </c>
      <c r="D42" s="228" t="str">
        <f>IFERROR(INDEX(SOS!A:A,MATCH(J42,SOS!C:C,0)),"")</f>
        <v>Iowa Hawkeyes</v>
      </c>
      <c r="E42" s="229" t="s">
        <v>13</v>
      </c>
      <c r="F42" s="228">
        <v>11</v>
      </c>
      <c r="G42" s="228" t="str">
        <f>IFERROR(INDEX(SOS!A:A,MATCH(K42,SOS!C:C,0)),"")</f>
        <v>Colorado State Rams</v>
      </c>
      <c r="H42" s="228">
        <f>IFERROR(VLOOKUP(D42,SOS!A:J,10,0)-VLOOKUP(G42,SOS!A:J,10,0),"")</f>
        <v>7.3041095890410968E-2</v>
      </c>
      <c r="J42">
        <v>44</v>
      </c>
      <c r="K42">
        <v>68</v>
      </c>
    </row>
    <row r="43" spans="1:11" x14ac:dyDescent="0.25">
      <c r="A43" s="228" t="s">
        <v>83</v>
      </c>
      <c r="B43" s="228" t="str">
        <f>C43&amp;" vs "&amp;F43</f>
        <v>6 vs 11</v>
      </c>
      <c r="C43" s="228">
        <f>INT((J43-1)/4)+1</f>
        <v>6</v>
      </c>
      <c r="D43" s="228" t="str">
        <f>IFERROR(INDEX(SOS!A:A,MATCH(J43,SOS!C:C,0)),"")</f>
        <v>Tennessee Volunteers</v>
      </c>
      <c r="E43" s="229" t="s">
        <v>13</v>
      </c>
      <c r="F43" s="228">
        <v>11</v>
      </c>
      <c r="G43" s="231" t="s">
        <v>56</v>
      </c>
      <c r="H43" s="228"/>
      <c r="J43">
        <v>21</v>
      </c>
      <c r="K43">
        <v>44</v>
      </c>
    </row>
    <row r="44" spans="1:11" x14ac:dyDescent="0.25">
      <c r="A44" s="228" t="s">
        <v>83</v>
      </c>
      <c r="B44" s="228" t="str">
        <f>C44&amp;" vs "&amp;F44</f>
        <v>3 vs 14</v>
      </c>
      <c r="C44" s="228">
        <f>INT((J44-1)/4)+1</f>
        <v>3</v>
      </c>
      <c r="D44" s="228" t="str">
        <f>IFERROR(INDEX(SOS!A:A,MATCH(J44,SOS!C:C,0)),"")</f>
        <v>Illinois Fighting Illini</v>
      </c>
      <c r="E44" s="229" t="s">
        <v>13</v>
      </c>
      <c r="F44" s="228">
        <f>INT((K44-1)/4)+1</f>
        <v>14</v>
      </c>
      <c r="G44" s="228" t="str">
        <f>IFERROR(INDEX(SOS!A:A,MATCH(K44,SOS!C:C,0)),"")</f>
        <v>Indiana Hoosiers</v>
      </c>
      <c r="H44" s="228">
        <f>IFERROR(VLOOKUP(D44,SOS!A:J,10,0)-VLOOKUP(G44,SOS!A:J,10,0),"")</f>
        <v>0.21574977168949772</v>
      </c>
      <c r="J44">
        <v>9</v>
      </c>
      <c r="K44">
        <v>53</v>
      </c>
    </row>
    <row r="45" spans="1:11" x14ac:dyDescent="0.25">
      <c r="A45" s="228" t="s">
        <v>83</v>
      </c>
      <c r="B45" s="228" t="str">
        <f>C45&amp;" vs "&amp;F45</f>
        <v>7 vs 10</v>
      </c>
      <c r="C45" s="228">
        <f>INT((J45-1)/4)+1</f>
        <v>7</v>
      </c>
      <c r="D45" s="228" t="str">
        <f>IFERROR(INDEX(SOS!A:A,MATCH(J45,SOS!C:C,0)),"")</f>
        <v>Clemson Tigers</v>
      </c>
      <c r="E45" s="229" t="s">
        <v>13</v>
      </c>
      <c r="F45" s="228">
        <f>INT((K45-1)/4)+1</f>
        <v>10</v>
      </c>
      <c r="G45" s="228" t="str">
        <f>IFERROR(INDEX(SOS!A:A,MATCH(K45,SOS!C:C,0)),"")</f>
        <v>South Florida Bulls</v>
      </c>
      <c r="H45" s="228">
        <f>IFERROR(VLOOKUP(D45,SOS!A:J,10,0)-VLOOKUP(G45,SOS!A:J,10,0),"")</f>
        <v>4.6684018264840144E-2</v>
      </c>
      <c r="J45">
        <v>28</v>
      </c>
      <c r="K45">
        <v>37</v>
      </c>
    </row>
    <row r="46" spans="1:11" x14ac:dyDescent="0.25">
      <c r="A46" s="228" t="s">
        <v>83</v>
      </c>
      <c r="B46" s="228" t="str">
        <f>C46&amp;" vs "&amp;F46</f>
        <v>2 vs 15</v>
      </c>
      <c r="C46" s="228">
        <f>INT((J46-1)/4)+1</f>
        <v>2</v>
      </c>
      <c r="D46" s="228" t="str">
        <f>IFERROR(INDEX(SOS!A:A,MATCH(J46,SOS!C:C,0)),"")</f>
        <v>Purdue Boilermakers</v>
      </c>
      <c r="E46" s="229" t="s">
        <v>13</v>
      </c>
      <c r="F46" s="228">
        <f>INT((K46-1)/4)+1</f>
        <v>15</v>
      </c>
      <c r="G46" s="228" t="str">
        <f>IFERROR(INDEX(SOS!A:A,MATCH(K46,SOS!C:C,0)),"")</f>
        <v>USC Trojans</v>
      </c>
      <c r="H46" s="228">
        <f>IFERROR(VLOOKUP(D46,SOS!A:J,10,0)-VLOOKUP(G46,SOS!A:J,10,0),"")</f>
        <v>0.23716986301369869</v>
      </c>
      <c r="J46">
        <v>8</v>
      </c>
      <c r="K46">
        <v>60</v>
      </c>
    </row>
    <row r="48" spans="1:11" x14ac:dyDescent="0.25">
      <c r="A48" s="232" t="s">
        <v>697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366"/>
  <sheetViews>
    <sheetView zoomScaleNormal="100" workbookViewId="0">
      <selection activeCell="B8" sqref="B8"/>
    </sheetView>
  </sheetViews>
  <sheetFormatPr defaultColWidth="8.5703125" defaultRowHeight="15" x14ac:dyDescent="0.25"/>
  <cols>
    <col min="1" max="1" width="33" customWidth="1"/>
    <col min="2" max="8" width="10" customWidth="1"/>
  </cols>
  <sheetData>
    <row r="1" spans="1:8" ht="15" customHeight="1" x14ac:dyDescent="0.25">
      <c r="A1" s="204" t="s">
        <v>627</v>
      </c>
      <c r="B1" s="204" t="s">
        <v>698</v>
      </c>
      <c r="C1" s="204" t="s">
        <v>699</v>
      </c>
      <c r="D1" s="204" t="s">
        <v>700</v>
      </c>
      <c r="E1" s="204" t="s">
        <v>701</v>
      </c>
      <c r="F1" s="204" t="s">
        <v>176</v>
      </c>
      <c r="G1" s="204" t="s">
        <v>702</v>
      </c>
      <c r="H1" s="204" t="s">
        <v>703</v>
      </c>
    </row>
    <row r="2" spans="1:8" ht="15" customHeight="1" x14ac:dyDescent="0.25">
      <c r="A2" t="s">
        <v>31</v>
      </c>
      <c r="B2" s="146">
        <f t="array" ref="B2">_xlfn.XLOOKUP(A2,'Team Stats'!$B$2:$B$366,('Team Stats'!$E$2:$E$366+'Team Stats'!$H$2:$H$366/2)/'Team Stats'!$F$2:$F$366)*100</f>
        <v>61.447811447811453</v>
      </c>
      <c r="C2" s="146">
        <f>_xlfn.XLOOKUP(A2,'Team Stats'!$B$2:$B$366,'Team Stats'!$T$2:$T$366)/( _xlfn.XLOOKUP(A2,'Team Stats'!$B$2:$B$366,'Team Stats'!$T$2:$T$366)+_xlfn.XLOOKUP(A2,'Team Stats'!$B$2:$B$366,'Team Stats'!$F$2:$F$366)+0.44*_xlfn.XLOOKUP(A2,'Team Stats'!$B$2:$B$366,'Team Stats'!$L$2:$L$366)+_xlfn.XLOOKUP(A2,'Team Stats'!$B$2:$B$366,'Team Stats'!$Q$2:$Q$366))*100</f>
        <v>10.994938179404198</v>
      </c>
      <c r="D2" s="146">
        <f>_xlfn.XLOOKUP(A2,'Team Stats'!$B$2:$B$366,'Team Stats'!$N$2:$N$366)/(_xlfn.XLOOKUP(A2,'Team Stats'!$B$2:$B$366,'Team Stats'!$N$2:$N$366)+_xlfn.XLOOKUP(A2,'Opponents stats vs'!$B$2:$B$366,'Opponents stats vs'!$O$2:$O$366))*100</f>
        <v>25.96153846153846</v>
      </c>
      <c r="E2" s="146">
        <f>_xlfn.XLOOKUP(A2,'Team Stats'!$B$2:$B$366,'Team Stats'!$K$2:$K$366)/_xlfn.XLOOKUP(A2,'Team Stats'!$B$2:$B$366,'Team Stats'!$F$2:$F$366)*100</f>
        <v>29.292929292929294</v>
      </c>
      <c r="F2" s="146">
        <f>_xlfn.XLOOKUP(A2,'Team Stats'!$B$2:$B$366,'Team Stats'!$F$2:$F$366)+0.44*_xlfn.XLOOKUP(A2,'Team Stats'!$B$2:$B$366,'Team Stats'!$L$2:$L$366)+_xlfn.XLOOKUP(A2,'Team Stats'!$B$2:$B$366,'Team Stats'!$T$2:$T$366)-_xlfn.XLOOKUP(A2,'Team Stats'!$B$2:$B$366,'Team Stats'!$N$2:$N$366)</f>
        <v>72.108000000000004</v>
      </c>
      <c r="G2">
        <f>_xlfn.XLOOKUP(A2,'Team Stats'!$B$2:$B$366,'Team Stats'!$D$2:$D$366)/F2</f>
        <v>1.2522882343151938</v>
      </c>
      <c r="H2">
        <f>_xlfn.XLOOKUP(A2,'Team Stats'!$B$2:$B$366,'Team Stats'!$D$2:$D$366)</f>
        <v>90.3</v>
      </c>
    </row>
    <row r="3" spans="1:8" ht="15" customHeight="1" x14ac:dyDescent="0.25">
      <c r="A3" t="s">
        <v>73</v>
      </c>
      <c r="B3" s="146">
        <f t="array" ref="B3">_xlfn.XLOOKUP(A3,'Team Stats'!$B$2:$B$366,('Team Stats'!$E$2:$E$366+'Team Stats'!$H$2:$H$366/2)/'Team Stats'!$F$2:$F$366)*100</f>
        <v>57.016129032258064</v>
      </c>
      <c r="C3" s="146">
        <f>_xlfn.XLOOKUP(A3,'Team Stats'!$B$2:$B$366,'Team Stats'!$T$2:$T$366)/( _xlfn.XLOOKUP(A3,'Team Stats'!$B$2:$B$366,'Team Stats'!$T$2:$T$366)+_xlfn.XLOOKUP(A3,'Team Stats'!$B$2:$B$366,'Team Stats'!$F$2:$F$366)+0.44*_xlfn.XLOOKUP(A3,'Team Stats'!$B$2:$B$366,'Team Stats'!$L$2:$L$366)+_xlfn.XLOOKUP(A3,'Team Stats'!$B$2:$B$366,'Team Stats'!$Q$2:$Q$366))*100</f>
        <v>9.3246169888505683</v>
      </c>
      <c r="D3" s="146">
        <f>_xlfn.XLOOKUP(A3,'Team Stats'!$B$2:$B$366,'Team Stats'!$N$2:$N$366)/(_xlfn.XLOOKUP(A3,'Team Stats'!$B$2:$B$366,'Team Stats'!$N$2:$N$366)+_xlfn.XLOOKUP(A3,'Opponents stats vs'!$B$2:$B$366,'Opponents stats vs'!$O$2:$O$366))*100</f>
        <v>33.620689655172413</v>
      </c>
      <c r="E3" s="146">
        <f>_xlfn.XLOOKUP(A3,'Team Stats'!$B$2:$B$366,'Team Stats'!$K$2:$K$366)/_xlfn.XLOOKUP(A3,'Team Stats'!$B$2:$B$366,'Team Stats'!$F$2:$F$366)*100</f>
        <v>32.258064516129032</v>
      </c>
      <c r="F3" s="146">
        <f>_xlfn.XLOOKUP(A3,'Team Stats'!$B$2:$B$366,'Team Stats'!$F$2:$F$366)+0.44*_xlfn.XLOOKUP(A3,'Team Stats'!$B$2:$B$366,'Team Stats'!$L$2:$L$366)+_xlfn.XLOOKUP(A3,'Team Stats'!$B$2:$B$366,'Team Stats'!$T$2:$T$366)-_xlfn.XLOOKUP(A3,'Team Stats'!$B$2:$B$366,'Team Stats'!$N$2:$N$366)</f>
        <v>71.435999999999993</v>
      </c>
      <c r="G3">
        <f>_xlfn.XLOOKUP(A3,'Team Stats'!$B$2:$B$366,'Team Stats'!$D$2:$D$366)/F3</f>
        <v>1.2696679545327287</v>
      </c>
      <c r="H3">
        <f>_xlfn.XLOOKUP(A3,'Team Stats'!$B$2:$B$366,'Team Stats'!$D$2:$D$366)</f>
        <v>90.7</v>
      </c>
    </row>
    <row r="4" spans="1:8" ht="15" customHeight="1" x14ac:dyDescent="0.25">
      <c r="A4" t="s">
        <v>90</v>
      </c>
      <c r="B4" s="146">
        <f t="array" ref="B4">_xlfn.XLOOKUP(A4,'Team Stats'!$B$2:$B$366,('Team Stats'!$E$2:$E$366+'Team Stats'!$H$2:$H$366/2)/'Team Stats'!$F$2:$F$366)*100</f>
        <v>55.623100303951368</v>
      </c>
      <c r="C4" s="146">
        <f>_xlfn.XLOOKUP(A4,'Team Stats'!$B$2:$B$366,'Team Stats'!$T$2:$T$366)/( _xlfn.XLOOKUP(A4,'Team Stats'!$B$2:$B$366,'Team Stats'!$T$2:$T$366)+_xlfn.XLOOKUP(A4,'Team Stats'!$B$2:$B$366,'Team Stats'!$F$2:$F$366)+0.44*_xlfn.XLOOKUP(A4,'Team Stats'!$B$2:$B$366,'Team Stats'!$L$2:$L$366)+_xlfn.XLOOKUP(A4,'Team Stats'!$B$2:$B$366,'Team Stats'!$Q$2:$Q$366))*100</f>
        <v>9.7242210898906993</v>
      </c>
      <c r="D4" s="146">
        <f>_xlfn.XLOOKUP(A4,'Team Stats'!$B$2:$B$366,'Team Stats'!$N$2:$N$366)/(_xlfn.XLOOKUP(A4,'Team Stats'!$B$2:$B$366,'Team Stats'!$N$2:$N$366)+_xlfn.XLOOKUP(A4,'Opponents stats vs'!$B$2:$B$366,'Opponents stats vs'!$O$2:$O$366))*100</f>
        <v>31.592689295039168</v>
      </c>
      <c r="E4" s="146">
        <f>_xlfn.XLOOKUP(A4,'Team Stats'!$B$2:$B$366,'Team Stats'!$K$2:$K$366)/_xlfn.XLOOKUP(A4,'Team Stats'!$B$2:$B$366,'Team Stats'!$F$2:$F$366)*100</f>
        <v>28.571428571428577</v>
      </c>
      <c r="F4" s="146">
        <f>_xlfn.XLOOKUP(A4,'Team Stats'!$B$2:$B$366,'Team Stats'!$F$2:$F$366)+0.44*_xlfn.XLOOKUP(A4,'Team Stats'!$B$2:$B$366,'Team Stats'!$L$2:$L$366)+_xlfn.XLOOKUP(A4,'Team Stats'!$B$2:$B$366,'Team Stats'!$T$2:$T$366)-_xlfn.XLOOKUP(A4,'Team Stats'!$B$2:$B$366,'Team Stats'!$N$2:$N$366)</f>
        <v>74.436000000000007</v>
      </c>
      <c r="G4">
        <f>_xlfn.XLOOKUP(A4,'Team Stats'!$B$2:$B$366,'Team Stats'!$D$2:$D$366)/F4</f>
        <v>1.2359610940942554</v>
      </c>
      <c r="H4">
        <f>_xlfn.XLOOKUP(A4,'Team Stats'!$B$2:$B$366,'Team Stats'!$D$2:$D$366)</f>
        <v>92</v>
      </c>
    </row>
    <row r="5" spans="1:8" ht="15" customHeight="1" x14ac:dyDescent="0.25">
      <c r="A5" t="s">
        <v>49</v>
      </c>
      <c r="B5" s="146">
        <f t="array" ref="B5">_xlfn.XLOOKUP(A5,'Team Stats'!$B$2:$B$366,('Team Stats'!$E$2:$E$366+'Team Stats'!$H$2:$H$366/2)/'Team Stats'!$F$2:$F$366)*100</f>
        <v>60.927152317880797</v>
      </c>
      <c r="C5" s="146">
        <f>_xlfn.XLOOKUP(A5,'Team Stats'!$B$2:$B$366,'Team Stats'!$T$2:$T$366)/( _xlfn.XLOOKUP(A5,'Team Stats'!$B$2:$B$366,'Team Stats'!$T$2:$T$366)+_xlfn.XLOOKUP(A5,'Team Stats'!$B$2:$B$366,'Team Stats'!$F$2:$F$366)+0.44*_xlfn.XLOOKUP(A5,'Team Stats'!$B$2:$B$366,'Team Stats'!$L$2:$L$366)+_xlfn.XLOOKUP(A5,'Team Stats'!$B$2:$B$366,'Team Stats'!$Q$2:$Q$366))*100</f>
        <v>12.237831814382934</v>
      </c>
      <c r="D5" s="146">
        <f>_xlfn.XLOOKUP(A5,'Team Stats'!$B$2:$B$366,'Team Stats'!$N$2:$N$366)/(_xlfn.XLOOKUP(A5,'Team Stats'!$B$2:$B$366,'Team Stats'!$N$2:$N$366)+_xlfn.XLOOKUP(A5,'Opponents stats vs'!$B$2:$B$366,'Opponents stats vs'!$O$2:$O$366))*100</f>
        <v>32.704402515723274</v>
      </c>
      <c r="E5" s="146">
        <f>_xlfn.XLOOKUP(A5,'Team Stats'!$B$2:$B$366,'Team Stats'!$K$2:$K$366)/_xlfn.XLOOKUP(A5,'Team Stats'!$B$2:$B$366,'Team Stats'!$F$2:$F$366)*100</f>
        <v>25.165562913907287</v>
      </c>
      <c r="F5" s="146">
        <f>_xlfn.XLOOKUP(A5,'Team Stats'!$B$2:$B$366,'Team Stats'!$F$2:$F$366)+0.44*_xlfn.XLOOKUP(A5,'Team Stats'!$B$2:$B$366,'Team Stats'!$L$2:$L$366)+_xlfn.XLOOKUP(A5,'Team Stats'!$B$2:$B$366,'Team Stats'!$T$2:$T$366)-_xlfn.XLOOKUP(A5,'Team Stats'!$B$2:$B$366,'Team Stats'!$N$2:$N$366)</f>
        <v>71.407999999999987</v>
      </c>
      <c r="G5">
        <f>_xlfn.XLOOKUP(A5,'Team Stats'!$B$2:$B$366,'Team Stats'!$D$2:$D$366)/F5</f>
        <v>1.2435581447456869</v>
      </c>
      <c r="H5">
        <f>_xlfn.XLOOKUP(A5,'Team Stats'!$B$2:$B$366,'Team Stats'!$D$2:$D$366)</f>
        <v>88.8</v>
      </c>
    </row>
    <row r="6" spans="1:8" ht="15" customHeight="1" x14ac:dyDescent="0.25">
      <c r="A6" t="s">
        <v>67</v>
      </c>
      <c r="B6" s="146">
        <f t="array" ref="B6">_xlfn.XLOOKUP(A6,'Team Stats'!$B$2:$B$366,('Team Stats'!$E$2:$E$366+'Team Stats'!$H$2:$H$366/2)/'Team Stats'!$F$2:$F$366)*100</f>
        <v>58.760330578512388</v>
      </c>
      <c r="C6" s="146">
        <f>_xlfn.XLOOKUP(A6,'Team Stats'!$B$2:$B$366,'Team Stats'!$T$2:$T$366)/( _xlfn.XLOOKUP(A6,'Team Stats'!$B$2:$B$366,'Team Stats'!$T$2:$T$366)+_xlfn.XLOOKUP(A6,'Team Stats'!$B$2:$B$366,'Team Stats'!$F$2:$F$366)+0.44*_xlfn.XLOOKUP(A6,'Team Stats'!$B$2:$B$366,'Team Stats'!$L$2:$L$366)+_xlfn.XLOOKUP(A6,'Team Stats'!$B$2:$B$366,'Team Stats'!$Q$2:$Q$366))*100</f>
        <v>11.966415568110483</v>
      </c>
      <c r="D6" s="146">
        <f>_xlfn.XLOOKUP(A6,'Team Stats'!$B$2:$B$366,'Team Stats'!$N$2:$N$366)/(_xlfn.XLOOKUP(A6,'Team Stats'!$B$2:$B$366,'Team Stats'!$N$2:$N$366)+_xlfn.XLOOKUP(A6,'Opponents stats vs'!$B$2:$B$366,'Opponents stats vs'!$O$2:$O$366))*100</f>
        <v>36.334405144694536</v>
      </c>
      <c r="E6" s="146">
        <f>_xlfn.XLOOKUP(A6,'Team Stats'!$B$2:$B$366,'Team Stats'!$K$2:$K$366)/_xlfn.XLOOKUP(A6,'Team Stats'!$B$2:$B$366,'Team Stats'!$F$2:$F$366)*100</f>
        <v>28.4297520661157</v>
      </c>
      <c r="F6" s="146">
        <f>_xlfn.XLOOKUP(A6,'Team Stats'!$B$2:$B$366,'Team Stats'!$F$2:$F$366)+0.44*_xlfn.XLOOKUP(A6,'Team Stats'!$B$2:$B$366,'Team Stats'!$L$2:$L$366)+_xlfn.XLOOKUP(A6,'Team Stats'!$B$2:$B$366,'Team Stats'!$T$2:$T$366)-_xlfn.XLOOKUP(A6,'Team Stats'!$B$2:$B$366,'Team Stats'!$N$2:$N$366)</f>
        <v>71.652000000000001</v>
      </c>
      <c r="G6">
        <f>_xlfn.XLOOKUP(A6,'Team Stats'!$B$2:$B$366,'Team Stats'!$D$2:$D$366)/F6</f>
        <v>1.233740858594317</v>
      </c>
      <c r="H6">
        <f>_xlfn.XLOOKUP(A6,'Team Stats'!$B$2:$B$366,'Team Stats'!$D$2:$D$366)</f>
        <v>88.4</v>
      </c>
    </row>
    <row r="7" spans="1:8" ht="15" customHeight="1" x14ac:dyDescent="0.25">
      <c r="A7" t="s">
        <v>233</v>
      </c>
      <c r="B7" s="146">
        <f t="array" ref="B7">_xlfn.XLOOKUP(A7,'Team Stats'!$B$2:$B$366,('Team Stats'!$E$2:$E$366+'Team Stats'!$H$2:$H$366/2)/'Team Stats'!$F$2:$F$366)*100</f>
        <v>59.550561797752813</v>
      </c>
      <c r="C7" s="146">
        <f>_xlfn.XLOOKUP(A7,'Team Stats'!$B$2:$B$366,'Team Stats'!$T$2:$T$366)/( _xlfn.XLOOKUP(A7,'Team Stats'!$B$2:$B$366,'Team Stats'!$T$2:$T$366)+_xlfn.XLOOKUP(A7,'Team Stats'!$B$2:$B$366,'Team Stats'!$F$2:$F$366)+0.44*_xlfn.XLOOKUP(A7,'Team Stats'!$B$2:$B$366,'Team Stats'!$L$2:$L$366)+_xlfn.XLOOKUP(A7,'Team Stats'!$B$2:$B$366,'Team Stats'!$Q$2:$Q$366))*100</f>
        <v>11.579881885204772</v>
      </c>
      <c r="D7" s="146">
        <f>_xlfn.XLOOKUP(A7,'Team Stats'!$B$2:$B$366,'Team Stats'!$N$2:$N$366)/(_xlfn.XLOOKUP(A7,'Team Stats'!$B$2:$B$366,'Team Stats'!$N$2:$N$366)+_xlfn.XLOOKUP(A7,'Opponents stats vs'!$B$2:$B$366,'Opponents stats vs'!$O$2:$O$366))*100</f>
        <v>31.065088757396452</v>
      </c>
      <c r="E7" s="146">
        <f>_xlfn.XLOOKUP(A7,'Team Stats'!$B$2:$B$366,'Team Stats'!$K$2:$K$366)/_xlfn.XLOOKUP(A7,'Team Stats'!$B$2:$B$366,'Team Stats'!$F$2:$F$366)*100</f>
        <v>22.31139646869984</v>
      </c>
      <c r="F7" s="146">
        <f>_xlfn.XLOOKUP(A7,'Team Stats'!$B$2:$B$366,'Team Stats'!$F$2:$F$366)+0.44*_xlfn.XLOOKUP(A7,'Team Stats'!$B$2:$B$366,'Team Stats'!$L$2:$L$366)+_xlfn.XLOOKUP(A7,'Team Stats'!$B$2:$B$366,'Team Stats'!$T$2:$T$366)-_xlfn.XLOOKUP(A7,'Team Stats'!$B$2:$B$366,'Team Stats'!$N$2:$N$366)</f>
        <v>72.027999999999992</v>
      </c>
      <c r="G7">
        <f>_xlfn.XLOOKUP(A7,'Team Stats'!$B$2:$B$366,'Team Stats'!$D$2:$D$366)/F7</f>
        <v>1.2231354473260398</v>
      </c>
      <c r="H7">
        <f>_xlfn.XLOOKUP(A7,'Team Stats'!$B$2:$B$366,'Team Stats'!$D$2:$D$366)</f>
        <v>88.1</v>
      </c>
    </row>
    <row r="8" spans="1:8" ht="15" customHeight="1" x14ac:dyDescent="0.25">
      <c r="A8" t="s">
        <v>87</v>
      </c>
      <c r="B8" s="146">
        <f t="array" ref="B8">_xlfn.XLOOKUP(A8,'Team Stats'!$B$2:$B$366,('Team Stats'!$E$2:$E$366+'Team Stats'!$H$2:$H$366/2)/'Team Stats'!$F$2:$F$366)*100</f>
        <v>54.725609756097562</v>
      </c>
      <c r="C8" s="146">
        <f>_xlfn.XLOOKUP(A8,'Team Stats'!$B$2:$B$366,'Team Stats'!$T$2:$T$366)/( _xlfn.XLOOKUP(A8,'Team Stats'!$B$2:$B$366,'Team Stats'!$T$2:$T$366)+_xlfn.XLOOKUP(A8,'Team Stats'!$B$2:$B$366,'Team Stats'!$F$2:$F$366)+0.44*_xlfn.XLOOKUP(A8,'Team Stats'!$B$2:$B$366,'Team Stats'!$L$2:$L$366)+_xlfn.XLOOKUP(A8,'Team Stats'!$B$2:$B$366,'Team Stats'!$Q$2:$Q$366))*100</f>
        <v>10.422402265397626</v>
      </c>
      <c r="D8" s="146">
        <f>_xlfn.XLOOKUP(A8,'Team Stats'!$B$2:$B$366,'Team Stats'!$N$2:$N$366)/(_xlfn.XLOOKUP(A8,'Team Stats'!$B$2:$B$366,'Team Stats'!$N$2:$N$366)+_xlfn.XLOOKUP(A8,'Opponents stats vs'!$B$2:$B$366,'Opponents stats vs'!$O$2:$O$366))*100</f>
        <v>35.501355013550132</v>
      </c>
      <c r="E8" s="146">
        <f>_xlfn.XLOOKUP(A8,'Team Stats'!$B$2:$B$366,'Team Stats'!$K$2:$K$366)/_xlfn.XLOOKUP(A8,'Team Stats'!$B$2:$B$366,'Team Stats'!$F$2:$F$366)*100</f>
        <v>27.743902439024392</v>
      </c>
      <c r="F8" s="146">
        <f>_xlfn.XLOOKUP(A8,'Team Stats'!$B$2:$B$366,'Team Stats'!$F$2:$F$366)+0.44*_xlfn.XLOOKUP(A8,'Team Stats'!$B$2:$B$366,'Team Stats'!$L$2:$L$366)+_xlfn.XLOOKUP(A8,'Team Stats'!$B$2:$B$366,'Team Stats'!$T$2:$T$366)-_xlfn.XLOOKUP(A8,'Team Stats'!$B$2:$B$366,'Team Stats'!$N$2:$N$366)</f>
        <v>73.703999999999994</v>
      </c>
      <c r="G8">
        <f>_xlfn.XLOOKUP(A8,'Team Stats'!$B$2:$B$366,'Team Stats'!$D$2:$D$366)/F8</f>
        <v>1.2211006186909803</v>
      </c>
      <c r="H8">
        <f>_xlfn.XLOOKUP(A8,'Team Stats'!$B$2:$B$366,'Team Stats'!$D$2:$D$366)</f>
        <v>90</v>
      </c>
    </row>
    <row r="9" spans="1:8" ht="15" customHeight="1" x14ac:dyDescent="0.25">
      <c r="A9" t="s">
        <v>184</v>
      </c>
      <c r="B9" s="146">
        <f t="array" ref="B9">_xlfn.XLOOKUP(A9,'Team Stats'!$B$2:$B$366,('Team Stats'!$E$2:$E$366+'Team Stats'!$H$2:$H$366/2)/'Team Stats'!$F$2:$F$366)*100</f>
        <v>58.956386292834893</v>
      </c>
      <c r="C9" s="146">
        <f>_xlfn.XLOOKUP(A9,'Team Stats'!$B$2:$B$366,'Team Stats'!$T$2:$T$366)/( _xlfn.XLOOKUP(A9,'Team Stats'!$B$2:$B$366,'Team Stats'!$T$2:$T$366)+_xlfn.XLOOKUP(A9,'Team Stats'!$B$2:$B$366,'Team Stats'!$F$2:$F$366)+0.44*_xlfn.XLOOKUP(A9,'Team Stats'!$B$2:$B$366,'Team Stats'!$L$2:$L$366)+_xlfn.XLOOKUP(A9,'Team Stats'!$B$2:$B$366,'Team Stats'!$Q$2:$Q$366))*100</f>
        <v>10.868288097755844</v>
      </c>
      <c r="D9" s="146">
        <f>_xlfn.XLOOKUP(A9,'Team Stats'!$B$2:$B$366,'Team Stats'!$N$2:$N$366)/(_xlfn.XLOOKUP(A9,'Team Stats'!$B$2:$B$366,'Team Stats'!$N$2:$N$366)+_xlfn.XLOOKUP(A9,'Opponents stats vs'!$B$2:$B$366,'Opponents stats vs'!$O$2:$O$366))*100</f>
        <v>34.534534534534536</v>
      </c>
      <c r="E9" s="146">
        <f>_xlfn.XLOOKUP(A9,'Team Stats'!$B$2:$B$366,'Team Stats'!$K$2:$K$366)/_xlfn.XLOOKUP(A9,'Team Stats'!$B$2:$B$366,'Team Stats'!$F$2:$F$366)*100</f>
        <v>21.495327102803738</v>
      </c>
      <c r="F9" s="146">
        <f>_xlfn.XLOOKUP(A9,'Team Stats'!$B$2:$B$366,'Team Stats'!$F$2:$F$366)+0.44*_xlfn.XLOOKUP(A9,'Team Stats'!$B$2:$B$366,'Team Stats'!$L$2:$L$366)+_xlfn.XLOOKUP(A9,'Team Stats'!$B$2:$B$366,'Team Stats'!$T$2:$T$366)-_xlfn.XLOOKUP(A9,'Team Stats'!$B$2:$B$366,'Team Stats'!$N$2:$N$366)</f>
        <v>71.632000000000005</v>
      </c>
      <c r="G9">
        <f>_xlfn.XLOOKUP(A9,'Team Stats'!$B$2:$B$366,'Team Stats'!$D$2:$D$366)/F9</f>
        <v>1.2480455662273844</v>
      </c>
      <c r="H9">
        <f>_xlfn.XLOOKUP(A9,'Team Stats'!$B$2:$B$366,'Team Stats'!$D$2:$D$366)</f>
        <v>89.4</v>
      </c>
    </row>
    <row r="10" spans="1:8" ht="15" customHeight="1" x14ac:dyDescent="0.25">
      <c r="A10" t="s">
        <v>79</v>
      </c>
      <c r="B10" s="146">
        <f t="array" ref="B10">_xlfn.XLOOKUP(A10,'Team Stats'!$B$2:$B$366,('Team Stats'!$E$2:$E$366+'Team Stats'!$H$2:$H$366/2)/'Team Stats'!$F$2:$F$366)*100</f>
        <v>54.921875</v>
      </c>
      <c r="C10" s="146">
        <f>_xlfn.XLOOKUP(A10,'Team Stats'!$B$2:$B$366,'Team Stats'!$T$2:$T$366)/( _xlfn.XLOOKUP(A10,'Team Stats'!$B$2:$B$366,'Team Stats'!$T$2:$T$366)+_xlfn.XLOOKUP(A10,'Team Stats'!$B$2:$B$366,'Team Stats'!$F$2:$F$366)+0.44*_xlfn.XLOOKUP(A10,'Team Stats'!$B$2:$B$366,'Team Stats'!$L$2:$L$366)+_xlfn.XLOOKUP(A10,'Team Stats'!$B$2:$B$366,'Team Stats'!$Q$2:$Q$366))*100</f>
        <v>10.465875484886892</v>
      </c>
      <c r="D10" s="146">
        <f>_xlfn.XLOOKUP(A10,'Team Stats'!$B$2:$B$366,'Team Stats'!$N$2:$N$366)/(_xlfn.XLOOKUP(A10,'Team Stats'!$B$2:$B$366,'Team Stats'!$N$2:$N$366)+_xlfn.XLOOKUP(A10,'Opponents stats vs'!$B$2:$B$366,'Opponents stats vs'!$O$2:$O$366))*100</f>
        <v>32.614555256064683</v>
      </c>
      <c r="E10" s="146">
        <f>_xlfn.XLOOKUP(A10,'Team Stats'!$B$2:$B$366,'Team Stats'!$K$2:$K$366)/_xlfn.XLOOKUP(A10,'Team Stats'!$B$2:$B$366,'Team Stats'!$F$2:$F$366)*100</f>
        <v>27.968749999999996</v>
      </c>
      <c r="F10" s="146">
        <f>_xlfn.XLOOKUP(A10,'Team Stats'!$B$2:$B$366,'Team Stats'!$F$2:$F$366)+0.44*_xlfn.XLOOKUP(A10,'Team Stats'!$B$2:$B$366,'Team Stats'!$L$2:$L$366)+_xlfn.XLOOKUP(A10,'Team Stats'!$B$2:$B$366,'Team Stats'!$T$2:$T$366)-_xlfn.XLOOKUP(A10,'Team Stats'!$B$2:$B$366,'Team Stats'!$N$2:$N$366)</f>
        <v>73.448000000000008</v>
      </c>
      <c r="G10">
        <f>_xlfn.XLOOKUP(A10,'Team Stats'!$B$2:$B$366,'Team Stats'!$D$2:$D$366)/F10</f>
        <v>1.2022110881167627</v>
      </c>
      <c r="H10">
        <f>_xlfn.XLOOKUP(A10,'Team Stats'!$B$2:$B$366,'Team Stats'!$D$2:$D$366)</f>
        <v>88.3</v>
      </c>
    </row>
    <row r="11" spans="1:8" ht="15" customHeight="1" x14ac:dyDescent="0.25">
      <c r="A11" t="s">
        <v>52</v>
      </c>
      <c r="B11" s="146">
        <f t="array" ref="B11">_xlfn.XLOOKUP(A11,'Team Stats'!$B$2:$B$366,('Team Stats'!$E$2:$E$366+'Team Stats'!$H$2:$H$366/2)/'Team Stats'!$F$2:$F$366)*100</f>
        <v>51.28983308042487</v>
      </c>
      <c r="C11" s="146">
        <f>_xlfn.XLOOKUP(A11,'Team Stats'!$B$2:$B$366,'Team Stats'!$T$2:$T$366)/( _xlfn.XLOOKUP(A11,'Team Stats'!$B$2:$B$366,'Team Stats'!$T$2:$T$366)+_xlfn.XLOOKUP(A11,'Team Stats'!$B$2:$B$366,'Team Stats'!$F$2:$F$366)+0.44*_xlfn.XLOOKUP(A11,'Team Stats'!$B$2:$B$366,'Team Stats'!$L$2:$L$366)+_xlfn.XLOOKUP(A11,'Team Stats'!$B$2:$B$366,'Team Stats'!$Q$2:$Q$366))*100</f>
        <v>10.677756547150723</v>
      </c>
      <c r="D11" s="146">
        <f>_xlfn.XLOOKUP(A11,'Team Stats'!$B$2:$B$366,'Team Stats'!$N$2:$N$366)/(_xlfn.XLOOKUP(A11,'Team Stats'!$B$2:$B$366,'Team Stats'!$N$2:$N$366)+_xlfn.XLOOKUP(A11,'Opponents stats vs'!$B$2:$B$366,'Opponents stats vs'!$O$2:$O$366))*100</f>
        <v>37.837837837837832</v>
      </c>
      <c r="E11" s="146">
        <f>_xlfn.XLOOKUP(A11,'Team Stats'!$B$2:$B$366,'Team Stats'!$K$2:$K$366)/_xlfn.XLOOKUP(A11,'Team Stats'!$B$2:$B$366,'Team Stats'!$F$2:$F$366)*100</f>
        <v>31.714719271623665</v>
      </c>
      <c r="F11" s="146">
        <f>_xlfn.XLOOKUP(A11,'Team Stats'!$B$2:$B$366,'Team Stats'!$F$2:$F$366)+0.44*_xlfn.XLOOKUP(A11,'Team Stats'!$B$2:$B$366,'Team Stats'!$L$2:$L$366)+_xlfn.XLOOKUP(A11,'Team Stats'!$B$2:$B$366,'Team Stats'!$T$2:$T$366)-_xlfn.XLOOKUP(A11,'Team Stats'!$B$2:$B$366,'Team Stats'!$N$2:$N$366)</f>
        <v>74.26400000000001</v>
      </c>
      <c r="G11">
        <f>_xlfn.XLOOKUP(A11,'Team Stats'!$B$2:$B$366,'Team Stats'!$D$2:$D$366)/F11</f>
        <v>1.1916944953140147</v>
      </c>
      <c r="H11">
        <f>_xlfn.XLOOKUP(A11,'Team Stats'!$B$2:$B$366,'Team Stats'!$D$2:$D$366)</f>
        <v>88.5</v>
      </c>
    </row>
    <row r="12" spans="1:8" ht="15" customHeight="1" x14ac:dyDescent="0.25">
      <c r="A12" t="s">
        <v>70</v>
      </c>
      <c r="B12" s="146">
        <f t="array" ref="B12">_xlfn.XLOOKUP(A12,'Team Stats'!$B$2:$B$366,('Team Stats'!$E$2:$E$366+'Team Stats'!$H$2:$H$366/2)/'Team Stats'!$F$2:$F$366)*100</f>
        <v>56.786271450858038</v>
      </c>
      <c r="C12" s="146">
        <f>_xlfn.XLOOKUP(A12,'Team Stats'!$B$2:$B$366,'Team Stats'!$T$2:$T$366)/( _xlfn.XLOOKUP(A12,'Team Stats'!$B$2:$B$366,'Team Stats'!$T$2:$T$366)+_xlfn.XLOOKUP(A12,'Team Stats'!$B$2:$B$366,'Team Stats'!$F$2:$F$366)+0.44*_xlfn.XLOOKUP(A12,'Team Stats'!$B$2:$B$366,'Team Stats'!$L$2:$L$366)+_xlfn.XLOOKUP(A12,'Team Stats'!$B$2:$B$366,'Team Stats'!$Q$2:$Q$366))*100</f>
        <v>8.9427662957074716</v>
      </c>
      <c r="D12" s="146">
        <f>_xlfn.XLOOKUP(A12,'Team Stats'!$B$2:$B$366,'Team Stats'!$N$2:$N$366)/(_xlfn.XLOOKUP(A12,'Team Stats'!$B$2:$B$366,'Team Stats'!$N$2:$N$366)+_xlfn.XLOOKUP(A12,'Opponents stats vs'!$B$2:$B$366,'Opponents stats vs'!$O$2:$O$366))*100</f>
        <v>32.058823529411768</v>
      </c>
      <c r="E12" s="146">
        <f>_xlfn.XLOOKUP(A12,'Team Stats'!$B$2:$B$366,'Team Stats'!$K$2:$K$366)/_xlfn.XLOOKUP(A12,'Team Stats'!$B$2:$B$366,'Team Stats'!$F$2:$F$366)*100</f>
        <v>27.457098283931362</v>
      </c>
      <c r="F12" s="146">
        <f>_xlfn.XLOOKUP(A12,'Team Stats'!$B$2:$B$366,'Team Stats'!$F$2:$F$366)+0.44*_xlfn.XLOOKUP(A12,'Team Stats'!$B$2:$B$366,'Team Stats'!$L$2:$L$366)+_xlfn.XLOOKUP(A12,'Team Stats'!$B$2:$B$366,'Team Stats'!$T$2:$T$366)-_xlfn.XLOOKUP(A12,'Team Stats'!$B$2:$B$366,'Team Stats'!$N$2:$N$366)</f>
        <v>72.539999999999992</v>
      </c>
      <c r="G12">
        <f>_xlfn.XLOOKUP(A12,'Team Stats'!$B$2:$B$366,'Team Stats'!$D$2:$D$366)/F12</f>
        <v>1.2448304383788256</v>
      </c>
      <c r="H12">
        <f>_xlfn.XLOOKUP(A12,'Team Stats'!$B$2:$B$366,'Team Stats'!$D$2:$D$366)</f>
        <v>90.3</v>
      </c>
    </row>
    <row r="13" spans="1:8" ht="15" customHeight="1" x14ac:dyDescent="0.25">
      <c r="A13" t="s">
        <v>24</v>
      </c>
      <c r="B13" s="146">
        <f t="array" ref="B13">_xlfn.XLOOKUP(A13,'Team Stats'!$B$2:$B$366,('Team Stats'!$E$2:$E$366+'Team Stats'!$H$2:$H$366/2)/'Team Stats'!$F$2:$F$366)*100</f>
        <v>55.492730210016163</v>
      </c>
      <c r="C13" s="146">
        <f>_xlfn.XLOOKUP(A13,'Team Stats'!$B$2:$B$366,'Team Stats'!$T$2:$T$366)/( _xlfn.XLOOKUP(A13,'Team Stats'!$B$2:$B$366,'Team Stats'!$T$2:$T$366)+_xlfn.XLOOKUP(A13,'Team Stats'!$B$2:$B$366,'Team Stats'!$F$2:$F$366)+0.44*_xlfn.XLOOKUP(A13,'Team Stats'!$B$2:$B$366,'Team Stats'!$L$2:$L$366)+_xlfn.XLOOKUP(A13,'Team Stats'!$B$2:$B$366,'Team Stats'!$Q$2:$Q$366))*100</f>
        <v>9.7608589555880911</v>
      </c>
      <c r="D13" s="146">
        <f>_xlfn.XLOOKUP(A13,'Team Stats'!$B$2:$B$366,'Team Stats'!$N$2:$N$366)/(_xlfn.XLOOKUP(A13,'Team Stats'!$B$2:$B$366,'Team Stats'!$N$2:$N$366)+_xlfn.XLOOKUP(A13,'Opponents stats vs'!$B$2:$B$366,'Opponents stats vs'!$O$2:$O$366))*100</f>
        <v>31.594202898550726</v>
      </c>
      <c r="E13" s="146">
        <f>_xlfn.XLOOKUP(A13,'Team Stats'!$B$2:$B$366,'Team Stats'!$K$2:$K$366)/_xlfn.XLOOKUP(A13,'Team Stats'!$B$2:$B$366,'Team Stats'!$F$2:$F$366)*100</f>
        <v>29.402261712439419</v>
      </c>
      <c r="F13" s="146">
        <f>_xlfn.XLOOKUP(A13,'Team Stats'!$B$2:$B$366,'Team Stats'!$F$2:$F$366)+0.44*_xlfn.XLOOKUP(A13,'Team Stats'!$B$2:$B$366,'Team Stats'!$L$2:$L$366)+_xlfn.XLOOKUP(A13,'Team Stats'!$B$2:$B$366,'Team Stats'!$T$2:$T$366)-_xlfn.XLOOKUP(A13,'Team Stats'!$B$2:$B$366,'Team Stats'!$N$2:$N$366)</f>
        <v>70.85199999999999</v>
      </c>
      <c r="G13">
        <f>_xlfn.XLOOKUP(A13,'Team Stats'!$B$2:$B$366,'Team Stats'!$D$2:$D$366)/F13</f>
        <v>1.2279117032687858</v>
      </c>
      <c r="H13">
        <f>_xlfn.XLOOKUP(A13,'Team Stats'!$B$2:$B$366,'Team Stats'!$D$2:$D$366)</f>
        <v>87</v>
      </c>
    </row>
    <row r="14" spans="1:8" ht="15" customHeight="1" x14ac:dyDescent="0.25">
      <c r="A14" t="s">
        <v>84</v>
      </c>
      <c r="B14" s="146">
        <f t="array" ref="B14">_xlfn.XLOOKUP(A14,'Team Stats'!$B$2:$B$366,('Team Stats'!$E$2:$E$366+'Team Stats'!$H$2:$H$366/2)/'Team Stats'!$F$2:$F$366)*100</f>
        <v>54.893964110929851</v>
      </c>
      <c r="C14" s="146">
        <f>_xlfn.XLOOKUP(A14,'Team Stats'!$B$2:$B$366,'Team Stats'!$T$2:$T$366)/( _xlfn.XLOOKUP(A14,'Team Stats'!$B$2:$B$366,'Team Stats'!$T$2:$T$366)+_xlfn.XLOOKUP(A14,'Team Stats'!$B$2:$B$366,'Team Stats'!$F$2:$F$366)+0.44*_xlfn.XLOOKUP(A14,'Team Stats'!$B$2:$B$366,'Team Stats'!$L$2:$L$366)+_xlfn.XLOOKUP(A14,'Team Stats'!$B$2:$B$366,'Team Stats'!$Q$2:$Q$366))*100</f>
        <v>10.888070633883675</v>
      </c>
      <c r="D14" s="146">
        <f>_xlfn.XLOOKUP(A14,'Team Stats'!$B$2:$B$366,'Team Stats'!$N$2:$N$366)/(_xlfn.XLOOKUP(A14,'Team Stats'!$B$2:$B$366,'Team Stats'!$N$2:$N$366)+_xlfn.XLOOKUP(A14,'Opponents stats vs'!$B$2:$B$366,'Opponents stats vs'!$O$2:$O$366))*100</f>
        <v>38.757396449704146</v>
      </c>
      <c r="E14" s="146">
        <f>_xlfn.XLOOKUP(A14,'Team Stats'!$B$2:$B$366,'Team Stats'!$K$2:$K$366)/_xlfn.XLOOKUP(A14,'Team Stats'!$B$2:$B$366,'Team Stats'!$F$2:$F$366)*100</f>
        <v>31.647634584013051</v>
      </c>
      <c r="F14" s="146">
        <f>_xlfn.XLOOKUP(A14,'Team Stats'!$B$2:$B$366,'Team Stats'!$F$2:$F$366)+0.44*_xlfn.XLOOKUP(A14,'Team Stats'!$B$2:$B$366,'Team Stats'!$L$2:$L$366)+_xlfn.XLOOKUP(A14,'Team Stats'!$B$2:$B$366,'Team Stats'!$T$2:$T$366)-_xlfn.XLOOKUP(A14,'Team Stats'!$B$2:$B$366,'Team Stats'!$N$2:$N$366)</f>
        <v>70.728000000000009</v>
      </c>
      <c r="G14">
        <f>_xlfn.XLOOKUP(A14,'Team Stats'!$B$2:$B$366,'Team Stats'!$D$2:$D$366)/F14</f>
        <v>1.2244090035063904</v>
      </c>
      <c r="H14">
        <f>_xlfn.XLOOKUP(A14,'Team Stats'!$B$2:$B$366,'Team Stats'!$D$2:$D$366)</f>
        <v>86.6</v>
      </c>
    </row>
    <row r="15" spans="1:8" ht="15" customHeight="1" x14ac:dyDescent="0.25">
      <c r="A15" t="s">
        <v>27</v>
      </c>
      <c r="B15" s="146">
        <f t="array" ref="B15">_xlfn.XLOOKUP(A15,'Team Stats'!$B$2:$B$366,('Team Stats'!$E$2:$E$366+'Team Stats'!$H$2:$H$366/2)/'Team Stats'!$F$2:$F$366)*100</f>
        <v>56.240249609984417</v>
      </c>
      <c r="C15" s="146">
        <f>_xlfn.XLOOKUP(A15,'Team Stats'!$B$2:$B$366,'Team Stats'!$T$2:$T$366)/( _xlfn.XLOOKUP(A15,'Team Stats'!$B$2:$B$366,'Team Stats'!$T$2:$T$366)+_xlfn.XLOOKUP(A15,'Team Stats'!$B$2:$B$366,'Team Stats'!$F$2:$F$366)+0.44*_xlfn.XLOOKUP(A15,'Team Stats'!$B$2:$B$366,'Team Stats'!$L$2:$L$366)+_xlfn.XLOOKUP(A15,'Team Stats'!$B$2:$B$366,'Team Stats'!$Q$2:$Q$366))*100</f>
        <v>9.6314242592739685</v>
      </c>
      <c r="D15" s="146">
        <f>_xlfn.XLOOKUP(A15,'Team Stats'!$B$2:$B$366,'Team Stats'!$N$2:$N$366)/(_xlfn.XLOOKUP(A15,'Team Stats'!$B$2:$B$366,'Team Stats'!$N$2:$N$366)+_xlfn.XLOOKUP(A15,'Opponents stats vs'!$B$2:$B$366,'Opponents stats vs'!$O$2:$O$366))*100</f>
        <v>34.971098265895947</v>
      </c>
      <c r="E15" s="146">
        <f>_xlfn.XLOOKUP(A15,'Team Stats'!$B$2:$B$366,'Team Stats'!$K$2:$K$366)/_xlfn.XLOOKUP(A15,'Team Stats'!$B$2:$B$366,'Team Stats'!$F$2:$F$366)*100</f>
        <v>21.684867394695789</v>
      </c>
      <c r="F15" s="146">
        <f>_xlfn.XLOOKUP(A15,'Team Stats'!$B$2:$B$366,'Team Stats'!$F$2:$F$366)+0.44*_xlfn.XLOOKUP(A15,'Team Stats'!$B$2:$B$366,'Team Stats'!$L$2:$L$366)+_xlfn.XLOOKUP(A15,'Team Stats'!$B$2:$B$366,'Team Stats'!$T$2:$T$366)-_xlfn.XLOOKUP(A15,'Team Stats'!$B$2:$B$366,'Team Stats'!$N$2:$N$366)</f>
        <v>70.412000000000006</v>
      </c>
      <c r="G15">
        <f>_xlfn.XLOOKUP(A15,'Team Stats'!$B$2:$B$366,'Team Stats'!$D$2:$D$366)/F15</f>
        <v>1.2213827188547406</v>
      </c>
      <c r="H15">
        <f>_xlfn.XLOOKUP(A15,'Team Stats'!$B$2:$B$366,'Team Stats'!$D$2:$D$366)</f>
        <v>86</v>
      </c>
    </row>
    <row r="16" spans="1:8" ht="15" customHeight="1" x14ac:dyDescent="0.25">
      <c r="A16" t="s">
        <v>378</v>
      </c>
      <c r="B16" s="146">
        <f t="array" ref="B16">_xlfn.XLOOKUP(A16,'Team Stats'!$B$2:$B$366,('Team Stats'!$E$2:$E$366+'Team Stats'!$H$2:$H$366/2)/'Team Stats'!$F$2:$F$366)*100</f>
        <v>54.823151125401928</v>
      </c>
      <c r="C16" s="146">
        <f>_xlfn.XLOOKUP(A16,'Team Stats'!$B$2:$B$366,'Team Stats'!$T$2:$T$366)/( _xlfn.XLOOKUP(A16,'Team Stats'!$B$2:$B$366,'Team Stats'!$T$2:$T$366)+_xlfn.XLOOKUP(A16,'Team Stats'!$B$2:$B$366,'Team Stats'!$F$2:$F$366)+0.44*_xlfn.XLOOKUP(A16,'Team Stats'!$B$2:$B$366,'Team Stats'!$L$2:$L$366)+_xlfn.XLOOKUP(A16,'Team Stats'!$B$2:$B$366,'Team Stats'!$Q$2:$Q$366))*100</f>
        <v>12.365199059434037</v>
      </c>
      <c r="D16" s="146">
        <f>_xlfn.XLOOKUP(A16,'Team Stats'!$B$2:$B$366,'Team Stats'!$N$2:$N$366)/(_xlfn.XLOOKUP(A16,'Team Stats'!$B$2:$B$366,'Team Stats'!$N$2:$N$366)+_xlfn.XLOOKUP(A16,'Opponents stats vs'!$B$2:$B$366,'Opponents stats vs'!$O$2:$O$366))*100</f>
        <v>32.27665706051873</v>
      </c>
      <c r="E16" s="146">
        <f>_xlfn.XLOOKUP(A16,'Team Stats'!$B$2:$B$366,'Team Stats'!$K$2:$K$366)/_xlfn.XLOOKUP(A16,'Team Stats'!$B$2:$B$366,'Team Stats'!$F$2:$F$366)*100</f>
        <v>28.45659163987138</v>
      </c>
      <c r="F16" s="146">
        <f>_xlfn.XLOOKUP(A16,'Team Stats'!$B$2:$B$366,'Team Stats'!$F$2:$F$366)+0.44*_xlfn.XLOOKUP(A16,'Team Stats'!$B$2:$B$366,'Team Stats'!$L$2:$L$366)+_xlfn.XLOOKUP(A16,'Team Stats'!$B$2:$B$366,'Team Stats'!$T$2:$T$366)-_xlfn.XLOOKUP(A16,'Team Stats'!$B$2:$B$366,'Team Stats'!$N$2:$N$366)</f>
        <v>73.364000000000004</v>
      </c>
      <c r="G16">
        <f>_xlfn.XLOOKUP(A16,'Team Stats'!$B$2:$B$366,'Team Stats'!$D$2:$D$366)/F16</f>
        <v>1.1695109317921595</v>
      </c>
      <c r="H16">
        <f>_xlfn.XLOOKUP(A16,'Team Stats'!$B$2:$B$366,'Team Stats'!$D$2:$D$366)</f>
        <v>85.8</v>
      </c>
    </row>
    <row r="17" spans="1:8" ht="15" customHeight="1" x14ac:dyDescent="0.25">
      <c r="A17" t="s">
        <v>30</v>
      </c>
      <c r="B17" s="146">
        <f t="array" ref="B17">_xlfn.XLOOKUP(A17,'Team Stats'!$B$2:$B$366,('Team Stats'!$E$2:$E$366+'Team Stats'!$H$2:$H$366/2)/'Team Stats'!$F$2:$F$366)*100</f>
        <v>56.391585760517806</v>
      </c>
      <c r="C17" s="146">
        <f>_xlfn.XLOOKUP(A17,'Team Stats'!$B$2:$B$366,'Team Stats'!$T$2:$T$366)/( _xlfn.XLOOKUP(A17,'Team Stats'!$B$2:$B$366,'Team Stats'!$T$2:$T$366)+_xlfn.XLOOKUP(A17,'Team Stats'!$B$2:$B$366,'Team Stats'!$F$2:$F$366)+0.44*_xlfn.XLOOKUP(A17,'Team Stats'!$B$2:$B$366,'Team Stats'!$L$2:$L$366)+_xlfn.XLOOKUP(A17,'Team Stats'!$B$2:$B$366,'Team Stats'!$Q$2:$Q$366))*100</f>
        <v>11.804249529830741</v>
      </c>
      <c r="D17" s="146">
        <f>_xlfn.XLOOKUP(A17,'Team Stats'!$B$2:$B$366,'Team Stats'!$N$2:$N$366)/(_xlfn.XLOOKUP(A17,'Team Stats'!$B$2:$B$366,'Team Stats'!$N$2:$N$366)+_xlfn.XLOOKUP(A17,'Opponents stats vs'!$B$2:$B$366,'Opponents stats vs'!$O$2:$O$366))*100</f>
        <v>33.142857142857139</v>
      </c>
      <c r="E17" s="146">
        <f>_xlfn.XLOOKUP(A17,'Team Stats'!$B$2:$B$366,'Team Stats'!$K$2:$K$366)/_xlfn.XLOOKUP(A17,'Team Stats'!$B$2:$B$366,'Team Stats'!$F$2:$F$366)*100</f>
        <v>25.728155339805824</v>
      </c>
      <c r="F17" s="146">
        <f>_xlfn.XLOOKUP(A17,'Team Stats'!$B$2:$B$366,'Team Stats'!$F$2:$F$366)+0.44*_xlfn.XLOOKUP(A17,'Team Stats'!$B$2:$B$366,'Team Stats'!$L$2:$L$366)+_xlfn.XLOOKUP(A17,'Team Stats'!$B$2:$B$366,'Team Stats'!$T$2:$T$366)-_xlfn.XLOOKUP(A17,'Team Stats'!$B$2:$B$366,'Team Stats'!$N$2:$N$366)</f>
        <v>71.064000000000007</v>
      </c>
      <c r="G17">
        <f>_xlfn.XLOOKUP(A17,'Team Stats'!$B$2:$B$366,'Team Stats'!$D$2:$D$366)/F17</f>
        <v>1.2059551953168974</v>
      </c>
      <c r="H17">
        <f>_xlfn.XLOOKUP(A17,'Team Stats'!$B$2:$B$366,'Team Stats'!$D$2:$D$366)</f>
        <v>85.7</v>
      </c>
    </row>
    <row r="18" spans="1:8" ht="15" customHeight="1" x14ac:dyDescent="0.25">
      <c r="A18" t="s">
        <v>61</v>
      </c>
      <c r="B18" s="146">
        <f t="array" ref="B18">_xlfn.XLOOKUP(A18,'Team Stats'!$B$2:$B$366,('Team Stats'!$E$2:$E$366+'Team Stats'!$H$2:$H$366/2)/'Team Stats'!$F$2:$F$366)*100</f>
        <v>54</v>
      </c>
      <c r="C18" s="146">
        <f>_xlfn.XLOOKUP(A18,'Team Stats'!$B$2:$B$366,'Team Stats'!$T$2:$T$366)/( _xlfn.XLOOKUP(A18,'Team Stats'!$B$2:$B$366,'Team Stats'!$T$2:$T$366)+_xlfn.XLOOKUP(A18,'Team Stats'!$B$2:$B$366,'Team Stats'!$F$2:$F$366)+0.44*_xlfn.XLOOKUP(A18,'Team Stats'!$B$2:$B$366,'Team Stats'!$L$2:$L$366)+_xlfn.XLOOKUP(A18,'Team Stats'!$B$2:$B$366,'Team Stats'!$Q$2:$Q$366))*100</f>
        <v>11.210332669017323</v>
      </c>
      <c r="D18" s="146">
        <f>_xlfn.XLOOKUP(A18,'Team Stats'!$B$2:$B$366,'Team Stats'!$N$2:$N$366)/(_xlfn.XLOOKUP(A18,'Team Stats'!$B$2:$B$366,'Team Stats'!$N$2:$N$366)+_xlfn.XLOOKUP(A18,'Opponents stats vs'!$B$2:$B$366,'Opponents stats vs'!$O$2:$O$366))*100</f>
        <v>42.89544235924933</v>
      </c>
      <c r="E18" s="146">
        <f>_xlfn.XLOOKUP(A18,'Team Stats'!$B$2:$B$366,'Team Stats'!$K$2:$K$366)/_xlfn.XLOOKUP(A18,'Team Stats'!$B$2:$B$366,'Team Stats'!$F$2:$F$366)*100</f>
        <v>27.07692307692308</v>
      </c>
      <c r="F18" s="146">
        <f>_xlfn.XLOOKUP(A18,'Team Stats'!$B$2:$B$366,'Team Stats'!$F$2:$F$366)+0.44*_xlfn.XLOOKUP(A18,'Team Stats'!$B$2:$B$366,'Team Stats'!$L$2:$L$366)+_xlfn.XLOOKUP(A18,'Team Stats'!$B$2:$B$366,'Team Stats'!$T$2:$T$366)-_xlfn.XLOOKUP(A18,'Team Stats'!$B$2:$B$366,'Team Stats'!$N$2:$N$366)</f>
        <v>71.567999999999998</v>
      </c>
      <c r="G18">
        <f>_xlfn.XLOOKUP(A18,'Team Stats'!$B$2:$B$366,'Team Stats'!$D$2:$D$366)/F18</f>
        <v>1.2268052761010508</v>
      </c>
      <c r="H18">
        <f>_xlfn.XLOOKUP(A18,'Team Stats'!$B$2:$B$366,'Team Stats'!$D$2:$D$366)</f>
        <v>87.8</v>
      </c>
    </row>
    <row r="19" spans="1:8" ht="15" customHeight="1" x14ac:dyDescent="0.25">
      <c r="A19" t="s">
        <v>74</v>
      </c>
      <c r="B19" s="146">
        <f t="array" ref="B19">_xlfn.XLOOKUP(A19,'Team Stats'!$B$2:$B$366,('Team Stats'!$E$2:$E$366+'Team Stats'!$H$2:$H$366/2)/'Team Stats'!$F$2:$F$366)*100</f>
        <v>54.911433172302736</v>
      </c>
      <c r="C19" s="146">
        <f>_xlfn.XLOOKUP(A19,'Team Stats'!$B$2:$B$366,'Team Stats'!$T$2:$T$366)/( _xlfn.XLOOKUP(A19,'Team Stats'!$B$2:$B$366,'Team Stats'!$T$2:$T$366)+_xlfn.XLOOKUP(A19,'Team Stats'!$B$2:$B$366,'Team Stats'!$F$2:$F$366)+0.44*_xlfn.XLOOKUP(A19,'Team Stats'!$B$2:$B$366,'Team Stats'!$L$2:$L$366)+_xlfn.XLOOKUP(A19,'Team Stats'!$B$2:$B$366,'Team Stats'!$Q$2:$Q$366))*100</f>
        <v>11.199137251648763</v>
      </c>
      <c r="D19" s="146">
        <f>_xlfn.XLOOKUP(A19,'Team Stats'!$B$2:$B$366,'Team Stats'!$N$2:$N$366)/(_xlfn.XLOOKUP(A19,'Team Stats'!$B$2:$B$366,'Team Stats'!$N$2:$N$366)+_xlfn.XLOOKUP(A19,'Opponents stats vs'!$B$2:$B$366,'Opponents stats vs'!$O$2:$O$366))*100</f>
        <v>33.798882681564244</v>
      </c>
      <c r="E19" s="146">
        <f>_xlfn.XLOOKUP(A19,'Team Stats'!$B$2:$B$366,'Team Stats'!$K$2:$K$366)/_xlfn.XLOOKUP(A19,'Team Stats'!$B$2:$B$366,'Team Stats'!$F$2:$F$366)*100</f>
        <v>26.247987117552334</v>
      </c>
      <c r="F19" s="146">
        <f>_xlfn.XLOOKUP(A19,'Team Stats'!$B$2:$B$366,'Team Stats'!$F$2:$F$366)+0.44*_xlfn.XLOOKUP(A19,'Team Stats'!$B$2:$B$366,'Team Stats'!$L$2:$L$366)+_xlfn.XLOOKUP(A19,'Team Stats'!$B$2:$B$366,'Team Stats'!$T$2:$T$366)-_xlfn.XLOOKUP(A19,'Team Stats'!$B$2:$B$366,'Team Stats'!$N$2:$N$366)</f>
        <v>70.436000000000007</v>
      </c>
      <c r="G19">
        <f>_xlfn.XLOOKUP(A19,'Team Stats'!$B$2:$B$366,'Team Stats'!$D$2:$D$366)/F19</f>
        <v>1.1982508944289851</v>
      </c>
      <c r="H19">
        <f>_xlfn.XLOOKUP(A19,'Team Stats'!$B$2:$B$366,'Team Stats'!$D$2:$D$366)</f>
        <v>84.4</v>
      </c>
    </row>
    <row r="20" spans="1:8" ht="15" customHeight="1" x14ac:dyDescent="0.25">
      <c r="A20" t="s">
        <v>98</v>
      </c>
      <c r="B20" s="146">
        <f t="array" ref="B20">_xlfn.XLOOKUP(A20,'Team Stats'!$B$2:$B$366,('Team Stats'!$E$2:$E$366+'Team Stats'!$H$2:$H$366/2)/'Team Stats'!$F$2:$F$366)*100</f>
        <v>56.16</v>
      </c>
      <c r="C20" s="146">
        <f>_xlfn.XLOOKUP(A20,'Team Stats'!$B$2:$B$366,'Team Stats'!$T$2:$T$366)/( _xlfn.XLOOKUP(A20,'Team Stats'!$B$2:$B$366,'Team Stats'!$T$2:$T$366)+_xlfn.XLOOKUP(A20,'Team Stats'!$B$2:$B$366,'Team Stats'!$F$2:$F$366)+0.44*_xlfn.XLOOKUP(A20,'Team Stats'!$B$2:$B$366,'Team Stats'!$L$2:$L$366)+_xlfn.XLOOKUP(A20,'Team Stats'!$B$2:$B$366,'Team Stats'!$Q$2:$Q$366))*100</f>
        <v>11.30135616273953</v>
      </c>
      <c r="D20" s="146">
        <f>_xlfn.XLOOKUP(A20,'Team Stats'!$B$2:$B$366,'Team Stats'!$N$2:$N$366)/(_xlfn.XLOOKUP(A20,'Team Stats'!$B$2:$B$366,'Team Stats'!$N$2:$N$366)+_xlfn.XLOOKUP(A20,'Opponents stats vs'!$B$2:$B$366,'Opponents stats vs'!$O$2:$O$366))*100</f>
        <v>34.883720930232556</v>
      </c>
      <c r="E20" s="146">
        <f>_xlfn.XLOOKUP(A20,'Team Stats'!$B$2:$B$366,'Team Stats'!$K$2:$K$366)/_xlfn.XLOOKUP(A20,'Team Stats'!$B$2:$B$366,'Team Stats'!$F$2:$F$366)*100</f>
        <v>24.159999999999997</v>
      </c>
      <c r="F20" s="146">
        <f>_xlfn.XLOOKUP(A20,'Team Stats'!$B$2:$B$366,'Team Stats'!$F$2:$F$366)+0.44*_xlfn.XLOOKUP(A20,'Team Stats'!$B$2:$B$366,'Team Stats'!$L$2:$L$366)+_xlfn.XLOOKUP(A20,'Team Stats'!$B$2:$B$366,'Team Stats'!$T$2:$T$366)-_xlfn.XLOOKUP(A20,'Team Stats'!$B$2:$B$366,'Team Stats'!$N$2:$N$366)</f>
        <v>70.688000000000002</v>
      </c>
      <c r="G20">
        <f>_xlfn.XLOOKUP(A20,'Team Stats'!$B$2:$B$366,'Team Stats'!$D$2:$D$366)/F20</f>
        <v>1.2052965142598462</v>
      </c>
      <c r="H20">
        <f>_xlfn.XLOOKUP(A20,'Team Stats'!$B$2:$B$366,'Team Stats'!$D$2:$D$366)</f>
        <v>85.2</v>
      </c>
    </row>
    <row r="21" spans="1:8" ht="15" customHeight="1" x14ac:dyDescent="0.25">
      <c r="A21" t="s">
        <v>293</v>
      </c>
      <c r="B21" s="146">
        <f t="array" ref="B21">_xlfn.XLOOKUP(A21,'Team Stats'!$B$2:$B$366,('Team Stats'!$E$2:$E$366+'Team Stats'!$H$2:$H$366/2)/'Team Stats'!$F$2:$F$366)*100</f>
        <v>53.664495114006513</v>
      </c>
      <c r="C21" s="146">
        <f>_xlfn.XLOOKUP(A21,'Team Stats'!$B$2:$B$366,'Team Stats'!$T$2:$T$366)/( _xlfn.XLOOKUP(A21,'Team Stats'!$B$2:$B$366,'Team Stats'!$T$2:$T$366)+_xlfn.XLOOKUP(A21,'Team Stats'!$B$2:$B$366,'Team Stats'!$F$2:$F$366)+0.44*_xlfn.XLOOKUP(A21,'Team Stats'!$B$2:$B$366,'Team Stats'!$L$2:$L$366)+_xlfn.XLOOKUP(A21,'Team Stats'!$B$2:$B$366,'Team Stats'!$Q$2:$Q$366))*100</f>
        <v>13.196196390452164</v>
      </c>
      <c r="D21" s="146">
        <f>_xlfn.XLOOKUP(A21,'Team Stats'!$B$2:$B$366,'Team Stats'!$N$2:$N$366)/(_xlfn.XLOOKUP(A21,'Team Stats'!$B$2:$B$366,'Team Stats'!$N$2:$N$366)+_xlfn.XLOOKUP(A21,'Opponents stats vs'!$B$2:$B$366,'Opponents stats vs'!$O$2:$O$366))*100</f>
        <v>35.635359116022094</v>
      </c>
      <c r="E21" s="146">
        <f>_xlfn.XLOOKUP(A21,'Team Stats'!$B$2:$B$366,'Team Stats'!$K$2:$K$366)/_xlfn.XLOOKUP(A21,'Team Stats'!$B$2:$B$366,'Team Stats'!$F$2:$F$366)*100</f>
        <v>32.084690553745929</v>
      </c>
      <c r="F21" s="146">
        <f>_xlfn.XLOOKUP(A21,'Team Stats'!$B$2:$B$366,'Team Stats'!$F$2:$F$366)+0.44*_xlfn.XLOOKUP(A21,'Team Stats'!$B$2:$B$366,'Team Stats'!$L$2:$L$366)+_xlfn.XLOOKUP(A21,'Team Stats'!$B$2:$B$366,'Team Stats'!$T$2:$T$366)-_xlfn.XLOOKUP(A21,'Team Stats'!$B$2:$B$366,'Team Stats'!$N$2:$N$366)</f>
        <v>73.759999999999991</v>
      </c>
      <c r="G21">
        <f>_xlfn.XLOOKUP(A21,'Team Stats'!$B$2:$B$366,'Team Stats'!$D$2:$D$366)/F21</f>
        <v>1.1605206073752712</v>
      </c>
      <c r="H21">
        <f>_xlfn.XLOOKUP(A21,'Team Stats'!$B$2:$B$366,'Team Stats'!$D$2:$D$366)</f>
        <v>85.6</v>
      </c>
    </row>
    <row r="22" spans="1:8" ht="15" customHeight="1" x14ac:dyDescent="0.25">
      <c r="A22" t="s">
        <v>434</v>
      </c>
      <c r="B22" s="146">
        <f t="array" ref="B22">_xlfn.XLOOKUP(A22,'Team Stats'!$B$2:$B$366,('Team Stats'!$E$2:$E$366+'Team Stats'!$H$2:$H$366/2)/'Team Stats'!$F$2:$F$366)*100</f>
        <v>57.724957555178271</v>
      </c>
      <c r="C22" s="146">
        <f>_xlfn.XLOOKUP(A22,'Team Stats'!$B$2:$B$366,'Team Stats'!$T$2:$T$366)/( _xlfn.XLOOKUP(A22,'Team Stats'!$B$2:$B$366,'Team Stats'!$T$2:$T$366)+_xlfn.XLOOKUP(A22,'Team Stats'!$B$2:$B$366,'Team Stats'!$F$2:$F$366)+0.44*_xlfn.XLOOKUP(A22,'Team Stats'!$B$2:$B$366,'Team Stats'!$L$2:$L$366)+_xlfn.XLOOKUP(A22,'Team Stats'!$B$2:$B$366,'Team Stats'!$Q$2:$Q$366))*100</f>
        <v>10.808428475486904</v>
      </c>
      <c r="D22" s="146">
        <f>_xlfn.XLOOKUP(A22,'Team Stats'!$B$2:$B$366,'Team Stats'!$N$2:$N$366)/(_xlfn.XLOOKUP(A22,'Team Stats'!$B$2:$B$366,'Team Stats'!$N$2:$N$366)+_xlfn.XLOOKUP(A22,'Opponents stats vs'!$B$2:$B$366,'Opponents stats vs'!$O$2:$O$366))*100</f>
        <v>34.46153846153846</v>
      </c>
      <c r="E22" s="146">
        <f>_xlfn.XLOOKUP(A22,'Team Stats'!$B$2:$B$366,'Team Stats'!$K$2:$K$366)/_xlfn.XLOOKUP(A22,'Team Stats'!$B$2:$B$366,'Team Stats'!$F$2:$F$366)*100</f>
        <v>31.069609507640074</v>
      </c>
      <c r="F22" s="146">
        <f>_xlfn.XLOOKUP(A22,'Team Stats'!$B$2:$B$366,'Team Stats'!$F$2:$F$366)+0.44*_xlfn.XLOOKUP(A22,'Team Stats'!$B$2:$B$366,'Team Stats'!$L$2:$L$366)+_xlfn.XLOOKUP(A22,'Team Stats'!$B$2:$B$366,'Team Stats'!$T$2:$T$366)-_xlfn.XLOOKUP(A22,'Team Stats'!$B$2:$B$366,'Team Stats'!$N$2:$N$366)</f>
        <v>68.295999999999992</v>
      </c>
      <c r="G22">
        <f>_xlfn.XLOOKUP(A22,'Team Stats'!$B$2:$B$366,'Team Stats'!$D$2:$D$366)/F22</f>
        <v>1.2636171957362072</v>
      </c>
      <c r="H22">
        <f>_xlfn.XLOOKUP(A22,'Team Stats'!$B$2:$B$366,'Team Stats'!$D$2:$D$366)</f>
        <v>86.3</v>
      </c>
    </row>
    <row r="23" spans="1:8" ht="15" customHeight="1" x14ac:dyDescent="0.25">
      <c r="A23" t="s">
        <v>60</v>
      </c>
      <c r="B23" s="146">
        <f t="array" ref="B23">_xlfn.XLOOKUP(A23,'Team Stats'!$B$2:$B$366,('Team Stats'!$E$2:$E$366+'Team Stats'!$H$2:$H$366/2)/'Team Stats'!$F$2:$F$366)*100</f>
        <v>55.584192439862548</v>
      </c>
      <c r="C23" s="146">
        <f>_xlfn.XLOOKUP(A23,'Team Stats'!$B$2:$B$366,'Team Stats'!$T$2:$T$366)/( _xlfn.XLOOKUP(A23,'Team Stats'!$B$2:$B$366,'Team Stats'!$T$2:$T$366)+_xlfn.XLOOKUP(A23,'Team Stats'!$B$2:$B$366,'Team Stats'!$F$2:$F$366)+0.44*_xlfn.XLOOKUP(A23,'Team Stats'!$B$2:$B$366,'Team Stats'!$L$2:$L$366)+_xlfn.XLOOKUP(A23,'Team Stats'!$B$2:$B$366,'Team Stats'!$Q$2:$Q$366))*100</f>
        <v>11.72395990190595</v>
      </c>
      <c r="D23" s="146">
        <f>_xlfn.XLOOKUP(A23,'Team Stats'!$B$2:$B$366,'Team Stats'!$N$2:$N$366)/(_xlfn.XLOOKUP(A23,'Team Stats'!$B$2:$B$366,'Team Stats'!$N$2:$N$366)+_xlfn.XLOOKUP(A23,'Opponents stats vs'!$B$2:$B$366,'Opponents stats vs'!$O$2:$O$366))*100</f>
        <v>37.195121951219512</v>
      </c>
      <c r="E23" s="146">
        <f>_xlfn.XLOOKUP(A23,'Team Stats'!$B$2:$B$366,'Team Stats'!$K$2:$K$366)/_xlfn.XLOOKUP(A23,'Team Stats'!$B$2:$B$366,'Team Stats'!$F$2:$F$366)*100</f>
        <v>33.676975945017183</v>
      </c>
      <c r="F23" s="146">
        <f>_xlfn.XLOOKUP(A23,'Team Stats'!$B$2:$B$366,'Team Stats'!$F$2:$F$366)+0.44*_xlfn.XLOOKUP(A23,'Team Stats'!$B$2:$B$366,'Team Stats'!$L$2:$L$366)+_xlfn.XLOOKUP(A23,'Team Stats'!$B$2:$B$366,'Team Stats'!$T$2:$T$366)-_xlfn.XLOOKUP(A23,'Team Stats'!$B$2:$B$366,'Team Stats'!$N$2:$N$366)</f>
        <v>68.472000000000008</v>
      </c>
      <c r="G23">
        <f>_xlfn.XLOOKUP(A23,'Team Stats'!$B$2:$B$366,'Team Stats'!$D$2:$D$366)/F23</f>
        <v>1.231160182264283</v>
      </c>
      <c r="H23">
        <f>_xlfn.XLOOKUP(A23,'Team Stats'!$B$2:$B$366,'Team Stats'!$D$2:$D$366)</f>
        <v>84.3</v>
      </c>
    </row>
    <row r="24" spans="1:8" ht="15" customHeight="1" x14ac:dyDescent="0.25">
      <c r="A24" t="s">
        <v>292</v>
      </c>
      <c r="B24" s="146">
        <f t="array" ref="B24">_xlfn.XLOOKUP(A24,'Team Stats'!$B$2:$B$366,('Team Stats'!$E$2:$E$366+'Team Stats'!$H$2:$H$366/2)/'Team Stats'!$F$2:$F$366)*100</f>
        <v>52.232854864433811</v>
      </c>
      <c r="C24" s="146">
        <f>_xlfn.XLOOKUP(A24,'Team Stats'!$B$2:$B$366,'Team Stats'!$T$2:$T$366)/( _xlfn.XLOOKUP(A24,'Team Stats'!$B$2:$B$366,'Team Stats'!$T$2:$T$366)+_xlfn.XLOOKUP(A24,'Team Stats'!$B$2:$B$366,'Team Stats'!$F$2:$F$366)+0.44*_xlfn.XLOOKUP(A24,'Team Stats'!$B$2:$B$366,'Team Stats'!$L$2:$L$366)+_xlfn.XLOOKUP(A24,'Team Stats'!$B$2:$B$366,'Team Stats'!$Q$2:$Q$366))*100</f>
        <v>11.875544295780223</v>
      </c>
      <c r="D24" s="146">
        <f>_xlfn.XLOOKUP(A24,'Team Stats'!$B$2:$B$366,'Team Stats'!$N$2:$N$366)/(_xlfn.XLOOKUP(A24,'Team Stats'!$B$2:$B$366,'Team Stats'!$N$2:$N$366)+_xlfn.XLOOKUP(A24,'Opponents stats vs'!$B$2:$B$366,'Opponents stats vs'!$O$2:$O$366))*100</f>
        <v>36.787564766839381</v>
      </c>
      <c r="E24" s="146">
        <f>_xlfn.XLOOKUP(A24,'Team Stats'!$B$2:$B$366,'Team Stats'!$K$2:$K$366)/_xlfn.XLOOKUP(A24,'Team Stats'!$B$2:$B$366,'Team Stats'!$F$2:$F$366)*100</f>
        <v>29.186602870813399</v>
      </c>
      <c r="F24" s="146">
        <f>_xlfn.XLOOKUP(A24,'Team Stats'!$B$2:$B$366,'Team Stats'!$F$2:$F$366)+0.44*_xlfn.XLOOKUP(A24,'Team Stats'!$B$2:$B$366,'Team Stats'!$L$2:$L$366)+_xlfn.XLOOKUP(A24,'Team Stats'!$B$2:$B$366,'Team Stats'!$T$2:$T$366)-_xlfn.XLOOKUP(A24,'Team Stats'!$B$2:$B$366,'Team Stats'!$N$2:$N$366)</f>
        <v>72.248000000000005</v>
      </c>
      <c r="G24">
        <f>_xlfn.XLOOKUP(A24,'Team Stats'!$B$2:$B$366,'Team Stats'!$D$2:$D$366)/F24</f>
        <v>1.1585095781198096</v>
      </c>
      <c r="H24">
        <f>_xlfn.XLOOKUP(A24,'Team Stats'!$B$2:$B$366,'Team Stats'!$D$2:$D$366)</f>
        <v>83.7</v>
      </c>
    </row>
    <row r="25" spans="1:8" ht="15" customHeight="1" x14ac:dyDescent="0.25">
      <c r="A25" t="s">
        <v>473</v>
      </c>
      <c r="B25" s="146">
        <f t="array" ref="B25">_xlfn.XLOOKUP(A25,'Team Stats'!$B$2:$B$366,('Team Stats'!$E$2:$E$366+'Team Stats'!$H$2:$H$366/2)/'Team Stats'!$F$2:$F$366)*100</f>
        <v>51.926163723916538</v>
      </c>
      <c r="C25" s="146">
        <f>_xlfn.XLOOKUP(A25,'Team Stats'!$B$2:$B$366,'Team Stats'!$T$2:$T$366)/( _xlfn.XLOOKUP(A25,'Team Stats'!$B$2:$B$366,'Team Stats'!$T$2:$T$366)+_xlfn.XLOOKUP(A25,'Team Stats'!$B$2:$B$366,'Team Stats'!$F$2:$F$366)+0.44*_xlfn.XLOOKUP(A25,'Team Stats'!$B$2:$B$366,'Team Stats'!$L$2:$L$366)+_xlfn.XLOOKUP(A25,'Team Stats'!$B$2:$B$366,'Team Stats'!$Q$2:$Q$366))*100</f>
        <v>10.943335609011687</v>
      </c>
      <c r="D25" s="146">
        <f>_xlfn.XLOOKUP(A25,'Team Stats'!$B$2:$B$366,'Team Stats'!$N$2:$N$366)/(_xlfn.XLOOKUP(A25,'Team Stats'!$B$2:$B$366,'Team Stats'!$N$2:$N$366)+_xlfn.XLOOKUP(A25,'Opponents stats vs'!$B$2:$B$366,'Opponents stats vs'!$O$2:$O$366))*100</f>
        <v>35.989717223650388</v>
      </c>
      <c r="E25" s="146">
        <f>_xlfn.XLOOKUP(A25,'Team Stats'!$B$2:$B$366,'Team Stats'!$K$2:$K$366)/_xlfn.XLOOKUP(A25,'Team Stats'!$B$2:$B$366,'Team Stats'!$F$2:$F$366)*100</f>
        <v>31.300160513643661</v>
      </c>
      <c r="F25" s="146">
        <f>_xlfn.XLOOKUP(A25,'Team Stats'!$B$2:$B$366,'Team Stats'!$F$2:$F$366)+0.44*_xlfn.XLOOKUP(A25,'Team Stats'!$B$2:$B$366,'Team Stats'!$L$2:$L$366)+_xlfn.XLOOKUP(A25,'Team Stats'!$B$2:$B$366,'Team Stats'!$T$2:$T$366)-_xlfn.XLOOKUP(A25,'Team Stats'!$B$2:$B$366,'Team Stats'!$N$2:$N$366)</f>
        <v>70.903999999999996</v>
      </c>
      <c r="G25">
        <f>_xlfn.XLOOKUP(A25,'Team Stats'!$B$2:$B$366,'Team Stats'!$D$2:$D$366)/F25</f>
        <v>1.1875211553650007</v>
      </c>
      <c r="H25">
        <f>_xlfn.XLOOKUP(A25,'Team Stats'!$B$2:$B$366,'Team Stats'!$D$2:$D$366)</f>
        <v>84.2</v>
      </c>
    </row>
    <row r="26" spans="1:8" ht="15" customHeight="1" x14ac:dyDescent="0.25">
      <c r="A26" t="s">
        <v>50</v>
      </c>
      <c r="B26" s="146">
        <f t="array" ref="B26">_xlfn.XLOOKUP(A26,'Team Stats'!$B$2:$B$366,('Team Stats'!$E$2:$E$366+'Team Stats'!$H$2:$H$366/2)/'Team Stats'!$F$2:$F$366)*100</f>
        <v>55.121951219512191</v>
      </c>
      <c r="C26" s="146">
        <f>_xlfn.XLOOKUP(A26,'Team Stats'!$B$2:$B$366,'Team Stats'!$T$2:$T$366)/( _xlfn.XLOOKUP(A26,'Team Stats'!$B$2:$B$366,'Team Stats'!$T$2:$T$366)+_xlfn.XLOOKUP(A26,'Team Stats'!$B$2:$B$366,'Team Stats'!$F$2:$F$366)+0.44*_xlfn.XLOOKUP(A26,'Team Stats'!$B$2:$B$366,'Team Stats'!$L$2:$L$366)+_xlfn.XLOOKUP(A26,'Team Stats'!$B$2:$B$366,'Team Stats'!$Q$2:$Q$366))*100</f>
        <v>9.612571571864418</v>
      </c>
      <c r="D26" s="146">
        <f>_xlfn.XLOOKUP(A26,'Team Stats'!$B$2:$B$366,'Team Stats'!$N$2:$N$366)/(_xlfn.XLOOKUP(A26,'Team Stats'!$B$2:$B$366,'Team Stats'!$N$2:$N$366)+_xlfn.XLOOKUP(A26,'Opponents stats vs'!$B$2:$B$366,'Opponents stats vs'!$O$2:$O$366))*100</f>
        <v>28.490028490028489</v>
      </c>
      <c r="E26" s="146">
        <f>_xlfn.XLOOKUP(A26,'Team Stats'!$B$2:$B$366,'Team Stats'!$K$2:$K$366)/_xlfn.XLOOKUP(A26,'Team Stats'!$B$2:$B$366,'Team Stats'!$F$2:$F$366)*100</f>
        <v>25.691056910569106</v>
      </c>
      <c r="F26" s="146">
        <f>_xlfn.XLOOKUP(A26,'Team Stats'!$B$2:$B$366,'Team Stats'!$F$2:$F$366)+0.44*_xlfn.XLOOKUP(A26,'Team Stats'!$B$2:$B$366,'Team Stats'!$L$2:$L$366)+_xlfn.XLOOKUP(A26,'Team Stats'!$B$2:$B$366,'Team Stats'!$T$2:$T$366)-_xlfn.XLOOKUP(A26,'Team Stats'!$B$2:$B$366,'Team Stats'!$N$2:$N$366)</f>
        <v>69.808000000000007</v>
      </c>
      <c r="G26">
        <f>_xlfn.XLOOKUP(A26,'Team Stats'!$B$2:$B$366,'Team Stats'!$D$2:$D$366)/F26</f>
        <v>1.1961379784551913</v>
      </c>
      <c r="H26">
        <f>_xlfn.XLOOKUP(A26,'Team Stats'!$B$2:$B$366,'Team Stats'!$D$2:$D$366)</f>
        <v>83.5</v>
      </c>
    </row>
    <row r="27" spans="1:8" ht="15" customHeight="1" x14ac:dyDescent="0.25">
      <c r="A27" t="s">
        <v>362</v>
      </c>
      <c r="B27" s="146">
        <f t="array" ref="B27">_xlfn.XLOOKUP(A27,'Team Stats'!$B$2:$B$366,('Team Stats'!$E$2:$E$366+'Team Stats'!$H$2:$H$366/2)/'Team Stats'!$F$2:$F$366)*100</f>
        <v>52.305246422893482</v>
      </c>
      <c r="C27" s="146">
        <f>_xlfn.XLOOKUP(A27,'Team Stats'!$B$2:$B$366,'Team Stats'!$T$2:$T$366)/( _xlfn.XLOOKUP(A27,'Team Stats'!$B$2:$B$366,'Team Stats'!$T$2:$T$366)+_xlfn.XLOOKUP(A27,'Team Stats'!$B$2:$B$366,'Team Stats'!$F$2:$F$366)+0.44*_xlfn.XLOOKUP(A27,'Team Stats'!$B$2:$B$366,'Team Stats'!$L$2:$L$366)+_xlfn.XLOOKUP(A27,'Team Stats'!$B$2:$B$366,'Team Stats'!$Q$2:$Q$366))*100</f>
        <v>12.171469284357189</v>
      </c>
      <c r="D27" s="146">
        <f>_xlfn.XLOOKUP(A27,'Team Stats'!$B$2:$B$366,'Team Stats'!$N$2:$N$366)/(_xlfn.XLOOKUP(A27,'Team Stats'!$B$2:$B$366,'Team Stats'!$N$2:$N$366)+_xlfn.XLOOKUP(A27,'Opponents stats vs'!$B$2:$B$366,'Opponents stats vs'!$O$2:$O$366))*100</f>
        <v>30.623306233062326</v>
      </c>
      <c r="E27" s="146">
        <f>_xlfn.XLOOKUP(A27,'Team Stats'!$B$2:$B$366,'Team Stats'!$K$2:$K$366)/_xlfn.XLOOKUP(A27,'Team Stats'!$B$2:$B$366,'Team Stats'!$F$2:$F$366)*100</f>
        <v>29.252782193958666</v>
      </c>
      <c r="F27" s="146">
        <f>_xlfn.XLOOKUP(A27,'Team Stats'!$B$2:$B$366,'Team Stats'!$F$2:$F$366)+0.44*_xlfn.XLOOKUP(A27,'Team Stats'!$B$2:$B$366,'Team Stats'!$L$2:$L$366)+_xlfn.XLOOKUP(A27,'Team Stats'!$B$2:$B$366,'Team Stats'!$T$2:$T$366)-_xlfn.XLOOKUP(A27,'Team Stats'!$B$2:$B$366,'Team Stats'!$N$2:$N$366)</f>
        <v>74.855999999999995</v>
      </c>
      <c r="G27">
        <f>_xlfn.XLOOKUP(A27,'Team Stats'!$B$2:$B$366,'Team Stats'!$D$2:$D$366)/F27</f>
        <v>1.1248263332264616</v>
      </c>
      <c r="H27">
        <f>_xlfn.XLOOKUP(A27,'Team Stats'!$B$2:$B$366,'Team Stats'!$D$2:$D$366)</f>
        <v>84.2</v>
      </c>
    </row>
    <row r="28" spans="1:8" ht="15" customHeight="1" x14ac:dyDescent="0.25">
      <c r="A28" t="s">
        <v>36</v>
      </c>
      <c r="B28" s="146">
        <f t="array" ref="B28">_xlfn.XLOOKUP(A28,'Team Stats'!$B$2:$B$366,('Team Stats'!$E$2:$E$366+'Team Stats'!$H$2:$H$366/2)/'Team Stats'!$F$2:$F$366)*100</f>
        <v>57.508532423208194</v>
      </c>
      <c r="C28" s="146">
        <f>_xlfn.XLOOKUP(A28,'Team Stats'!$B$2:$B$366,'Team Stats'!$T$2:$T$366)/( _xlfn.XLOOKUP(A28,'Team Stats'!$B$2:$B$366,'Team Stats'!$T$2:$T$366)+_xlfn.XLOOKUP(A28,'Team Stats'!$B$2:$B$366,'Team Stats'!$F$2:$F$366)+0.44*_xlfn.XLOOKUP(A28,'Team Stats'!$B$2:$B$366,'Team Stats'!$L$2:$L$366)+_xlfn.XLOOKUP(A28,'Team Stats'!$B$2:$B$366,'Team Stats'!$Q$2:$Q$366))*100</f>
        <v>11.092680904001659</v>
      </c>
      <c r="D28" s="146">
        <f>_xlfn.XLOOKUP(A28,'Team Stats'!$B$2:$B$366,'Team Stats'!$N$2:$N$366)/(_xlfn.XLOOKUP(A28,'Team Stats'!$B$2:$B$366,'Team Stats'!$N$2:$N$366)+_xlfn.XLOOKUP(A28,'Opponents stats vs'!$B$2:$B$366,'Opponents stats vs'!$O$2:$O$366))*100</f>
        <v>34.049079754601223</v>
      </c>
      <c r="E28" s="146">
        <f>_xlfn.XLOOKUP(A28,'Team Stats'!$B$2:$B$366,'Team Stats'!$K$2:$K$366)/_xlfn.XLOOKUP(A28,'Team Stats'!$B$2:$B$366,'Team Stats'!$F$2:$F$366)*100</f>
        <v>25.767918088737201</v>
      </c>
      <c r="F28" s="146">
        <f>_xlfn.XLOOKUP(A28,'Team Stats'!$B$2:$B$366,'Team Stats'!$F$2:$F$366)+0.44*_xlfn.XLOOKUP(A28,'Team Stats'!$B$2:$B$366,'Team Stats'!$L$2:$L$366)+_xlfn.XLOOKUP(A28,'Team Stats'!$B$2:$B$366,'Team Stats'!$T$2:$T$366)-_xlfn.XLOOKUP(A28,'Team Stats'!$B$2:$B$366,'Team Stats'!$N$2:$N$366)</f>
        <v>67.660000000000011</v>
      </c>
      <c r="G28">
        <f>_xlfn.XLOOKUP(A28,'Team Stats'!$B$2:$B$366,'Team Stats'!$D$2:$D$366)/F28</f>
        <v>1.2222879101389299</v>
      </c>
      <c r="H28">
        <f>_xlfn.XLOOKUP(A28,'Team Stats'!$B$2:$B$366,'Team Stats'!$D$2:$D$366)</f>
        <v>82.7</v>
      </c>
    </row>
    <row r="29" spans="1:8" ht="15" customHeight="1" x14ac:dyDescent="0.25">
      <c r="A29" t="s">
        <v>334</v>
      </c>
      <c r="B29" s="146">
        <f t="array" ref="B29">_xlfn.XLOOKUP(A29,'Team Stats'!$B$2:$B$366,('Team Stats'!$E$2:$E$366+'Team Stats'!$H$2:$H$366/2)/'Team Stats'!$F$2:$F$366)*100</f>
        <v>54.200988467874787</v>
      </c>
      <c r="C29" s="146">
        <f>_xlfn.XLOOKUP(A29,'Team Stats'!$B$2:$B$366,'Team Stats'!$T$2:$T$366)/( _xlfn.XLOOKUP(A29,'Team Stats'!$B$2:$B$366,'Team Stats'!$T$2:$T$366)+_xlfn.XLOOKUP(A29,'Team Stats'!$B$2:$B$366,'Team Stats'!$F$2:$F$366)+0.44*_xlfn.XLOOKUP(A29,'Team Stats'!$B$2:$B$366,'Team Stats'!$L$2:$L$366)+_xlfn.XLOOKUP(A29,'Team Stats'!$B$2:$B$366,'Team Stats'!$Q$2:$Q$366))*100</f>
        <v>12.221393653160993</v>
      </c>
      <c r="D29" s="146">
        <f>_xlfn.XLOOKUP(A29,'Team Stats'!$B$2:$B$366,'Team Stats'!$N$2:$N$366)/(_xlfn.XLOOKUP(A29,'Team Stats'!$B$2:$B$366,'Team Stats'!$N$2:$N$366)+_xlfn.XLOOKUP(A29,'Opponents stats vs'!$B$2:$B$366,'Opponents stats vs'!$O$2:$O$366))*100</f>
        <v>33.427762039660067</v>
      </c>
      <c r="E29" s="146">
        <f>_xlfn.XLOOKUP(A29,'Team Stats'!$B$2:$B$366,'Team Stats'!$K$2:$K$366)/_xlfn.XLOOKUP(A29,'Team Stats'!$B$2:$B$366,'Team Stats'!$F$2:$F$366)*100</f>
        <v>29.159802306425036</v>
      </c>
      <c r="F29" s="146">
        <f>_xlfn.XLOOKUP(A29,'Team Stats'!$B$2:$B$366,'Team Stats'!$F$2:$F$366)+0.44*_xlfn.XLOOKUP(A29,'Team Stats'!$B$2:$B$366,'Team Stats'!$L$2:$L$366)+_xlfn.XLOOKUP(A29,'Team Stats'!$B$2:$B$366,'Team Stats'!$T$2:$T$366)-_xlfn.XLOOKUP(A29,'Team Stats'!$B$2:$B$366,'Team Stats'!$N$2:$N$366)</f>
        <v>70.951999999999998</v>
      </c>
      <c r="G29">
        <f>_xlfn.XLOOKUP(A29,'Team Stats'!$B$2:$B$366,'Team Stats'!$D$2:$D$366)/F29</f>
        <v>1.176851956252114</v>
      </c>
      <c r="H29">
        <f>_xlfn.XLOOKUP(A29,'Team Stats'!$B$2:$B$366,'Team Stats'!$D$2:$D$366)</f>
        <v>83.5</v>
      </c>
    </row>
    <row r="30" spans="1:8" ht="15" customHeight="1" x14ac:dyDescent="0.25">
      <c r="A30" t="s">
        <v>55</v>
      </c>
      <c r="B30" s="146">
        <f t="array" ref="B30">_xlfn.XLOOKUP(A30,'Team Stats'!$B$2:$B$366,('Team Stats'!$E$2:$E$366+'Team Stats'!$H$2:$H$366/2)/'Team Stats'!$F$2:$F$366)*100</f>
        <v>50.887096774193552</v>
      </c>
      <c r="C30" s="146">
        <f>_xlfn.XLOOKUP(A30,'Team Stats'!$B$2:$B$366,'Team Stats'!$T$2:$T$366)/( _xlfn.XLOOKUP(A30,'Team Stats'!$B$2:$B$366,'Team Stats'!$T$2:$T$366)+_xlfn.XLOOKUP(A30,'Team Stats'!$B$2:$B$366,'Team Stats'!$F$2:$F$366)+0.44*_xlfn.XLOOKUP(A30,'Team Stats'!$B$2:$B$366,'Team Stats'!$L$2:$L$366)+_xlfn.XLOOKUP(A30,'Team Stats'!$B$2:$B$366,'Team Stats'!$Q$2:$Q$366))*100</f>
        <v>10.446098133630468</v>
      </c>
      <c r="D30" s="146">
        <f>_xlfn.XLOOKUP(A30,'Team Stats'!$B$2:$B$366,'Team Stats'!$N$2:$N$366)/(_xlfn.XLOOKUP(A30,'Team Stats'!$B$2:$B$366,'Team Stats'!$N$2:$N$366)+_xlfn.XLOOKUP(A30,'Opponents stats vs'!$B$2:$B$366,'Opponents stats vs'!$O$2:$O$366))*100</f>
        <v>36.216216216216218</v>
      </c>
      <c r="E30" s="146">
        <f>_xlfn.XLOOKUP(A30,'Team Stats'!$B$2:$B$366,'Team Stats'!$K$2:$K$366)/_xlfn.XLOOKUP(A30,'Team Stats'!$B$2:$B$366,'Team Stats'!$F$2:$F$366)*100</f>
        <v>30.967741935483872</v>
      </c>
      <c r="F30" s="146">
        <f>_xlfn.XLOOKUP(A30,'Team Stats'!$B$2:$B$366,'Team Stats'!$F$2:$F$366)+0.44*_xlfn.XLOOKUP(A30,'Team Stats'!$B$2:$B$366,'Team Stats'!$L$2:$L$366)+_xlfn.XLOOKUP(A30,'Team Stats'!$B$2:$B$366,'Team Stats'!$T$2:$T$366)-_xlfn.XLOOKUP(A30,'Team Stats'!$B$2:$B$366,'Team Stats'!$N$2:$N$366)</f>
        <v>70.715999999999994</v>
      </c>
      <c r="G30">
        <f>_xlfn.XLOOKUP(A30,'Team Stats'!$B$2:$B$366,'Team Stats'!$D$2:$D$366)/F30</f>
        <v>1.1623960631257426</v>
      </c>
      <c r="H30">
        <f>_xlfn.XLOOKUP(A30,'Team Stats'!$B$2:$B$366,'Team Stats'!$D$2:$D$366)</f>
        <v>82.2</v>
      </c>
    </row>
    <row r="31" spans="1:8" ht="15" customHeight="1" x14ac:dyDescent="0.25">
      <c r="A31" t="s">
        <v>380</v>
      </c>
      <c r="B31" s="146">
        <f t="array" ref="B31">_xlfn.XLOOKUP(A31,'Team Stats'!$B$2:$B$366,('Team Stats'!$E$2:$E$366+'Team Stats'!$H$2:$H$366/2)/'Team Stats'!$F$2:$F$366)*100</f>
        <v>56.68896321070234</v>
      </c>
      <c r="C31" s="146">
        <f>_xlfn.XLOOKUP(A31,'Team Stats'!$B$2:$B$366,'Team Stats'!$T$2:$T$366)/( _xlfn.XLOOKUP(A31,'Team Stats'!$B$2:$B$366,'Team Stats'!$T$2:$T$366)+_xlfn.XLOOKUP(A31,'Team Stats'!$B$2:$B$366,'Team Stats'!$F$2:$F$366)+0.44*_xlfn.XLOOKUP(A31,'Team Stats'!$B$2:$B$366,'Team Stats'!$L$2:$L$366)+_xlfn.XLOOKUP(A31,'Team Stats'!$B$2:$B$366,'Team Stats'!$Q$2:$Q$366))*100</f>
        <v>11.020085665571591</v>
      </c>
      <c r="D31" s="146">
        <f>_xlfn.XLOOKUP(A31,'Team Stats'!$B$2:$B$366,'Team Stats'!$N$2:$N$366)/(_xlfn.XLOOKUP(A31,'Team Stats'!$B$2:$B$366,'Team Stats'!$N$2:$N$366)+_xlfn.XLOOKUP(A31,'Opponents stats vs'!$B$2:$B$366,'Opponents stats vs'!$O$2:$O$366))*100</f>
        <v>30.447761194029848</v>
      </c>
      <c r="E31" s="146">
        <f>_xlfn.XLOOKUP(A31,'Team Stats'!$B$2:$B$366,'Team Stats'!$K$2:$K$366)/_xlfn.XLOOKUP(A31,'Team Stats'!$B$2:$B$366,'Team Stats'!$F$2:$F$366)*100</f>
        <v>28.260869565217391</v>
      </c>
      <c r="F31" s="146">
        <f>_xlfn.XLOOKUP(A31,'Team Stats'!$B$2:$B$366,'Team Stats'!$F$2:$F$366)+0.44*_xlfn.XLOOKUP(A31,'Team Stats'!$B$2:$B$366,'Team Stats'!$L$2:$L$366)+_xlfn.XLOOKUP(A31,'Team Stats'!$B$2:$B$366,'Team Stats'!$T$2:$T$366)-_xlfn.XLOOKUP(A31,'Team Stats'!$B$2:$B$366,'Team Stats'!$N$2:$N$366)</f>
        <v>70.187999999999988</v>
      </c>
      <c r="G31">
        <f>_xlfn.XLOOKUP(A31,'Team Stats'!$B$2:$B$366,'Team Stats'!$D$2:$D$366)/F31</f>
        <v>1.2067589901407652</v>
      </c>
      <c r="H31">
        <f>_xlfn.XLOOKUP(A31,'Team Stats'!$B$2:$B$366,'Team Stats'!$D$2:$D$366)</f>
        <v>84.7</v>
      </c>
    </row>
    <row r="32" spans="1:8" ht="15" customHeight="1" x14ac:dyDescent="0.25">
      <c r="A32" t="s">
        <v>39</v>
      </c>
      <c r="B32" s="146">
        <f t="array" ref="B32">_xlfn.XLOOKUP(A32,'Team Stats'!$B$2:$B$366,('Team Stats'!$E$2:$E$366+'Team Stats'!$H$2:$H$366/2)/'Team Stats'!$F$2:$F$366)*100</f>
        <v>55.161290322580648</v>
      </c>
      <c r="C32" s="146">
        <f>_xlfn.XLOOKUP(A32,'Team Stats'!$B$2:$B$366,'Team Stats'!$T$2:$T$366)/( _xlfn.XLOOKUP(A32,'Team Stats'!$B$2:$B$366,'Team Stats'!$T$2:$T$366)+_xlfn.XLOOKUP(A32,'Team Stats'!$B$2:$B$366,'Team Stats'!$F$2:$F$366)+0.44*_xlfn.XLOOKUP(A32,'Team Stats'!$B$2:$B$366,'Team Stats'!$L$2:$L$366)+_xlfn.XLOOKUP(A32,'Team Stats'!$B$2:$B$366,'Team Stats'!$Q$2:$Q$366))*100</f>
        <v>9.5061050318982634</v>
      </c>
      <c r="D32" s="146">
        <f>_xlfn.XLOOKUP(A32,'Team Stats'!$B$2:$B$366,'Team Stats'!$N$2:$N$366)/(_xlfn.XLOOKUP(A32,'Team Stats'!$B$2:$B$366,'Team Stats'!$N$2:$N$366)+_xlfn.XLOOKUP(A32,'Opponents stats vs'!$B$2:$B$366,'Opponents stats vs'!$O$2:$O$366))*100</f>
        <v>39.1812865497076</v>
      </c>
      <c r="E32" s="146">
        <f>_xlfn.XLOOKUP(A32,'Team Stats'!$B$2:$B$366,'Team Stats'!$K$2:$K$366)/_xlfn.XLOOKUP(A32,'Team Stats'!$B$2:$B$366,'Team Stats'!$F$2:$F$366)*100</f>
        <v>26.129032258064516</v>
      </c>
      <c r="F32" s="146">
        <f>_xlfn.XLOOKUP(A32,'Team Stats'!$B$2:$B$366,'Team Stats'!$F$2:$F$366)+0.44*_xlfn.XLOOKUP(A32,'Team Stats'!$B$2:$B$366,'Team Stats'!$L$2:$L$366)+_xlfn.XLOOKUP(A32,'Team Stats'!$B$2:$B$366,'Team Stats'!$T$2:$T$366)-_xlfn.XLOOKUP(A32,'Team Stats'!$B$2:$B$366,'Team Stats'!$N$2:$N$366)</f>
        <v>66.575999999999993</v>
      </c>
      <c r="G32">
        <f>_xlfn.XLOOKUP(A32,'Team Stats'!$B$2:$B$366,'Team Stats'!$D$2:$D$366)/F32</f>
        <v>1.2692261475606827</v>
      </c>
      <c r="H32">
        <f>_xlfn.XLOOKUP(A32,'Team Stats'!$B$2:$B$366,'Team Stats'!$D$2:$D$366)</f>
        <v>84.5</v>
      </c>
    </row>
    <row r="33" spans="1:8" ht="15" customHeight="1" x14ac:dyDescent="0.25">
      <c r="A33" t="s">
        <v>279</v>
      </c>
      <c r="B33" s="146">
        <f t="array" ref="B33">_xlfn.XLOOKUP(A33,'Team Stats'!$B$2:$B$366,('Team Stats'!$E$2:$E$366+'Team Stats'!$H$2:$H$366/2)/'Team Stats'!$F$2:$F$366)*100</f>
        <v>52.975326560232219</v>
      </c>
      <c r="C33" s="146">
        <f>_xlfn.XLOOKUP(A33,'Team Stats'!$B$2:$B$366,'Team Stats'!$T$2:$T$366)/( _xlfn.XLOOKUP(A33,'Team Stats'!$B$2:$B$366,'Team Stats'!$T$2:$T$366)+_xlfn.XLOOKUP(A33,'Team Stats'!$B$2:$B$366,'Team Stats'!$F$2:$F$366)+0.44*_xlfn.XLOOKUP(A33,'Team Stats'!$B$2:$B$366,'Team Stats'!$L$2:$L$366)+_xlfn.XLOOKUP(A33,'Team Stats'!$B$2:$B$366,'Team Stats'!$Q$2:$Q$366))*100</f>
        <v>11.149929383780568</v>
      </c>
      <c r="D33" s="146">
        <f>_xlfn.XLOOKUP(A33,'Team Stats'!$B$2:$B$366,'Team Stats'!$N$2:$N$366)/(_xlfn.XLOOKUP(A33,'Team Stats'!$B$2:$B$366,'Team Stats'!$N$2:$N$366)+_xlfn.XLOOKUP(A33,'Opponents stats vs'!$B$2:$B$366,'Opponents stats vs'!$O$2:$O$366))*100</f>
        <v>29.503916449086166</v>
      </c>
      <c r="E33" s="146">
        <f>_xlfn.XLOOKUP(A33,'Team Stats'!$B$2:$B$366,'Team Stats'!$K$2:$K$366)/_xlfn.XLOOKUP(A33,'Team Stats'!$B$2:$B$366,'Team Stats'!$F$2:$F$366)*100</f>
        <v>15.384615384615383</v>
      </c>
      <c r="F33" s="146">
        <f>_xlfn.XLOOKUP(A33,'Team Stats'!$B$2:$B$366,'Team Stats'!$F$2:$F$366)+0.44*_xlfn.XLOOKUP(A33,'Team Stats'!$B$2:$B$366,'Team Stats'!$L$2:$L$366)+_xlfn.XLOOKUP(A33,'Team Stats'!$B$2:$B$366,'Team Stats'!$T$2:$T$366)-_xlfn.XLOOKUP(A33,'Team Stats'!$B$2:$B$366,'Team Stats'!$N$2:$N$366)</f>
        <v>76.024000000000015</v>
      </c>
      <c r="G33">
        <f>_xlfn.XLOOKUP(A33,'Team Stats'!$B$2:$B$366,'Team Stats'!$D$2:$D$366)/F33</f>
        <v>1.0983373671472165</v>
      </c>
      <c r="H33">
        <f>_xlfn.XLOOKUP(A33,'Team Stats'!$B$2:$B$366,'Team Stats'!$D$2:$D$366)</f>
        <v>83.5</v>
      </c>
    </row>
    <row r="34" spans="1:8" ht="15" customHeight="1" x14ac:dyDescent="0.25">
      <c r="A34" t="s">
        <v>194</v>
      </c>
      <c r="B34" s="146">
        <f t="array" ref="B34">_xlfn.XLOOKUP(A34,'Team Stats'!$B$2:$B$366,('Team Stats'!$E$2:$E$366+'Team Stats'!$H$2:$H$366/2)/'Team Stats'!$F$2:$F$366)*100</f>
        <v>52.671118530884812</v>
      </c>
      <c r="C34" s="146">
        <f>_xlfn.XLOOKUP(A34,'Team Stats'!$B$2:$B$366,'Team Stats'!$T$2:$T$366)/( _xlfn.XLOOKUP(A34,'Team Stats'!$B$2:$B$366,'Team Stats'!$T$2:$T$366)+_xlfn.XLOOKUP(A34,'Team Stats'!$B$2:$B$366,'Team Stats'!$F$2:$F$366)+0.44*_xlfn.XLOOKUP(A34,'Team Stats'!$B$2:$B$366,'Team Stats'!$L$2:$L$366)+_xlfn.XLOOKUP(A34,'Team Stats'!$B$2:$B$366,'Team Stats'!$Q$2:$Q$366))*100</f>
        <v>10.736842105263159</v>
      </c>
      <c r="D34" s="146">
        <f>_xlfn.XLOOKUP(A34,'Team Stats'!$B$2:$B$366,'Team Stats'!$N$2:$N$366)/(_xlfn.XLOOKUP(A34,'Team Stats'!$B$2:$B$366,'Team Stats'!$N$2:$N$366)+_xlfn.XLOOKUP(A34,'Opponents stats vs'!$B$2:$B$366,'Opponents stats vs'!$O$2:$O$366))*100</f>
        <v>38.243626062322953</v>
      </c>
      <c r="E34" s="146">
        <f>_xlfn.XLOOKUP(A34,'Team Stats'!$B$2:$B$366,'Team Stats'!$K$2:$K$366)/_xlfn.XLOOKUP(A34,'Team Stats'!$B$2:$B$366,'Team Stats'!$F$2:$F$366)*100</f>
        <v>34.223706176961606</v>
      </c>
      <c r="F34" s="146">
        <f>_xlfn.XLOOKUP(A34,'Team Stats'!$B$2:$B$366,'Team Stats'!$F$2:$F$366)+0.44*_xlfn.XLOOKUP(A34,'Team Stats'!$B$2:$B$366,'Team Stats'!$L$2:$L$366)+_xlfn.XLOOKUP(A34,'Team Stats'!$B$2:$B$366,'Team Stats'!$T$2:$T$366)-_xlfn.XLOOKUP(A34,'Team Stats'!$B$2:$B$366,'Team Stats'!$N$2:$N$366)</f>
        <v>68.7</v>
      </c>
      <c r="G34">
        <f>_xlfn.XLOOKUP(A34,'Team Stats'!$B$2:$B$366,'Team Stats'!$D$2:$D$366)/F34</f>
        <v>1.215429403202329</v>
      </c>
      <c r="H34">
        <f>_xlfn.XLOOKUP(A34,'Team Stats'!$B$2:$B$366,'Team Stats'!$D$2:$D$366)</f>
        <v>83.5</v>
      </c>
    </row>
    <row r="35" spans="1:8" ht="15" customHeight="1" x14ac:dyDescent="0.25">
      <c r="A35" t="s">
        <v>418</v>
      </c>
      <c r="B35" s="146">
        <f t="array" ref="B35">_xlfn.XLOOKUP(A35,'Team Stats'!$B$2:$B$366,('Team Stats'!$E$2:$E$366+'Team Stats'!$H$2:$H$366/2)/'Team Stats'!$F$2:$F$366)*100</f>
        <v>59.741379310344826</v>
      </c>
      <c r="C35" s="146">
        <f>_xlfn.XLOOKUP(A35,'Team Stats'!$B$2:$B$366,'Team Stats'!$T$2:$T$366)/( _xlfn.XLOOKUP(A35,'Team Stats'!$B$2:$B$366,'Team Stats'!$T$2:$T$366)+_xlfn.XLOOKUP(A35,'Team Stats'!$B$2:$B$366,'Team Stats'!$F$2:$F$366)+0.44*_xlfn.XLOOKUP(A35,'Team Stats'!$B$2:$B$366,'Team Stats'!$L$2:$L$366)+_xlfn.XLOOKUP(A35,'Team Stats'!$B$2:$B$366,'Team Stats'!$Q$2:$Q$366))*100</f>
        <v>10.065533044930826</v>
      </c>
      <c r="D35" s="146">
        <f>_xlfn.XLOOKUP(A35,'Team Stats'!$B$2:$B$366,'Team Stats'!$N$2:$N$366)/(_xlfn.XLOOKUP(A35,'Team Stats'!$B$2:$B$366,'Team Stats'!$N$2:$N$366)+_xlfn.XLOOKUP(A35,'Opponents stats vs'!$B$2:$B$366,'Opponents stats vs'!$O$2:$O$366))*100</f>
        <v>21.974522292993633</v>
      </c>
      <c r="E35" s="146">
        <f>_xlfn.XLOOKUP(A35,'Team Stats'!$B$2:$B$366,'Team Stats'!$K$2:$K$366)/_xlfn.XLOOKUP(A35,'Team Stats'!$B$2:$B$366,'Team Stats'!$F$2:$F$366)*100</f>
        <v>23.793103448275861</v>
      </c>
      <c r="F35" s="146">
        <f>_xlfn.XLOOKUP(A35,'Team Stats'!$B$2:$B$366,'Team Stats'!$F$2:$F$366)+0.44*_xlfn.XLOOKUP(A35,'Team Stats'!$B$2:$B$366,'Team Stats'!$L$2:$L$366)+_xlfn.XLOOKUP(A35,'Team Stats'!$B$2:$B$366,'Team Stats'!$T$2:$T$366)-_xlfn.XLOOKUP(A35,'Team Stats'!$B$2:$B$366,'Team Stats'!$N$2:$N$366)</f>
        <v>69.388000000000005</v>
      </c>
      <c r="G35">
        <f>_xlfn.XLOOKUP(A35,'Team Stats'!$B$2:$B$366,'Team Stats'!$D$2:$D$366)/F35</f>
        <v>1.1990545915720296</v>
      </c>
      <c r="H35">
        <f>_xlfn.XLOOKUP(A35,'Team Stats'!$B$2:$B$366,'Team Stats'!$D$2:$D$366)</f>
        <v>83.2</v>
      </c>
    </row>
    <row r="36" spans="1:8" ht="15" customHeight="1" x14ac:dyDescent="0.25">
      <c r="A36" t="s">
        <v>89</v>
      </c>
      <c r="B36" s="146">
        <f t="array" ref="B36">_xlfn.XLOOKUP(A36,'Team Stats'!$B$2:$B$366,('Team Stats'!$E$2:$E$366+'Team Stats'!$H$2:$H$366/2)/'Team Stats'!$F$2:$F$366)*100</f>
        <v>60.958904109589042</v>
      </c>
      <c r="C36" s="146">
        <f>_xlfn.XLOOKUP(A36,'Team Stats'!$B$2:$B$366,'Team Stats'!$T$2:$T$366)/( _xlfn.XLOOKUP(A36,'Team Stats'!$B$2:$B$366,'Team Stats'!$T$2:$T$366)+_xlfn.XLOOKUP(A36,'Team Stats'!$B$2:$B$366,'Team Stats'!$F$2:$F$366)+0.44*_xlfn.XLOOKUP(A36,'Team Stats'!$B$2:$B$366,'Team Stats'!$L$2:$L$366)+_xlfn.XLOOKUP(A36,'Team Stats'!$B$2:$B$366,'Team Stats'!$Q$2:$Q$366))*100</f>
        <v>12.906133486294916</v>
      </c>
      <c r="D36" s="146">
        <f>_xlfn.XLOOKUP(A36,'Team Stats'!$B$2:$B$366,'Team Stats'!$N$2:$N$366)/(_xlfn.XLOOKUP(A36,'Team Stats'!$B$2:$B$366,'Team Stats'!$N$2:$N$366)+_xlfn.XLOOKUP(A36,'Opponents stats vs'!$B$2:$B$366,'Opponents stats vs'!$O$2:$O$366))*100</f>
        <v>29.354838709677416</v>
      </c>
      <c r="E36" s="146">
        <f>_xlfn.XLOOKUP(A36,'Team Stats'!$B$2:$B$366,'Team Stats'!$K$2:$K$366)/_xlfn.XLOOKUP(A36,'Team Stats'!$B$2:$B$366,'Team Stats'!$F$2:$F$366)*100</f>
        <v>21.917808219178085</v>
      </c>
      <c r="F36" s="146">
        <f>_xlfn.XLOOKUP(A36,'Team Stats'!$B$2:$B$366,'Team Stats'!$F$2:$F$366)+0.44*_xlfn.XLOOKUP(A36,'Team Stats'!$B$2:$B$366,'Team Stats'!$L$2:$L$366)+_xlfn.XLOOKUP(A36,'Team Stats'!$B$2:$B$366,'Team Stats'!$T$2:$T$366)-_xlfn.XLOOKUP(A36,'Team Stats'!$B$2:$B$366,'Team Stats'!$N$2:$N$366)</f>
        <v>70.128</v>
      </c>
      <c r="G36">
        <f>_xlfn.XLOOKUP(A36,'Team Stats'!$B$2:$B$366,'Team Stats'!$D$2:$D$366)/F36</f>
        <v>1.1978097193702943</v>
      </c>
      <c r="H36">
        <f>_xlfn.XLOOKUP(A36,'Team Stats'!$B$2:$B$366,'Team Stats'!$D$2:$D$366)</f>
        <v>84</v>
      </c>
    </row>
    <row r="37" spans="1:8" ht="15" customHeight="1" x14ac:dyDescent="0.25">
      <c r="A37" t="s">
        <v>78</v>
      </c>
      <c r="B37" s="146">
        <f t="array" ref="B37">_xlfn.XLOOKUP(A37,'Team Stats'!$B$2:$B$366,('Team Stats'!$E$2:$E$366+'Team Stats'!$H$2:$H$366/2)/'Team Stats'!$F$2:$F$366)*100</f>
        <v>54.281098546042003</v>
      </c>
      <c r="C37" s="146">
        <f>_xlfn.XLOOKUP(A37,'Team Stats'!$B$2:$B$366,'Team Stats'!$T$2:$T$366)/( _xlfn.XLOOKUP(A37,'Team Stats'!$B$2:$B$366,'Team Stats'!$T$2:$T$366)+_xlfn.XLOOKUP(A37,'Team Stats'!$B$2:$B$366,'Team Stats'!$F$2:$F$366)+0.44*_xlfn.XLOOKUP(A37,'Team Stats'!$B$2:$B$366,'Team Stats'!$L$2:$L$366)+_xlfn.XLOOKUP(A37,'Team Stats'!$B$2:$B$366,'Team Stats'!$Q$2:$Q$366))*100</f>
        <v>9.5100744084942725</v>
      </c>
      <c r="D37" s="146">
        <f>_xlfn.XLOOKUP(A37,'Team Stats'!$B$2:$B$366,'Team Stats'!$N$2:$N$366)/(_xlfn.XLOOKUP(A37,'Team Stats'!$B$2:$B$366,'Team Stats'!$N$2:$N$366)+_xlfn.XLOOKUP(A37,'Opponents stats vs'!$B$2:$B$366,'Opponents stats vs'!$O$2:$O$366))*100</f>
        <v>29.66101694915254</v>
      </c>
      <c r="E37" s="146">
        <f>_xlfn.XLOOKUP(A37,'Team Stats'!$B$2:$B$366,'Team Stats'!$K$2:$K$366)/_xlfn.XLOOKUP(A37,'Team Stats'!$B$2:$B$366,'Team Stats'!$F$2:$F$366)*100</f>
        <v>25.363489499192244</v>
      </c>
      <c r="F37" s="146">
        <f>_xlfn.XLOOKUP(A37,'Team Stats'!$B$2:$B$366,'Team Stats'!$F$2:$F$366)+0.44*_xlfn.XLOOKUP(A37,'Team Stats'!$B$2:$B$366,'Team Stats'!$L$2:$L$366)+_xlfn.XLOOKUP(A37,'Team Stats'!$B$2:$B$366,'Team Stats'!$T$2:$T$366)-_xlfn.XLOOKUP(A37,'Team Stats'!$B$2:$B$366,'Team Stats'!$N$2:$N$366)</f>
        <v>69.387999999999991</v>
      </c>
      <c r="G37">
        <f>_xlfn.XLOOKUP(A37,'Team Stats'!$B$2:$B$366,'Team Stats'!$D$2:$D$366)/F37</f>
        <v>1.1932899060356259</v>
      </c>
      <c r="H37">
        <f>_xlfn.XLOOKUP(A37,'Team Stats'!$B$2:$B$366,'Team Stats'!$D$2:$D$366)</f>
        <v>82.8</v>
      </c>
    </row>
    <row r="38" spans="1:8" ht="15" customHeight="1" x14ac:dyDescent="0.25">
      <c r="A38" t="s">
        <v>44</v>
      </c>
      <c r="B38" s="146">
        <f t="array" ref="B38">_xlfn.XLOOKUP(A38,'Team Stats'!$B$2:$B$366,('Team Stats'!$E$2:$E$366+'Team Stats'!$H$2:$H$366/2)/'Team Stats'!$F$2:$F$366)*100</f>
        <v>54.853620955315861</v>
      </c>
      <c r="C38" s="146">
        <f>_xlfn.XLOOKUP(A38,'Team Stats'!$B$2:$B$366,'Team Stats'!$T$2:$T$366)/( _xlfn.XLOOKUP(A38,'Team Stats'!$B$2:$B$366,'Team Stats'!$T$2:$T$366)+_xlfn.XLOOKUP(A38,'Team Stats'!$B$2:$B$366,'Team Stats'!$F$2:$F$366)+0.44*_xlfn.XLOOKUP(A38,'Team Stats'!$B$2:$B$366,'Team Stats'!$L$2:$L$366)+_xlfn.XLOOKUP(A38,'Team Stats'!$B$2:$B$366,'Team Stats'!$Q$2:$Q$366))*100</f>
        <v>11.151379983272928</v>
      </c>
      <c r="D38" s="146">
        <f>_xlfn.XLOOKUP(A38,'Team Stats'!$B$2:$B$366,'Team Stats'!$N$2:$N$366)/(_xlfn.XLOOKUP(A38,'Team Stats'!$B$2:$B$366,'Team Stats'!$N$2:$N$366)+_xlfn.XLOOKUP(A38,'Opponents stats vs'!$B$2:$B$366,'Opponents stats vs'!$O$2:$O$366))*100</f>
        <v>36.440677966101696</v>
      </c>
      <c r="E38" s="146">
        <f>_xlfn.XLOOKUP(A38,'Team Stats'!$B$2:$B$366,'Team Stats'!$K$2:$K$366)/_xlfn.XLOOKUP(A38,'Team Stats'!$B$2:$B$366,'Team Stats'!$F$2:$F$366)*100</f>
        <v>19.414483821263481</v>
      </c>
      <c r="F38" s="146">
        <f>_xlfn.XLOOKUP(A38,'Team Stats'!$B$2:$B$366,'Team Stats'!$F$2:$F$366)+0.44*_xlfn.XLOOKUP(A38,'Team Stats'!$B$2:$B$366,'Team Stats'!$L$2:$L$366)+_xlfn.XLOOKUP(A38,'Team Stats'!$B$2:$B$366,'Team Stats'!$T$2:$T$366)-_xlfn.XLOOKUP(A38,'Team Stats'!$B$2:$B$366,'Team Stats'!$N$2:$N$366)</f>
        <v>70.635999999999996</v>
      </c>
      <c r="G38">
        <f>_xlfn.XLOOKUP(A38,'Team Stats'!$B$2:$B$366,'Team Stats'!$D$2:$D$366)/F38</f>
        <v>1.186363893765219</v>
      </c>
      <c r="H38">
        <f>_xlfn.XLOOKUP(A38,'Team Stats'!$B$2:$B$366,'Team Stats'!$D$2:$D$366)</f>
        <v>83.8</v>
      </c>
    </row>
    <row r="39" spans="1:8" ht="15" customHeight="1" x14ac:dyDescent="0.25">
      <c r="A39" t="s">
        <v>33</v>
      </c>
      <c r="B39" s="146">
        <f t="array" ref="B39">_xlfn.XLOOKUP(A39,'Team Stats'!$B$2:$B$366,('Team Stats'!$E$2:$E$366+'Team Stats'!$H$2:$H$366/2)/'Team Stats'!$F$2:$F$366)*100</f>
        <v>56.35451505016723</v>
      </c>
      <c r="C39" s="146">
        <f>_xlfn.XLOOKUP(A39,'Team Stats'!$B$2:$B$366,'Team Stats'!$T$2:$T$366)/( _xlfn.XLOOKUP(A39,'Team Stats'!$B$2:$B$366,'Team Stats'!$T$2:$T$366)+_xlfn.XLOOKUP(A39,'Team Stats'!$B$2:$B$366,'Team Stats'!$F$2:$F$366)+0.44*_xlfn.XLOOKUP(A39,'Team Stats'!$B$2:$B$366,'Team Stats'!$L$2:$L$366)+_xlfn.XLOOKUP(A39,'Team Stats'!$B$2:$B$366,'Team Stats'!$Q$2:$Q$366))*100</f>
        <v>10.744245629984711</v>
      </c>
      <c r="D39" s="146">
        <f>_xlfn.XLOOKUP(A39,'Team Stats'!$B$2:$B$366,'Team Stats'!$N$2:$N$366)/(_xlfn.XLOOKUP(A39,'Team Stats'!$B$2:$B$366,'Team Stats'!$N$2:$N$366)+_xlfn.XLOOKUP(A39,'Opponents stats vs'!$B$2:$B$366,'Opponents stats vs'!$O$2:$O$366))*100</f>
        <v>35.435435435435444</v>
      </c>
      <c r="E39" s="146">
        <f>_xlfn.XLOOKUP(A39,'Team Stats'!$B$2:$B$366,'Team Stats'!$K$2:$K$366)/_xlfn.XLOOKUP(A39,'Team Stats'!$B$2:$B$366,'Team Stats'!$F$2:$F$366)*100</f>
        <v>23.578595317725753</v>
      </c>
      <c r="F39" s="146">
        <f>_xlfn.XLOOKUP(A39,'Team Stats'!$B$2:$B$366,'Team Stats'!$F$2:$F$366)+0.44*_xlfn.XLOOKUP(A39,'Team Stats'!$B$2:$B$366,'Team Stats'!$L$2:$L$366)+_xlfn.XLOOKUP(A39,'Team Stats'!$B$2:$B$366,'Team Stats'!$T$2:$T$366)-_xlfn.XLOOKUP(A39,'Team Stats'!$B$2:$B$366,'Team Stats'!$N$2:$N$366)</f>
        <v>67.596000000000004</v>
      </c>
      <c r="G39">
        <f>_xlfn.XLOOKUP(A39,'Team Stats'!$B$2:$B$366,'Team Stats'!$D$2:$D$366)/F39</f>
        <v>1.2071720220131368</v>
      </c>
      <c r="H39">
        <f>_xlfn.XLOOKUP(A39,'Team Stats'!$B$2:$B$366,'Team Stats'!$D$2:$D$366)</f>
        <v>81.599999999999994</v>
      </c>
    </row>
    <row r="40" spans="1:8" ht="15" customHeight="1" x14ac:dyDescent="0.25">
      <c r="A40" t="s">
        <v>472</v>
      </c>
      <c r="B40" s="146">
        <f t="array" ref="B40">_xlfn.XLOOKUP(A40,'Team Stats'!$B$2:$B$366,('Team Stats'!$E$2:$E$366+'Team Stats'!$H$2:$H$366/2)/'Team Stats'!$F$2:$F$366)*100</f>
        <v>55.697278911564631</v>
      </c>
      <c r="C40" s="146">
        <f>_xlfn.XLOOKUP(A40,'Team Stats'!$B$2:$B$366,'Team Stats'!$T$2:$T$366)/( _xlfn.XLOOKUP(A40,'Team Stats'!$B$2:$B$366,'Team Stats'!$T$2:$T$366)+_xlfn.XLOOKUP(A40,'Team Stats'!$B$2:$B$366,'Team Stats'!$F$2:$F$366)+0.44*_xlfn.XLOOKUP(A40,'Team Stats'!$B$2:$B$366,'Team Stats'!$L$2:$L$366)+_xlfn.XLOOKUP(A40,'Team Stats'!$B$2:$B$366,'Team Stats'!$Q$2:$Q$366))*100</f>
        <v>12.158175874990034</v>
      </c>
      <c r="D40" s="146">
        <f>_xlfn.XLOOKUP(A40,'Team Stats'!$B$2:$B$366,'Team Stats'!$N$2:$N$366)/(_xlfn.XLOOKUP(A40,'Team Stats'!$B$2:$B$366,'Team Stats'!$N$2:$N$366)+_xlfn.XLOOKUP(A40,'Opponents stats vs'!$B$2:$B$366,'Opponents stats vs'!$O$2:$O$366))*100</f>
        <v>26.969696969696972</v>
      </c>
      <c r="E40" s="146">
        <f>_xlfn.XLOOKUP(A40,'Team Stats'!$B$2:$B$366,'Team Stats'!$K$2:$K$366)/_xlfn.XLOOKUP(A40,'Team Stats'!$B$2:$B$366,'Team Stats'!$F$2:$F$366)*100</f>
        <v>31.972789115646261</v>
      </c>
      <c r="F40" s="146">
        <f>_xlfn.XLOOKUP(A40,'Team Stats'!$B$2:$B$366,'Team Stats'!$F$2:$F$366)+0.44*_xlfn.XLOOKUP(A40,'Team Stats'!$B$2:$B$366,'Team Stats'!$L$2:$L$366)+_xlfn.XLOOKUP(A40,'Team Stats'!$B$2:$B$366,'Team Stats'!$T$2:$T$366)-_xlfn.XLOOKUP(A40,'Team Stats'!$B$2:$B$366,'Team Stats'!$N$2:$N$366)</f>
        <v>73.143999999999991</v>
      </c>
      <c r="G40">
        <f>_xlfn.XLOOKUP(A40,'Team Stats'!$B$2:$B$366,'Team Stats'!$D$2:$D$366)/F40</f>
        <v>1.1511538882204968</v>
      </c>
      <c r="H40">
        <f>_xlfn.XLOOKUP(A40,'Team Stats'!$B$2:$B$366,'Team Stats'!$D$2:$D$366)</f>
        <v>84.2</v>
      </c>
    </row>
    <row r="41" spans="1:8" ht="15" customHeight="1" x14ac:dyDescent="0.25">
      <c r="A41" t="s">
        <v>86</v>
      </c>
      <c r="B41" s="146">
        <f t="array" ref="B41">_xlfn.XLOOKUP(A41,'Team Stats'!$B$2:$B$366,('Team Stats'!$E$2:$E$366+'Team Stats'!$H$2:$H$366/2)/'Team Stats'!$F$2:$F$366)*100</f>
        <v>55.990016638935103</v>
      </c>
      <c r="C41" s="146">
        <f>_xlfn.XLOOKUP(A41,'Team Stats'!$B$2:$B$366,'Team Stats'!$T$2:$T$366)/( _xlfn.XLOOKUP(A41,'Team Stats'!$B$2:$B$366,'Team Stats'!$T$2:$T$366)+_xlfn.XLOOKUP(A41,'Team Stats'!$B$2:$B$366,'Team Stats'!$F$2:$F$366)+0.44*_xlfn.XLOOKUP(A41,'Team Stats'!$B$2:$B$366,'Team Stats'!$L$2:$L$366)+_xlfn.XLOOKUP(A41,'Team Stats'!$B$2:$B$366,'Team Stats'!$Q$2:$Q$366))*100</f>
        <v>11.8420515333415</v>
      </c>
      <c r="D41" s="146">
        <f>_xlfn.XLOOKUP(A41,'Team Stats'!$B$2:$B$366,'Team Stats'!$N$2:$N$366)/(_xlfn.XLOOKUP(A41,'Team Stats'!$B$2:$B$366,'Team Stats'!$N$2:$N$366)+_xlfn.XLOOKUP(A41,'Opponents stats vs'!$B$2:$B$366,'Opponents stats vs'!$O$2:$O$366))*100</f>
        <v>37.650602409638552</v>
      </c>
      <c r="E41" s="146">
        <f>_xlfn.XLOOKUP(A41,'Team Stats'!$B$2:$B$366,'Team Stats'!$K$2:$K$366)/_xlfn.XLOOKUP(A41,'Team Stats'!$B$2:$B$366,'Team Stats'!$F$2:$F$366)*100</f>
        <v>25.291181364392678</v>
      </c>
      <c r="F41" s="146">
        <f>_xlfn.XLOOKUP(A41,'Team Stats'!$B$2:$B$366,'Team Stats'!$F$2:$F$366)+0.44*_xlfn.XLOOKUP(A41,'Team Stats'!$B$2:$B$366,'Team Stats'!$L$2:$L$366)+_xlfn.XLOOKUP(A41,'Team Stats'!$B$2:$B$366,'Team Stats'!$T$2:$T$366)-_xlfn.XLOOKUP(A41,'Team Stats'!$B$2:$B$366,'Team Stats'!$N$2:$N$366)</f>
        <v>69.055999999999997</v>
      </c>
      <c r="G41">
        <f>_xlfn.XLOOKUP(A41,'Team Stats'!$B$2:$B$366,'Team Stats'!$D$2:$D$366)/F41</f>
        <v>1.1946825764596849</v>
      </c>
      <c r="H41">
        <f>_xlfn.XLOOKUP(A41,'Team Stats'!$B$2:$B$366,'Team Stats'!$D$2:$D$366)</f>
        <v>82.5</v>
      </c>
    </row>
    <row r="42" spans="1:8" ht="15" customHeight="1" x14ac:dyDescent="0.25">
      <c r="A42" t="s">
        <v>455</v>
      </c>
      <c r="B42" s="146">
        <f t="array" ref="B42">_xlfn.XLOOKUP(A42,'Team Stats'!$B$2:$B$366,('Team Stats'!$E$2:$E$366+'Team Stats'!$H$2:$H$366/2)/'Team Stats'!$F$2:$F$366)*100</f>
        <v>54.280821917808218</v>
      </c>
      <c r="C42" s="146">
        <f>_xlfn.XLOOKUP(A42,'Team Stats'!$B$2:$B$366,'Team Stats'!$T$2:$T$366)/( _xlfn.XLOOKUP(A42,'Team Stats'!$B$2:$B$366,'Team Stats'!$T$2:$T$366)+_xlfn.XLOOKUP(A42,'Team Stats'!$B$2:$B$366,'Team Stats'!$F$2:$F$366)+0.44*_xlfn.XLOOKUP(A42,'Team Stats'!$B$2:$B$366,'Team Stats'!$L$2:$L$366)+_xlfn.XLOOKUP(A42,'Team Stats'!$B$2:$B$366,'Team Stats'!$Q$2:$Q$366))*100</f>
        <v>11.447655856158629</v>
      </c>
      <c r="D42" s="146">
        <f>_xlfn.XLOOKUP(A42,'Team Stats'!$B$2:$B$366,'Team Stats'!$N$2:$N$366)/(_xlfn.XLOOKUP(A42,'Team Stats'!$B$2:$B$366,'Team Stats'!$N$2:$N$366)+_xlfn.XLOOKUP(A42,'Opponents stats vs'!$B$2:$B$366,'Opponents stats vs'!$O$2:$O$366))*100</f>
        <v>33.429394812680115</v>
      </c>
      <c r="E42" s="146">
        <f>_xlfn.XLOOKUP(A42,'Team Stats'!$B$2:$B$366,'Team Stats'!$K$2:$K$366)/_xlfn.XLOOKUP(A42,'Team Stats'!$B$2:$B$366,'Team Stats'!$F$2:$F$366)*100</f>
        <v>33.390410958904113</v>
      </c>
      <c r="F42" s="146">
        <f>_xlfn.XLOOKUP(A42,'Team Stats'!$B$2:$B$366,'Team Stats'!$F$2:$F$366)+0.44*_xlfn.XLOOKUP(A42,'Team Stats'!$B$2:$B$366,'Team Stats'!$L$2:$L$366)+_xlfn.XLOOKUP(A42,'Team Stats'!$B$2:$B$366,'Team Stats'!$T$2:$T$366)-_xlfn.XLOOKUP(A42,'Team Stats'!$B$2:$B$366,'Team Stats'!$N$2:$N$366)</f>
        <v>69.316000000000003</v>
      </c>
      <c r="G42">
        <f>_xlfn.XLOOKUP(A42,'Team Stats'!$B$2:$B$366,'Team Stats'!$D$2:$D$366)/F42</f>
        <v>1.195972069940562</v>
      </c>
      <c r="H42">
        <f>_xlfn.XLOOKUP(A42,'Team Stats'!$B$2:$B$366,'Team Stats'!$D$2:$D$366)</f>
        <v>82.9</v>
      </c>
    </row>
    <row r="43" spans="1:8" ht="15" customHeight="1" x14ac:dyDescent="0.25">
      <c r="A43" t="s">
        <v>361</v>
      </c>
      <c r="B43" s="146">
        <f t="array" ref="B43">_xlfn.XLOOKUP(A43,'Team Stats'!$B$2:$B$366,('Team Stats'!$E$2:$E$366+'Team Stats'!$H$2:$H$366/2)/'Team Stats'!$F$2:$F$366)*100</f>
        <v>55.223880597014919</v>
      </c>
      <c r="C43" s="146">
        <f>_xlfn.XLOOKUP(A43,'Team Stats'!$B$2:$B$366,'Team Stats'!$T$2:$T$366)/( _xlfn.XLOOKUP(A43,'Team Stats'!$B$2:$B$366,'Team Stats'!$T$2:$T$366)+_xlfn.XLOOKUP(A43,'Team Stats'!$B$2:$B$366,'Team Stats'!$F$2:$F$366)+0.44*_xlfn.XLOOKUP(A43,'Team Stats'!$B$2:$B$366,'Team Stats'!$L$2:$L$366)+_xlfn.XLOOKUP(A43,'Team Stats'!$B$2:$B$366,'Team Stats'!$Q$2:$Q$366))*100</f>
        <v>10.84414203699766</v>
      </c>
      <c r="D43" s="146">
        <f>_xlfn.XLOOKUP(A43,'Team Stats'!$B$2:$B$366,'Team Stats'!$N$2:$N$366)/(_xlfn.XLOOKUP(A43,'Team Stats'!$B$2:$B$366,'Team Stats'!$N$2:$N$366)+_xlfn.XLOOKUP(A43,'Opponents stats vs'!$B$2:$B$366,'Opponents stats vs'!$O$2:$O$366))*100</f>
        <v>33.623188405797102</v>
      </c>
      <c r="E43" s="146">
        <f>_xlfn.XLOOKUP(A43,'Team Stats'!$B$2:$B$366,'Team Stats'!$K$2:$K$366)/_xlfn.XLOOKUP(A43,'Team Stats'!$B$2:$B$366,'Team Stats'!$F$2:$F$366)*100</f>
        <v>26.368159203980102</v>
      </c>
      <c r="F43" s="146">
        <f>_xlfn.XLOOKUP(A43,'Team Stats'!$B$2:$B$366,'Team Stats'!$F$2:$F$366)+0.44*_xlfn.XLOOKUP(A43,'Team Stats'!$B$2:$B$366,'Team Stats'!$L$2:$L$366)+_xlfn.XLOOKUP(A43,'Team Stats'!$B$2:$B$366,'Team Stats'!$T$2:$T$366)-_xlfn.XLOOKUP(A43,'Team Stats'!$B$2:$B$366,'Team Stats'!$N$2:$N$366)</f>
        <v>68.36</v>
      </c>
      <c r="G43">
        <f>_xlfn.XLOOKUP(A43,'Team Stats'!$B$2:$B$366,'Team Stats'!$D$2:$D$366)/F43</f>
        <v>1.2083089526038617</v>
      </c>
      <c r="H43">
        <f>_xlfn.XLOOKUP(A43,'Team Stats'!$B$2:$B$366,'Team Stats'!$D$2:$D$366)</f>
        <v>82.6</v>
      </c>
    </row>
    <row r="44" spans="1:8" ht="15" customHeight="1" x14ac:dyDescent="0.25">
      <c r="A44" t="s">
        <v>196</v>
      </c>
      <c r="B44" s="146">
        <f t="array" ref="B44">_xlfn.XLOOKUP(A44,'Team Stats'!$B$2:$B$366,('Team Stats'!$E$2:$E$366+'Team Stats'!$H$2:$H$366/2)/'Team Stats'!$F$2:$F$366)*100</f>
        <v>54.351395730706074</v>
      </c>
      <c r="C44" s="146">
        <f>_xlfn.XLOOKUP(A44,'Team Stats'!$B$2:$B$366,'Team Stats'!$T$2:$T$366)/( _xlfn.XLOOKUP(A44,'Team Stats'!$B$2:$B$366,'Team Stats'!$T$2:$T$366)+_xlfn.XLOOKUP(A44,'Team Stats'!$B$2:$B$366,'Team Stats'!$F$2:$F$366)+0.44*_xlfn.XLOOKUP(A44,'Team Stats'!$B$2:$B$366,'Team Stats'!$L$2:$L$366)+_xlfn.XLOOKUP(A44,'Team Stats'!$B$2:$B$366,'Team Stats'!$Q$2:$Q$366))*100</f>
        <v>12.047208722995876</v>
      </c>
      <c r="D44" s="146">
        <f>_xlfn.XLOOKUP(A44,'Team Stats'!$B$2:$B$366,'Team Stats'!$N$2:$N$366)/(_xlfn.XLOOKUP(A44,'Team Stats'!$B$2:$B$366,'Team Stats'!$N$2:$N$366)+_xlfn.XLOOKUP(A44,'Opponents stats vs'!$B$2:$B$366,'Opponents stats vs'!$O$2:$O$366))*100</f>
        <v>37.463126843657818</v>
      </c>
      <c r="E44" s="146">
        <f>_xlfn.XLOOKUP(A44,'Team Stats'!$B$2:$B$366,'Team Stats'!$K$2:$K$366)/_xlfn.XLOOKUP(A44,'Team Stats'!$B$2:$B$366,'Team Stats'!$F$2:$F$366)*100</f>
        <v>25.94417077175698</v>
      </c>
      <c r="F44" s="146">
        <f>_xlfn.XLOOKUP(A44,'Team Stats'!$B$2:$B$366,'Team Stats'!$F$2:$F$366)+0.44*_xlfn.XLOOKUP(A44,'Team Stats'!$B$2:$B$366,'Team Stats'!$L$2:$L$366)+_xlfn.XLOOKUP(A44,'Team Stats'!$B$2:$B$366,'Team Stats'!$T$2:$T$366)-_xlfn.XLOOKUP(A44,'Team Stats'!$B$2:$B$366,'Team Stats'!$N$2:$N$366)</f>
        <v>69.547999999999988</v>
      </c>
      <c r="G44">
        <f>_xlfn.XLOOKUP(A44,'Team Stats'!$B$2:$B$366,'Team Stats'!$D$2:$D$366)/F44</f>
        <v>1.1804796687180079</v>
      </c>
      <c r="H44">
        <f>_xlfn.XLOOKUP(A44,'Team Stats'!$B$2:$B$366,'Team Stats'!$D$2:$D$366)</f>
        <v>82.1</v>
      </c>
    </row>
    <row r="45" spans="1:8" ht="15" customHeight="1" x14ac:dyDescent="0.25">
      <c r="A45" t="s">
        <v>71</v>
      </c>
      <c r="B45" s="146">
        <f t="array" ref="B45">_xlfn.XLOOKUP(A45,'Team Stats'!$B$2:$B$366,('Team Stats'!$E$2:$E$366+'Team Stats'!$H$2:$H$366/2)/'Team Stats'!$F$2:$F$366)*100</f>
        <v>57.081174438687384</v>
      </c>
      <c r="C45" s="146">
        <f>_xlfn.XLOOKUP(A45,'Team Stats'!$B$2:$B$366,'Team Stats'!$T$2:$T$366)/( _xlfn.XLOOKUP(A45,'Team Stats'!$B$2:$B$366,'Team Stats'!$T$2:$T$366)+_xlfn.XLOOKUP(A45,'Team Stats'!$B$2:$B$366,'Team Stats'!$F$2:$F$366)+0.44*_xlfn.XLOOKUP(A45,'Team Stats'!$B$2:$B$366,'Team Stats'!$L$2:$L$366)+_xlfn.XLOOKUP(A45,'Team Stats'!$B$2:$B$366,'Team Stats'!$Q$2:$Q$366))*100</f>
        <v>10.277825861173618</v>
      </c>
      <c r="D45" s="146">
        <f>_xlfn.XLOOKUP(A45,'Team Stats'!$B$2:$B$366,'Team Stats'!$N$2:$N$366)/(_xlfn.XLOOKUP(A45,'Team Stats'!$B$2:$B$366,'Team Stats'!$N$2:$N$366)+_xlfn.XLOOKUP(A45,'Opponents stats vs'!$B$2:$B$366,'Opponents stats vs'!$O$2:$O$366))*100</f>
        <v>32.79742765273312</v>
      </c>
      <c r="E45" s="146">
        <f>_xlfn.XLOOKUP(A45,'Team Stats'!$B$2:$B$366,'Team Stats'!$K$2:$K$366)/_xlfn.XLOOKUP(A45,'Team Stats'!$B$2:$B$366,'Team Stats'!$F$2:$F$366)*100</f>
        <v>26.597582037996549</v>
      </c>
      <c r="F45" s="146">
        <f>_xlfn.XLOOKUP(A45,'Team Stats'!$B$2:$B$366,'Team Stats'!$F$2:$F$366)+0.44*_xlfn.XLOOKUP(A45,'Team Stats'!$B$2:$B$366,'Team Stats'!$L$2:$L$366)+_xlfn.XLOOKUP(A45,'Team Stats'!$B$2:$B$366,'Team Stats'!$T$2:$T$366)-_xlfn.XLOOKUP(A45,'Team Stats'!$B$2:$B$366,'Team Stats'!$N$2:$N$366)</f>
        <v>66.131999999999991</v>
      </c>
      <c r="G45">
        <f>_xlfn.XLOOKUP(A45,'Team Stats'!$B$2:$B$366,'Team Stats'!$D$2:$D$366)/F45</f>
        <v>1.2338958446742878</v>
      </c>
      <c r="H45">
        <f>_xlfn.XLOOKUP(A45,'Team Stats'!$B$2:$B$366,'Team Stats'!$D$2:$D$366)</f>
        <v>81.599999999999994</v>
      </c>
    </row>
    <row r="46" spans="1:8" ht="15" customHeight="1" x14ac:dyDescent="0.25">
      <c r="A46" t="s">
        <v>241</v>
      </c>
      <c r="B46" s="146">
        <f t="array" ref="B46">_xlfn.XLOOKUP(A46,'Team Stats'!$B$2:$B$366,('Team Stats'!$E$2:$E$366+'Team Stats'!$H$2:$H$366/2)/'Team Stats'!$F$2:$F$366)*100</f>
        <v>55.50986842105263</v>
      </c>
      <c r="C46" s="146">
        <f>_xlfn.XLOOKUP(A46,'Team Stats'!$B$2:$B$366,'Team Stats'!$T$2:$T$366)/( _xlfn.XLOOKUP(A46,'Team Stats'!$B$2:$B$366,'Team Stats'!$T$2:$T$366)+_xlfn.XLOOKUP(A46,'Team Stats'!$B$2:$B$366,'Team Stats'!$F$2:$F$366)+0.44*_xlfn.XLOOKUP(A46,'Team Stats'!$B$2:$B$366,'Team Stats'!$L$2:$L$366)+_xlfn.XLOOKUP(A46,'Team Stats'!$B$2:$B$366,'Team Stats'!$Q$2:$Q$366))*100</f>
        <v>10.638764587172062</v>
      </c>
      <c r="D46" s="146">
        <f>_xlfn.XLOOKUP(A46,'Team Stats'!$B$2:$B$366,'Team Stats'!$N$2:$N$366)/(_xlfn.XLOOKUP(A46,'Team Stats'!$B$2:$B$366,'Team Stats'!$N$2:$N$366)+_xlfn.XLOOKUP(A46,'Opponents stats vs'!$B$2:$B$366,'Opponents stats vs'!$O$2:$O$366))*100</f>
        <v>31.065088757396452</v>
      </c>
      <c r="E46" s="146">
        <f>_xlfn.XLOOKUP(A46,'Team Stats'!$B$2:$B$366,'Team Stats'!$K$2:$K$366)/_xlfn.XLOOKUP(A46,'Team Stats'!$B$2:$B$366,'Team Stats'!$F$2:$F$366)*100</f>
        <v>26.151315789473685</v>
      </c>
      <c r="F46" s="146">
        <f>_xlfn.XLOOKUP(A46,'Team Stats'!$B$2:$B$366,'Team Stats'!$F$2:$F$366)+0.44*_xlfn.XLOOKUP(A46,'Team Stats'!$B$2:$B$366,'Team Stats'!$L$2:$L$366)+_xlfn.XLOOKUP(A46,'Team Stats'!$B$2:$B$366,'Team Stats'!$T$2:$T$366)-_xlfn.XLOOKUP(A46,'Team Stats'!$B$2:$B$366,'Team Stats'!$N$2:$N$366)</f>
        <v>68.975999999999999</v>
      </c>
      <c r="G46">
        <f>_xlfn.XLOOKUP(A46,'Team Stats'!$B$2:$B$366,'Team Stats'!$D$2:$D$366)/F46</f>
        <v>1.2076664347019253</v>
      </c>
      <c r="H46">
        <f>_xlfn.XLOOKUP(A46,'Team Stats'!$B$2:$B$366,'Team Stats'!$D$2:$D$366)</f>
        <v>83.3</v>
      </c>
    </row>
    <row r="47" spans="1:8" ht="15" customHeight="1" x14ac:dyDescent="0.25">
      <c r="A47" t="s">
        <v>266</v>
      </c>
      <c r="B47" s="146">
        <f t="array" ref="B47">_xlfn.XLOOKUP(A47,'Team Stats'!$B$2:$B$366,('Team Stats'!$E$2:$E$366+'Team Stats'!$H$2:$H$366/2)/'Team Stats'!$F$2:$F$366)*100</f>
        <v>55.775577557755774</v>
      </c>
      <c r="C47" s="146">
        <f>_xlfn.XLOOKUP(A47,'Team Stats'!$B$2:$B$366,'Team Stats'!$T$2:$T$366)/( _xlfn.XLOOKUP(A47,'Team Stats'!$B$2:$B$366,'Team Stats'!$T$2:$T$366)+_xlfn.XLOOKUP(A47,'Team Stats'!$B$2:$B$366,'Team Stats'!$F$2:$F$366)+0.44*_xlfn.XLOOKUP(A47,'Team Stats'!$B$2:$B$366,'Team Stats'!$L$2:$L$366)+_xlfn.XLOOKUP(A47,'Team Stats'!$B$2:$B$366,'Team Stats'!$Q$2:$Q$366))*100</f>
        <v>12.975427783634741</v>
      </c>
      <c r="D47" s="146">
        <f>_xlfn.XLOOKUP(A47,'Team Stats'!$B$2:$B$366,'Team Stats'!$N$2:$N$366)/(_xlfn.XLOOKUP(A47,'Team Stats'!$B$2:$B$366,'Team Stats'!$N$2:$N$366)+_xlfn.XLOOKUP(A47,'Opponents stats vs'!$B$2:$B$366,'Opponents stats vs'!$O$2:$O$366))*100</f>
        <v>36.127167630057798</v>
      </c>
      <c r="E47" s="146">
        <f>_xlfn.XLOOKUP(A47,'Team Stats'!$B$2:$B$366,'Team Stats'!$K$2:$K$366)/_xlfn.XLOOKUP(A47,'Team Stats'!$B$2:$B$366,'Team Stats'!$F$2:$F$366)*100</f>
        <v>26.072607260726073</v>
      </c>
      <c r="F47" s="146">
        <f>_xlfn.XLOOKUP(A47,'Team Stats'!$B$2:$B$366,'Team Stats'!$F$2:$F$366)+0.44*_xlfn.XLOOKUP(A47,'Team Stats'!$B$2:$B$366,'Team Stats'!$L$2:$L$366)+_xlfn.XLOOKUP(A47,'Team Stats'!$B$2:$B$366,'Team Stats'!$T$2:$T$366)-_xlfn.XLOOKUP(A47,'Team Stats'!$B$2:$B$366,'Team Stats'!$N$2:$N$366)</f>
        <v>70.447999999999993</v>
      </c>
      <c r="G47">
        <f>_xlfn.XLOOKUP(A47,'Team Stats'!$B$2:$B$366,'Team Stats'!$D$2:$D$366)/F47</f>
        <v>1.1824324324324325</v>
      </c>
      <c r="H47">
        <f>_xlfn.XLOOKUP(A47,'Team Stats'!$B$2:$B$366,'Team Stats'!$D$2:$D$366)</f>
        <v>83.3</v>
      </c>
    </row>
    <row r="48" spans="1:8" ht="15" customHeight="1" x14ac:dyDescent="0.25">
      <c r="A48" t="s">
        <v>211</v>
      </c>
      <c r="B48" s="146">
        <f t="array" ref="B48">_xlfn.XLOOKUP(A48,'Team Stats'!$B$2:$B$366,('Team Stats'!$E$2:$E$366+'Team Stats'!$H$2:$H$366/2)/'Team Stats'!$F$2:$F$366)*100</f>
        <v>52.945859872611464</v>
      </c>
      <c r="C48" s="146">
        <f>_xlfn.XLOOKUP(A48,'Team Stats'!$B$2:$B$366,'Team Stats'!$T$2:$T$366)/( _xlfn.XLOOKUP(A48,'Team Stats'!$B$2:$B$366,'Team Stats'!$T$2:$T$366)+_xlfn.XLOOKUP(A48,'Team Stats'!$B$2:$B$366,'Team Stats'!$F$2:$F$366)+0.44*_xlfn.XLOOKUP(A48,'Team Stats'!$B$2:$B$366,'Team Stats'!$L$2:$L$366)+_xlfn.XLOOKUP(A48,'Team Stats'!$B$2:$B$366,'Team Stats'!$Q$2:$Q$366))*100</f>
        <v>11.279088174766503</v>
      </c>
      <c r="D48" s="146">
        <f>_xlfn.XLOOKUP(A48,'Team Stats'!$B$2:$B$366,'Team Stats'!$N$2:$N$366)/(_xlfn.XLOOKUP(A48,'Team Stats'!$B$2:$B$366,'Team Stats'!$N$2:$N$366)+_xlfn.XLOOKUP(A48,'Opponents stats vs'!$B$2:$B$366,'Opponents stats vs'!$O$2:$O$366))*100</f>
        <v>25.9946949602122</v>
      </c>
      <c r="E48" s="146">
        <f>_xlfn.XLOOKUP(A48,'Team Stats'!$B$2:$B$366,'Team Stats'!$K$2:$K$366)/_xlfn.XLOOKUP(A48,'Team Stats'!$B$2:$B$366,'Team Stats'!$F$2:$F$366)*100</f>
        <v>27.070063694267514</v>
      </c>
      <c r="F48" s="146">
        <f>_xlfn.XLOOKUP(A48,'Team Stats'!$B$2:$B$366,'Team Stats'!$F$2:$F$366)+0.44*_xlfn.XLOOKUP(A48,'Team Stats'!$B$2:$B$366,'Team Stats'!$L$2:$L$366)+_xlfn.XLOOKUP(A48,'Team Stats'!$B$2:$B$366,'Team Stats'!$T$2:$T$366)-_xlfn.XLOOKUP(A48,'Team Stats'!$B$2:$B$366,'Team Stats'!$N$2:$N$366)</f>
        <v>74.872</v>
      </c>
      <c r="G48">
        <f>_xlfn.XLOOKUP(A48,'Team Stats'!$B$2:$B$366,'Team Stats'!$D$2:$D$366)/F48</f>
        <v>1.1152366705844641</v>
      </c>
      <c r="H48">
        <f>_xlfn.XLOOKUP(A48,'Team Stats'!$B$2:$B$366,'Team Stats'!$D$2:$D$366)</f>
        <v>83.5</v>
      </c>
    </row>
    <row r="49" spans="1:8" ht="15" customHeight="1" x14ac:dyDescent="0.25">
      <c r="A49" t="s">
        <v>221</v>
      </c>
      <c r="B49" s="146">
        <f t="array" ref="B49">_xlfn.XLOOKUP(A49,'Team Stats'!$B$2:$B$366,('Team Stats'!$E$2:$E$366+'Team Stats'!$H$2:$H$366/2)/'Team Stats'!$F$2:$F$366)*100</f>
        <v>55.287713841368578</v>
      </c>
      <c r="C49" s="146">
        <f>_xlfn.XLOOKUP(A49,'Team Stats'!$B$2:$B$366,'Team Stats'!$T$2:$T$366)/( _xlfn.XLOOKUP(A49,'Team Stats'!$B$2:$B$366,'Team Stats'!$T$2:$T$366)+_xlfn.XLOOKUP(A49,'Team Stats'!$B$2:$B$366,'Team Stats'!$F$2:$F$366)+0.44*_xlfn.XLOOKUP(A49,'Team Stats'!$B$2:$B$366,'Team Stats'!$L$2:$L$366)+_xlfn.XLOOKUP(A49,'Team Stats'!$B$2:$B$366,'Team Stats'!$Q$2:$Q$366))*100</f>
        <v>13.681208570988129</v>
      </c>
      <c r="D49" s="146">
        <f>_xlfn.XLOOKUP(A49,'Team Stats'!$B$2:$B$366,'Team Stats'!$N$2:$N$366)/(_xlfn.XLOOKUP(A49,'Team Stats'!$B$2:$B$366,'Team Stats'!$N$2:$N$366)+_xlfn.XLOOKUP(A49,'Opponents stats vs'!$B$2:$B$366,'Opponents stats vs'!$O$2:$O$366))*100</f>
        <v>31.088082901554404</v>
      </c>
      <c r="E49" s="146">
        <f>_xlfn.XLOOKUP(A49,'Team Stats'!$B$2:$B$366,'Team Stats'!$K$2:$K$366)/_xlfn.XLOOKUP(A49,'Team Stats'!$B$2:$B$366,'Team Stats'!$F$2:$F$366)*100</f>
        <v>19.440124416796266</v>
      </c>
      <c r="F49" s="146">
        <f>_xlfn.XLOOKUP(A49,'Team Stats'!$B$2:$B$366,'Team Stats'!$F$2:$F$366)+0.44*_xlfn.XLOOKUP(A49,'Team Stats'!$B$2:$B$366,'Team Stats'!$L$2:$L$366)+_xlfn.XLOOKUP(A49,'Team Stats'!$B$2:$B$366,'Team Stats'!$T$2:$T$366)-_xlfn.XLOOKUP(A49,'Team Stats'!$B$2:$B$366,'Team Stats'!$N$2:$N$366)</f>
        <v>74.992000000000004</v>
      </c>
      <c r="G49">
        <f>_xlfn.XLOOKUP(A49,'Team Stats'!$B$2:$B$366,'Team Stats'!$D$2:$D$366)/F49</f>
        <v>1.1134521015574994</v>
      </c>
      <c r="H49">
        <f>_xlfn.XLOOKUP(A49,'Team Stats'!$B$2:$B$366,'Team Stats'!$D$2:$D$366)</f>
        <v>83.5</v>
      </c>
    </row>
    <row r="50" spans="1:8" ht="15" customHeight="1" x14ac:dyDescent="0.25">
      <c r="A50" t="s">
        <v>352</v>
      </c>
      <c r="B50" s="146">
        <f t="array" ref="B50">_xlfn.XLOOKUP(A50,'Team Stats'!$B$2:$B$366,('Team Stats'!$E$2:$E$366+'Team Stats'!$H$2:$H$366/2)/'Team Stats'!$F$2:$F$366)*100</f>
        <v>57.096247960848288</v>
      </c>
      <c r="C50" s="146">
        <f>_xlfn.XLOOKUP(A50,'Team Stats'!$B$2:$B$366,'Team Stats'!$T$2:$T$366)/( _xlfn.XLOOKUP(A50,'Team Stats'!$B$2:$B$366,'Team Stats'!$T$2:$T$366)+_xlfn.XLOOKUP(A50,'Team Stats'!$B$2:$B$366,'Team Stats'!$F$2:$F$366)+0.44*_xlfn.XLOOKUP(A50,'Team Stats'!$B$2:$B$366,'Team Stats'!$L$2:$L$366)+_xlfn.XLOOKUP(A50,'Team Stats'!$B$2:$B$366,'Team Stats'!$Q$2:$Q$366))*100</f>
        <v>11.541820904213285</v>
      </c>
      <c r="D50" s="146">
        <f>_xlfn.XLOOKUP(A50,'Team Stats'!$B$2:$B$366,'Team Stats'!$N$2:$N$366)/(_xlfn.XLOOKUP(A50,'Team Stats'!$B$2:$B$366,'Team Stats'!$N$2:$N$366)+_xlfn.XLOOKUP(A50,'Opponents stats vs'!$B$2:$B$366,'Opponents stats vs'!$O$2:$O$366))*100</f>
        <v>28.74617737003058</v>
      </c>
      <c r="E50" s="146">
        <f>_xlfn.XLOOKUP(A50,'Team Stats'!$B$2:$B$366,'Team Stats'!$K$2:$K$366)/_xlfn.XLOOKUP(A50,'Team Stats'!$B$2:$B$366,'Team Stats'!$F$2:$F$366)*100</f>
        <v>20.228384991843395</v>
      </c>
      <c r="F50" s="146">
        <f>_xlfn.XLOOKUP(A50,'Team Stats'!$B$2:$B$366,'Team Stats'!$F$2:$F$366)+0.44*_xlfn.XLOOKUP(A50,'Team Stats'!$B$2:$B$366,'Team Stats'!$L$2:$L$366)+_xlfn.XLOOKUP(A50,'Team Stats'!$B$2:$B$366,'Team Stats'!$T$2:$T$366)-_xlfn.XLOOKUP(A50,'Team Stats'!$B$2:$B$366,'Team Stats'!$N$2:$N$366)</f>
        <v>70.171999999999983</v>
      </c>
      <c r="G50">
        <f>_xlfn.XLOOKUP(A50,'Team Stats'!$B$2:$B$366,'Team Stats'!$D$2:$D$366)/F50</f>
        <v>1.172832468790971</v>
      </c>
      <c r="H50">
        <f>_xlfn.XLOOKUP(A50,'Team Stats'!$B$2:$B$366,'Team Stats'!$D$2:$D$366)</f>
        <v>82.3</v>
      </c>
    </row>
    <row r="51" spans="1:8" ht="15" customHeight="1" x14ac:dyDescent="0.25">
      <c r="A51" t="s">
        <v>17</v>
      </c>
      <c r="B51" s="146">
        <f t="array" ref="B51">_xlfn.XLOOKUP(A51,'Team Stats'!$B$2:$B$366,('Team Stats'!$E$2:$E$366+'Team Stats'!$H$2:$H$366/2)/'Team Stats'!$F$2:$F$366)*100</f>
        <v>57.772020725388593</v>
      </c>
      <c r="C51" s="146">
        <f>_xlfn.XLOOKUP(A51,'Team Stats'!$B$2:$B$366,'Team Stats'!$T$2:$T$366)/( _xlfn.XLOOKUP(A51,'Team Stats'!$B$2:$B$366,'Team Stats'!$T$2:$T$366)+_xlfn.XLOOKUP(A51,'Team Stats'!$B$2:$B$366,'Team Stats'!$F$2:$F$366)+0.44*_xlfn.XLOOKUP(A51,'Team Stats'!$B$2:$B$366,'Team Stats'!$L$2:$L$366)+_xlfn.XLOOKUP(A51,'Team Stats'!$B$2:$B$366,'Team Stats'!$Q$2:$Q$366))*100</f>
        <v>10.993383030404557</v>
      </c>
      <c r="D51" s="146">
        <f>_xlfn.XLOOKUP(A51,'Team Stats'!$B$2:$B$366,'Team Stats'!$N$2:$N$366)/(_xlfn.XLOOKUP(A51,'Team Stats'!$B$2:$B$366,'Team Stats'!$N$2:$N$366)+_xlfn.XLOOKUP(A51,'Opponents stats vs'!$B$2:$B$366,'Opponents stats vs'!$O$2:$O$366))*100</f>
        <v>36.875</v>
      </c>
      <c r="E51" s="146">
        <f>_xlfn.XLOOKUP(A51,'Team Stats'!$B$2:$B$366,'Team Stats'!$K$2:$K$366)/_xlfn.XLOOKUP(A51,'Team Stats'!$B$2:$B$366,'Team Stats'!$F$2:$F$366)*100</f>
        <v>27.979274611398964</v>
      </c>
      <c r="F51" s="146">
        <f>_xlfn.XLOOKUP(A51,'Team Stats'!$B$2:$B$366,'Team Stats'!$F$2:$F$366)+0.44*_xlfn.XLOOKUP(A51,'Team Stats'!$B$2:$B$366,'Team Stats'!$L$2:$L$366)+_xlfn.XLOOKUP(A51,'Team Stats'!$B$2:$B$366,'Team Stats'!$T$2:$T$366)-_xlfn.XLOOKUP(A51,'Team Stats'!$B$2:$B$366,'Team Stats'!$N$2:$N$366)</f>
        <v>66.412000000000006</v>
      </c>
      <c r="G51">
        <f>_xlfn.XLOOKUP(A51,'Team Stats'!$B$2:$B$366,'Team Stats'!$D$2:$D$366)/F51</f>
        <v>1.2527856411491898</v>
      </c>
      <c r="H51">
        <f>_xlfn.XLOOKUP(A51,'Team Stats'!$B$2:$B$366,'Team Stats'!$D$2:$D$366)</f>
        <v>83.2</v>
      </c>
    </row>
    <row r="52" spans="1:8" ht="15" customHeight="1" x14ac:dyDescent="0.25">
      <c r="A52" t="s">
        <v>396</v>
      </c>
      <c r="B52" s="146">
        <f t="array" ref="B52">_xlfn.XLOOKUP(A52,'Team Stats'!$B$2:$B$366,('Team Stats'!$E$2:$E$366+'Team Stats'!$H$2:$H$366/2)/'Team Stats'!$F$2:$F$366)*100</f>
        <v>53.821656050955411</v>
      </c>
      <c r="C52" s="146">
        <f>_xlfn.XLOOKUP(A52,'Team Stats'!$B$2:$B$366,'Team Stats'!$T$2:$T$366)/( _xlfn.XLOOKUP(A52,'Team Stats'!$B$2:$B$366,'Team Stats'!$T$2:$T$366)+_xlfn.XLOOKUP(A52,'Team Stats'!$B$2:$B$366,'Team Stats'!$F$2:$F$366)+0.44*_xlfn.XLOOKUP(A52,'Team Stats'!$B$2:$B$366,'Team Stats'!$L$2:$L$366)+_xlfn.XLOOKUP(A52,'Team Stats'!$B$2:$B$366,'Team Stats'!$Q$2:$Q$366))*100</f>
        <v>11.921936362907751</v>
      </c>
      <c r="D52" s="146">
        <f>_xlfn.XLOOKUP(A52,'Team Stats'!$B$2:$B$366,'Team Stats'!$N$2:$N$366)/(_xlfn.XLOOKUP(A52,'Team Stats'!$B$2:$B$366,'Team Stats'!$N$2:$N$366)+_xlfn.XLOOKUP(A52,'Opponents stats vs'!$B$2:$B$366,'Opponents stats vs'!$O$2:$O$366))*100</f>
        <v>37.119113573407205</v>
      </c>
      <c r="E52" s="146">
        <f>_xlfn.XLOOKUP(A52,'Team Stats'!$B$2:$B$366,'Team Stats'!$K$2:$K$366)/_xlfn.XLOOKUP(A52,'Team Stats'!$B$2:$B$366,'Team Stats'!$F$2:$F$366)*100</f>
        <v>25</v>
      </c>
      <c r="F52" s="146">
        <f>_xlfn.XLOOKUP(A52,'Team Stats'!$B$2:$B$366,'Team Stats'!$F$2:$F$366)+0.44*_xlfn.XLOOKUP(A52,'Team Stats'!$B$2:$B$366,'Team Stats'!$L$2:$L$366)+_xlfn.XLOOKUP(A52,'Team Stats'!$B$2:$B$366,'Team Stats'!$T$2:$T$366)-_xlfn.XLOOKUP(A52,'Team Stats'!$B$2:$B$366,'Team Stats'!$N$2:$N$366)</f>
        <v>70.715999999999994</v>
      </c>
      <c r="G52">
        <f>_xlfn.XLOOKUP(A52,'Team Stats'!$B$2:$B$366,'Team Stats'!$D$2:$D$366)/F52</f>
        <v>1.1779512415860627</v>
      </c>
      <c r="H52">
        <f>_xlfn.XLOOKUP(A52,'Team Stats'!$B$2:$B$366,'Team Stats'!$D$2:$D$366)</f>
        <v>83.3</v>
      </c>
    </row>
    <row r="53" spans="1:8" ht="15" customHeight="1" x14ac:dyDescent="0.25">
      <c r="A53" t="s">
        <v>355</v>
      </c>
      <c r="B53" s="146">
        <f t="array" ref="B53">_xlfn.XLOOKUP(A53,'Team Stats'!$B$2:$B$366,('Team Stats'!$E$2:$E$366+'Team Stats'!$H$2:$H$366/2)/'Team Stats'!$F$2:$F$366)*100</f>
        <v>54.30194805194806</v>
      </c>
      <c r="C53" s="146">
        <f>_xlfn.XLOOKUP(A53,'Team Stats'!$B$2:$B$366,'Team Stats'!$T$2:$T$366)/( _xlfn.XLOOKUP(A53,'Team Stats'!$B$2:$B$366,'Team Stats'!$T$2:$T$366)+_xlfn.XLOOKUP(A53,'Team Stats'!$B$2:$B$366,'Team Stats'!$F$2:$F$366)+0.44*_xlfn.XLOOKUP(A53,'Team Stats'!$B$2:$B$366,'Team Stats'!$L$2:$L$366)+_xlfn.XLOOKUP(A53,'Team Stats'!$B$2:$B$366,'Team Stats'!$Q$2:$Q$366))*100</f>
        <v>12.137395314965408</v>
      </c>
      <c r="D53" s="146">
        <f>_xlfn.XLOOKUP(A53,'Team Stats'!$B$2:$B$366,'Team Stats'!$N$2:$N$366)/(_xlfn.XLOOKUP(A53,'Team Stats'!$B$2:$B$366,'Team Stats'!$N$2:$N$366)+_xlfn.XLOOKUP(A53,'Opponents stats vs'!$B$2:$B$366,'Opponents stats vs'!$O$2:$O$366))*100</f>
        <v>32.590529247910865</v>
      </c>
      <c r="E53" s="146">
        <f>_xlfn.XLOOKUP(A53,'Team Stats'!$B$2:$B$366,'Team Stats'!$K$2:$K$366)/_xlfn.XLOOKUP(A53,'Team Stats'!$B$2:$B$366,'Team Stats'!$F$2:$F$366)*100</f>
        <v>25.649350649350648</v>
      </c>
      <c r="F53" s="146">
        <f>_xlfn.XLOOKUP(A53,'Team Stats'!$B$2:$B$366,'Team Stats'!$F$2:$F$366)+0.44*_xlfn.XLOOKUP(A53,'Team Stats'!$B$2:$B$366,'Team Stats'!$L$2:$L$366)+_xlfn.XLOOKUP(A53,'Team Stats'!$B$2:$B$366,'Team Stats'!$T$2:$T$366)-_xlfn.XLOOKUP(A53,'Team Stats'!$B$2:$B$366,'Team Stats'!$N$2:$N$366)</f>
        <v>71.667999999999992</v>
      </c>
      <c r="G53">
        <f>_xlfn.XLOOKUP(A53,'Team Stats'!$B$2:$B$366,'Team Stats'!$D$2:$D$366)/F53</f>
        <v>1.15114137411397</v>
      </c>
      <c r="H53">
        <f>_xlfn.XLOOKUP(A53,'Team Stats'!$B$2:$B$366,'Team Stats'!$D$2:$D$366)</f>
        <v>82.5</v>
      </c>
    </row>
    <row r="54" spans="1:8" ht="15" customHeight="1" x14ac:dyDescent="0.25">
      <c r="A54" t="s">
        <v>320</v>
      </c>
      <c r="B54" s="146">
        <f t="array" ref="B54">_xlfn.XLOOKUP(A54,'Team Stats'!$B$2:$B$366,('Team Stats'!$E$2:$E$366+'Team Stats'!$H$2:$H$366/2)/'Team Stats'!$F$2:$F$366)*100</f>
        <v>53.484602917341974</v>
      </c>
      <c r="C54" s="146">
        <f>_xlfn.XLOOKUP(A54,'Team Stats'!$B$2:$B$366,'Team Stats'!$T$2:$T$366)/( _xlfn.XLOOKUP(A54,'Team Stats'!$B$2:$B$366,'Team Stats'!$T$2:$T$366)+_xlfn.XLOOKUP(A54,'Team Stats'!$B$2:$B$366,'Team Stats'!$F$2:$F$366)+0.44*_xlfn.XLOOKUP(A54,'Team Stats'!$B$2:$B$366,'Team Stats'!$L$2:$L$366)+_xlfn.XLOOKUP(A54,'Team Stats'!$B$2:$B$366,'Team Stats'!$Q$2:$Q$366))*100</f>
        <v>10.989922448471779</v>
      </c>
      <c r="D54" s="146">
        <f>_xlfn.XLOOKUP(A54,'Team Stats'!$B$2:$B$366,'Team Stats'!$N$2:$N$366)/(_xlfn.XLOOKUP(A54,'Team Stats'!$B$2:$B$366,'Team Stats'!$N$2:$N$366)+_xlfn.XLOOKUP(A54,'Opponents stats vs'!$B$2:$B$366,'Opponents stats vs'!$O$2:$O$366))*100</f>
        <v>33.884297520661164</v>
      </c>
      <c r="E54" s="146">
        <f>_xlfn.XLOOKUP(A54,'Team Stats'!$B$2:$B$366,'Team Stats'!$K$2:$K$366)/_xlfn.XLOOKUP(A54,'Team Stats'!$B$2:$B$366,'Team Stats'!$F$2:$F$366)*100</f>
        <v>27.390599675850886</v>
      </c>
      <c r="F54" s="146">
        <f>_xlfn.XLOOKUP(A54,'Team Stats'!$B$2:$B$366,'Team Stats'!$F$2:$F$366)+0.44*_xlfn.XLOOKUP(A54,'Team Stats'!$B$2:$B$366,'Team Stats'!$L$2:$L$366)+_xlfn.XLOOKUP(A54,'Team Stats'!$B$2:$B$366,'Team Stats'!$T$2:$T$366)-_xlfn.XLOOKUP(A54,'Team Stats'!$B$2:$B$366,'Team Stats'!$N$2:$N$366)</f>
        <v>70.251999999999995</v>
      </c>
      <c r="G54">
        <f>_xlfn.XLOOKUP(A54,'Team Stats'!$B$2:$B$366,'Team Stats'!$D$2:$D$366)/F54</f>
        <v>1.1814610260206115</v>
      </c>
      <c r="H54">
        <f>_xlfn.XLOOKUP(A54,'Team Stats'!$B$2:$B$366,'Team Stats'!$D$2:$D$366)</f>
        <v>83</v>
      </c>
    </row>
    <row r="55" spans="1:8" ht="15" customHeight="1" x14ac:dyDescent="0.25">
      <c r="A55" t="s">
        <v>359</v>
      </c>
      <c r="B55" s="146">
        <f t="array" ref="B55">_xlfn.XLOOKUP(A55,'Team Stats'!$B$2:$B$366,('Team Stats'!$E$2:$E$366+'Team Stats'!$H$2:$H$366/2)/'Team Stats'!$F$2:$F$366)*100</f>
        <v>53.267973856209153</v>
      </c>
      <c r="C55" s="146">
        <f>_xlfn.XLOOKUP(A55,'Team Stats'!$B$2:$B$366,'Team Stats'!$T$2:$T$366)/( _xlfn.XLOOKUP(A55,'Team Stats'!$B$2:$B$366,'Team Stats'!$T$2:$T$366)+_xlfn.XLOOKUP(A55,'Team Stats'!$B$2:$B$366,'Team Stats'!$F$2:$F$366)+0.44*_xlfn.XLOOKUP(A55,'Team Stats'!$B$2:$B$366,'Team Stats'!$L$2:$L$366)+_xlfn.XLOOKUP(A55,'Team Stats'!$B$2:$B$366,'Team Stats'!$Q$2:$Q$366))*100</f>
        <v>10.746305317885946</v>
      </c>
      <c r="D55" s="146">
        <f>_xlfn.XLOOKUP(A55,'Team Stats'!$B$2:$B$366,'Team Stats'!$N$2:$N$366)/(_xlfn.XLOOKUP(A55,'Team Stats'!$B$2:$B$366,'Team Stats'!$N$2:$N$366)+_xlfn.XLOOKUP(A55,'Opponents stats vs'!$B$2:$B$366,'Opponents stats vs'!$O$2:$O$366))*100</f>
        <v>31.623931623931622</v>
      </c>
      <c r="E55" s="146">
        <f>_xlfn.XLOOKUP(A55,'Team Stats'!$B$2:$B$366,'Team Stats'!$K$2:$K$366)/_xlfn.XLOOKUP(A55,'Team Stats'!$B$2:$B$366,'Team Stats'!$F$2:$F$366)*100</f>
        <v>28.431372549019606</v>
      </c>
      <c r="F55" s="146">
        <f>_xlfn.XLOOKUP(A55,'Team Stats'!$B$2:$B$366,'Team Stats'!$F$2:$F$366)+0.44*_xlfn.XLOOKUP(A55,'Team Stats'!$B$2:$B$366,'Team Stats'!$L$2:$L$366)+_xlfn.XLOOKUP(A55,'Team Stats'!$B$2:$B$366,'Team Stats'!$T$2:$T$366)-_xlfn.XLOOKUP(A55,'Team Stats'!$B$2:$B$366,'Team Stats'!$N$2:$N$366)</f>
        <v>70.808000000000007</v>
      </c>
      <c r="G55">
        <f>_xlfn.XLOOKUP(A55,'Team Stats'!$B$2:$B$366,'Team Stats'!$D$2:$D$366)/F55</f>
        <v>1.1665348548186643</v>
      </c>
      <c r="H55">
        <f>_xlfn.XLOOKUP(A55,'Team Stats'!$B$2:$B$366,'Team Stats'!$D$2:$D$366)</f>
        <v>82.6</v>
      </c>
    </row>
    <row r="56" spans="1:8" ht="15" customHeight="1" x14ac:dyDescent="0.25">
      <c r="A56" t="s">
        <v>57</v>
      </c>
      <c r="B56" s="146">
        <f t="array" ref="B56">_xlfn.XLOOKUP(A56,'Team Stats'!$B$2:$B$366,('Team Stats'!$E$2:$E$366+'Team Stats'!$H$2:$H$366/2)/'Team Stats'!$F$2:$F$366)*100</f>
        <v>57.929883138564279</v>
      </c>
      <c r="C56" s="146">
        <f>_xlfn.XLOOKUP(A56,'Team Stats'!$B$2:$B$366,'Team Stats'!$T$2:$T$366)/( _xlfn.XLOOKUP(A56,'Team Stats'!$B$2:$B$366,'Team Stats'!$T$2:$T$366)+_xlfn.XLOOKUP(A56,'Team Stats'!$B$2:$B$366,'Team Stats'!$F$2:$F$366)+0.44*_xlfn.XLOOKUP(A56,'Team Stats'!$B$2:$B$366,'Team Stats'!$L$2:$L$366)+_xlfn.XLOOKUP(A56,'Team Stats'!$B$2:$B$366,'Team Stats'!$Q$2:$Q$366))*100</f>
        <v>9.5598320794713008</v>
      </c>
      <c r="D56" s="146">
        <f>_xlfn.XLOOKUP(A56,'Team Stats'!$B$2:$B$366,'Team Stats'!$N$2:$N$366)/(_xlfn.XLOOKUP(A56,'Team Stats'!$B$2:$B$366,'Team Stats'!$N$2:$N$366)+_xlfn.XLOOKUP(A56,'Opponents stats vs'!$B$2:$B$366,'Opponents stats vs'!$O$2:$O$366))*100</f>
        <v>35.369774919614144</v>
      </c>
      <c r="E56" s="146">
        <f>_xlfn.XLOOKUP(A56,'Team Stats'!$B$2:$B$366,'Team Stats'!$K$2:$K$366)/_xlfn.XLOOKUP(A56,'Team Stats'!$B$2:$B$366,'Team Stats'!$F$2:$F$366)*100</f>
        <v>21.035058430717861</v>
      </c>
      <c r="F56" s="146">
        <f>_xlfn.XLOOKUP(A56,'Team Stats'!$B$2:$B$366,'Team Stats'!$F$2:$F$366)+0.44*_xlfn.XLOOKUP(A56,'Team Stats'!$B$2:$B$366,'Team Stats'!$L$2:$L$366)+_xlfn.XLOOKUP(A56,'Team Stats'!$B$2:$B$366,'Team Stats'!$T$2:$T$366)-_xlfn.XLOOKUP(A56,'Team Stats'!$B$2:$B$366,'Team Stats'!$N$2:$N$366)</f>
        <v>65.536000000000001</v>
      </c>
      <c r="G56">
        <f>_xlfn.XLOOKUP(A56,'Team Stats'!$B$2:$B$366,'Team Stats'!$D$2:$D$366)/F56</f>
        <v>1.24969482421875</v>
      </c>
      <c r="H56">
        <f>_xlfn.XLOOKUP(A56,'Team Stats'!$B$2:$B$366,'Team Stats'!$D$2:$D$366)</f>
        <v>81.900000000000006</v>
      </c>
    </row>
    <row r="57" spans="1:8" ht="15" customHeight="1" x14ac:dyDescent="0.25">
      <c r="A57" t="s">
        <v>191</v>
      </c>
      <c r="B57" s="146">
        <f t="array" ref="B57">_xlfn.XLOOKUP(A57,'Team Stats'!$B$2:$B$366,('Team Stats'!$E$2:$E$366+'Team Stats'!$H$2:$H$366/2)/'Team Stats'!$F$2:$F$366)*100</f>
        <v>52.576489533011269</v>
      </c>
      <c r="C57" s="146">
        <f>_xlfn.XLOOKUP(A57,'Team Stats'!$B$2:$B$366,'Team Stats'!$T$2:$T$366)/( _xlfn.XLOOKUP(A57,'Team Stats'!$B$2:$B$366,'Team Stats'!$T$2:$T$366)+_xlfn.XLOOKUP(A57,'Team Stats'!$B$2:$B$366,'Team Stats'!$F$2:$F$366)+0.44*_xlfn.XLOOKUP(A57,'Team Stats'!$B$2:$B$366,'Team Stats'!$L$2:$L$366)+_xlfn.XLOOKUP(A57,'Team Stats'!$B$2:$B$366,'Team Stats'!$Q$2:$Q$366))*100</f>
        <v>13.915920591669911</v>
      </c>
      <c r="D57" s="146">
        <f>_xlfn.XLOOKUP(A57,'Team Stats'!$B$2:$B$366,'Team Stats'!$N$2:$N$366)/(_xlfn.XLOOKUP(A57,'Team Stats'!$B$2:$B$366,'Team Stats'!$N$2:$N$366)+_xlfn.XLOOKUP(A57,'Opponents stats vs'!$B$2:$B$366,'Opponents stats vs'!$O$2:$O$366))*100</f>
        <v>38.133333333333333</v>
      </c>
      <c r="E57" s="146">
        <f>_xlfn.XLOOKUP(A57,'Team Stats'!$B$2:$B$366,'Team Stats'!$K$2:$K$366)/_xlfn.XLOOKUP(A57,'Team Stats'!$B$2:$B$366,'Team Stats'!$F$2:$F$366)*100</f>
        <v>28.341384863123999</v>
      </c>
      <c r="F57" s="146">
        <f>_xlfn.XLOOKUP(A57,'Team Stats'!$B$2:$B$366,'Team Stats'!$F$2:$F$366)+0.44*_xlfn.XLOOKUP(A57,'Team Stats'!$B$2:$B$366,'Team Stats'!$L$2:$L$366)+_xlfn.XLOOKUP(A57,'Team Stats'!$B$2:$B$366,'Team Stats'!$T$2:$T$366)-_xlfn.XLOOKUP(A57,'Team Stats'!$B$2:$B$366,'Team Stats'!$N$2:$N$366)</f>
        <v>72.66</v>
      </c>
      <c r="G57">
        <f>_xlfn.XLOOKUP(A57,'Team Stats'!$B$2:$B$366,'Team Stats'!$D$2:$D$366)/F57</f>
        <v>1.1423066336361134</v>
      </c>
      <c r="H57">
        <f>_xlfn.XLOOKUP(A57,'Team Stats'!$B$2:$B$366,'Team Stats'!$D$2:$D$366)</f>
        <v>83</v>
      </c>
    </row>
    <row r="58" spans="1:8" ht="15" customHeight="1" x14ac:dyDescent="0.25">
      <c r="A58" t="s">
        <v>245</v>
      </c>
      <c r="B58" s="146">
        <f t="array" ref="B58">_xlfn.XLOOKUP(A58,'Team Stats'!$B$2:$B$366,('Team Stats'!$E$2:$E$366+'Team Stats'!$H$2:$H$366/2)/'Team Stats'!$F$2:$F$366)*100</f>
        <v>53.846153846153847</v>
      </c>
      <c r="C58" s="146">
        <f>_xlfn.XLOOKUP(A58,'Team Stats'!$B$2:$B$366,'Team Stats'!$T$2:$T$366)/( _xlfn.XLOOKUP(A58,'Team Stats'!$B$2:$B$366,'Team Stats'!$T$2:$T$366)+_xlfn.XLOOKUP(A58,'Team Stats'!$B$2:$B$366,'Team Stats'!$F$2:$F$366)+0.44*_xlfn.XLOOKUP(A58,'Team Stats'!$B$2:$B$366,'Team Stats'!$L$2:$L$366)+_xlfn.XLOOKUP(A58,'Team Stats'!$B$2:$B$366,'Team Stats'!$Q$2:$Q$366))*100</f>
        <v>13.334160258000495</v>
      </c>
      <c r="D58" s="146">
        <f>_xlfn.XLOOKUP(A58,'Team Stats'!$B$2:$B$366,'Team Stats'!$N$2:$N$366)/(_xlfn.XLOOKUP(A58,'Team Stats'!$B$2:$B$366,'Team Stats'!$N$2:$N$366)+_xlfn.XLOOKUP(A58,'Opponents stats vs'!$B$2:$B$366,'Opponents stats vs'!$O$2:$O$366))*100</f>
        <v>30.320699708454811</v>
      </c>
      <c r="E58" s="146">
        <f>_xlfn.XLOOKUP(A58,'Team Stats'!$B$2:$B$366,'Team Stats'!$K$2:$K$366)/_xlfn.XLOOKUP(A58,'Team Stats'!$B$2:$B$366,'Team Stats'!$F$2:$F$366)*100</f>
        <v>27.521367521367523</v>
      </c>
      <c r="F58" s="146">
        <f>_xlfn.XLOOKUP(A58,'Team Stats'!$B$2:$B$366,'Team Stats'!$F$2:$F$366)+0.44*_xlfn.XLOOKUP(A58,'Team Stats'!$B$2:$B$366,'Team Stats'!$L$2:$L$366)+_xlfn.XLOOKUP(A58,'Team Stats'!$B$2:$B$366,'Team Stats'!$T$2:$T$366)-_xlfn.XLOOKUP(A58,'Team Stats'!$B$2:$B$366,'Team Stats'!$N$2:$N$366)</f>
        <v>70.944000000000003</v>
      </c>
      <c r="G58">
        <f>_xlfn.XLOOKUP(A58,'Team Stats'!$B$2:$B$366,'Team Stats'!$D$2:$D$366)/F58</f>
        <v>1.1149639152007216</v>
      </c>
      <c r="H58">
        <f>_xlfn.XLOOKUP(A58,'Team Stats'!$B$2:$B$366,'Team Stats'!$D$2:$D$366)</f>
        <v>79.099999999999994</v>
      </c>
    </row>
    <row r="59" spans="1:8" ht="15" customHeight="1" x14ac:dyDescent="0.25">
      <c r="A59" t="s">
        <v>202</v>
      </c>
      <c r="B59" s="146">
        <f t="array" ref="B59">_xlfn.XLOOKUP(A59,'Team Stats'!$B$2:$B$366,('Team Stats'!$E$2:$E$366+'Team Stats'!$H$2:$H$366/2)/'Team Stats'!$F$2:$F$366)*100</f>
        <v>53.642384105960261</v>
      </c>
      <c r="C59" s="146">
        <f>_xlfn.XLOOKUP(A59,'Team Stats'!$B$2:$B$366,'Team Stats'!$T$2:$T$366)/( _xlfn.XLOOKUP(A59,'Team Stats'!$B$2:$B$366,'Team Stats'!$T$2:$T$366)+_xlfn.XLOOKUP(A59,'Team Stats'!$B$2:$B$366,'Team Stats'!$F$2:$F$366)+0.44*_xlfn.XLOOKUP(A59,'Team Stats'!$B$2:$B$366,'Team Stats'!$L$2:$L$366)+_xlfn.XLOOKUP(A59,'Team Stats'!$B$2:$B$366,'Team Stats'!$Q$2:$Q$366))*100</f>
        <v>12.041689158327451</v>
      </c>
      <c r="D59" s="146">
        <f>_xlfn.XLOOKUP(A59,'Team Stats'!$B$2:$B$366,'Team Stats'!$N$2:$N$366)/(_xlfn.XLOOKUP(A59,'Team Stats'!$B$2:$B$366,'Team Stats'!$N$2:$N$366)+_xlfn.XLOOKUP(A59,'Opponents stats vs'!$B$2:$B$366,'Opponents stats vs'!$O$2:$O$366))*100</f>
        <v>29.106628242074922</v>
      </c>
      <c r="E59" s="146">
        <f>_xlfn.XLOOKUP(A59,'Team Stats'!$B$2:$B$366,'Team Stats'!$K$2:$K$366)/_xlfn.XLOOKUP(A59,'Team Stats'!$B$2:$B$366,'Team Stats'!$F$2:$F$366)*100</f>
        <v>27.814569536423843</v>
      </c>
      <c r="F59" s="146">
        <f>_xlfn.XLOOKUP(A59,'Team Stats'!$B$2:$B$366,'Team Stats'!$F$2:$F$366)+0.44*_xlfn.XLOOKUP(A59,'Team Stats'!$B$2:$B$366,'Team Stats'!$L$2:$L$366)+_xlfn.XLOOKUP(A59,'Team Stats'!$B$2:$B$366,'Team Stats'!$T$2:$T$366)-_xlfn.XLOOKUP(A59,'Team Stats'!$B$2:$B$366,'Team Stats'!$N$2:$N$366)</f>
        <v>71.932000000000002</v>
      </c>
      <c r="G59">
        <f>_xlfn.XLOOKUP(A59,'Team Stats'!$B$2:$B$366,'Team Stats'!$D$2:$D$366)/F59</f>
        <v>1.1344047155646999</v>
      </c>
      <c r="H59">
        <f>_xlfn.XLOOKUP(A59,'Team Stats'!$B$2:$B$366,'Team Stats'!$D$2:$D$366)</f>
        <v>81.599999999999994</v>
      </c>
    </row>
    <row r="60" spans="1:8" ht="15" customHeight="1" x14ac:dyDescent="0.25">
      <c r="A60" t="s">
        <v>382</v>
      </c>
      <c r="B60" s="146">
        <f t="array" ref="B60">_xlfn.XLOOKUP(A60,'Team Stats'!$B$2:$B$366,('Team Stats'!$E$2:$E$366+'Team Stats'!$H$2:$H$366/2)/'Team Stats'!$F$2:$F$366)*100</f>
        <v>52.887788778877884</v>
      </c>
      <c r="C60" s="146">
        <f>_xlfn.XLOOKUP(A60,'Team Stats'!$B$2:$B$366,'Team Stats'!$T$2:$T$366)/( _xlfn.XLOOKUP(A60,'Team Stats'!$B$2:$B$366,'Team Stats'!$T$2:$T$366)+_xlfn.XLOOKUP(A60,'Team Stats'!$B$2:$B$366,'Team Stats'!$F$2:$F$366)+0.44*_xlfn.XLOOKUP(A60,'Team Stats'!$B$2:$B$366,'Team Stats'!$L$2:$L$366)+_xlfn.XLOOKUP(A60,'Team Stats'!$B$2:$B$366,'Team Stats'!$Q$2:$Q$366))*100</f>
        <v>12.899364319326345</v>
      </c>
      <c r="D60" s="146">
        <f>_xlfn.XLOOKUP(A60,'Team Stats'!$B$2:$B$366,'Team Stats'!$N$2:$N$366)/(_xlfn.XLOOKUP(A60,'Team Stats'!$B$2:$B$366,'Team Stats'!$N$2:$N$366)+_xlfn.XLOOKUP(A60,'Opponents stats vs'!$B$2:$B$366,'Opponents stats vs'!$O$2:$O$366))*100</f>
        <v>30.810810810810814</v>
      </c>
      <c r="E60" s="146">
        <f>_xlfn.XLOOKUP(A60,'Team Stats'!$B$2:$B$366,'Team Stats'!$K$2:$K$366)/_xlfn.XLOOKUP(A60,'Team Stats'!$B$2:$B$366,'Team Stats'!$F$2:$F$366)*100</f>
        <v>28.21782178217822</v>
      </c>
      <c r="F60" s="146">
        <f>_xlfn.XLOOKUP(A60,'Team Stats'!$B$2:$B$366,'Team Stats'!$F$2:$F$366)+0.44*_xlfn.XLOOKUP(A60,'Team Stats'!$B$2:$B$366,'Team Stats'!$L$2:$L$366)+_xlfn.XLOOKUP(A60,'Team Stats'!$B$2:$B$366,'Team Stats'!$T$2:$T$366)-_xlfn.XLOOKUP(A60,'Team Stats'!$B$2:$B$366,'Team Stats'!$N$2:$N$366)</f>
        <v>72.304000000000002</v>
      </c>
      <c r="G60">
        <f>_xlfn.XLOOKUP(A60,'Team Stats'!$B$2:$B$366,'Team Stats'!$D$2:$D$366)/F60</f>
        <v>1.1244191192741757</v>
      </c>
      <c r="H60">
        <f>_xlfn.XLOOKUP(A60,'Team Stats'!$B$2:$B$366,'Team Stats'!$D$2:$D$366)</f>
        <v>81.3</v>
      </c>
    </row>
    <row r="61" spans="1:8" ht="15" customHeight="1" x14ac:dyDescent="0.25">
      <c r="A61" t="s">
        <v>81</v>
      </c>
      <c r="B61" s="146">
        <f t="array" ref="B61">_xlfn.XLOOKUP(A61,'Team Stats'!$B$2:$B$366,('Team Stats'!$E$2:$E$366+'Team Stats'!$H$2:$H$366/2)/'Team Stats'!$F$2:$F$366)*100</f>
        <v>54.06301824212273</v>
      </c>
      <c r="C61" s="146">
        <f>_xlfn.XLOOKUP(A61,'Team Stats'!$B$2:$B$366,'Team Stats'!$T$2:$T$366)/( _xlfn.XLOOKUP(A61,'Team Stats'!$B$2:$B$366,'Team Stats'!$T$2:$T$366)+_xlfn.XLOOKUP(A61,'Team Stats'!$B$2:$B$366,'Team Stats'!$F$2:$F$366)+0.44*_xlfn.XLOOKUP(A61,'Team Stats'!$B$2:$B$366,'Team Stats'!$L$2:$L$366)+_xlfn.XLOOKUP(A61,'Team Stats'!$B$2:$B$366,'Team Stats'!$Q$2:$Q$366))*100</f>
        <v>11.174444353317476</v>
      </c>
      <c r="D61" s="146">
        <f>_xlfn.XLOOKUP(A61,'Team Stats'!$B$2:$B$366,'Team Stats'!$N$2:$N$366)/(_xlfn.XLOOKUP(A61,'Team Stats'!$B$2:$B$366,'Team Stats'!$N$2:$N$366)+_xlfn.XLOOKUP(A61,'Opponents stats vs'!$B$2:$B$366,'Opponents stats vs'!$O$2:$O$366))*100</f>
        <v>30.285714285714281</v>
      </c>
      <c r="E61" s="146">
        <f>_xlfn.XLOOKUP(A61,'Team Stats'!$B$2:$B$366,'Team Stats'!$K$2:$K$366)/_xlfn.XLOOKUP(A61,'Team Stats'!$B$2:$B$366,'Team Stats'!$F$2:$F$366)*100</f>
        <v>28.026533996683252</v>
      </c>
      <c r="F61" s="146">
        <f>_xlfn.XLOOKUP(A61,'Team Stats'!$B$2:$B$366,'Team Stats'!$F$2:$F$366)+0.44*_xlfn.XLOOKUP(A61,'Team Stats'!$B$2:$B$366,'Team Stats'!$L$2:$L$366)+_xlfn.XLOOKUP(A61,'Team Stats'!$B$2:$B$366,'Team Stats'!$T$2:$T$366)-_xlfn.XLOOKUP(A61,'Team Stats'!$B$2:$B$366,'Team Stats'!$N$2:$N$366)</f>
        <v>70.544000000000011</v>
      </c>
      <c r="G61">
        <f>_xlfn.XLOOKUP(A61,'Team Stats'!$B$2:$B$366,'Team Stats'!$D$2:$D$366)/F61</f>
        <v>1.1623951009299158</v>
      </c>
      <c r="H61">
        <f>_xlfn.XLOOKUP(A61,'Team Stats'!$B$2:$B$366,'Team Stats'!$D$2:$D$366)</f>
        <v>82</v>
      </c>
    </row>
    <row r="62" spans="1:8" ht="15" customHeight="1" x14ac:dyDescent="0.25">
      <c r="A62" t="s">
        <v>212</v>
      </c>
      <c r="B62" s="146">
        <f t="array" ref="B62">_xlfn.XLOOKUP(A62,'Team Stats'!$B$2:$B$366,('Team Stats'!$E$2:$E$366+'Team Stats'!$H$2:$H$366/2)/'Team Stats'!$F$2:$F$366)*100</f>
        <v>50.837138508371382</v>
      </c>
      <c r="C62" s="146">
        <f>_xlfn.XLOOKUP(A62,'Team Stats'!$B$2:$B$366,'Team Stats'!$T$2:$T$366)/( _xlfn.XLOOKUP(A62,'Team Stats'!$B$2:$B$366,'Team Stats'!$T$2:$T$366)+_xlfn.XLOOKUP(A62,'Team Stats'!$B$2:$B$366,'Team Stats'!$F$2:$F$366)+0.44*_xlfn.XLOOKUP(A62,'Team Stats'!$B$2:$B$366,'Team Stats'!$L$2:$L$366)+_xlfn.XLOOKUP(A62,'Team Stats'!$B$2:$B$366,'Team Stats'!$Q$2:$Q$366))*100</f>
        <v>12.488174077578048</v>
      </c>
      <c r="D62" s="146">
        <f>_xlfn.XLOOKUP(A62,'Team Stats'!$B$2:$B$366,'Team Stats'!$N$2:$N$366)/(_xlfn.XLOOKUP(A62,'Team Stats'!$B$2:$B$366,'Team Stats'!$N$2:$N$366)+_xlfn.XLOOKUP(A62,'Opponents stats vs'!$B$2:$B$366,'Opponents stats vs'!$O$2:$O$366))*100</f>
        <v>34.096692111959293</v>
      </c>
      <c r="E62" s="146">
        <f>_xlfn.XLOOKUP(A62,'Team Stats'!$B$2:$B$366,'Team Stats'!$K$2:$K$366)/_xlfn.XLOOKUP(A62,'Team Stats'!$B$2:$B$366,'Team Stats'!$F$2:$F$366)*100</f>
        <v>22.526636225266362</v>
      </c>
      <c r="F62" s="146">
        <f>_xlfn.XLOOKUP(A62,'Team Stats'!$B$2:$B$366,'Team Stats'!$F$2:$F$366)+0.44*_xlfn.XLOOKUP(A62,'Team Stats'!$B$2:$B$366,'Team Stats'!$L$2:$L$366)+_xlfn.XLOOKUP(A62,'Team Stats'!$B$2:$B$366,'Team Stats'!$T$2:$T$366)-_xlfn.XLOOKUP(A62,'Team Stats'!$B$2:$B$366,'Team Stats'!$N$2:$N$366)</f>
        <v>75.400000000000006</v>
      </c>
      <c r="G62">
        <f>_xlfn.XLOOKUP(A62,'Team Stats'!$B$2:$B$366,'Team Stats'!$D$2:$D$366)/F62</f>
        <v>1.0835543766578248</v>
      </c>
      <c r="H62">
        <f>_xlfn.XLOOKUP(A62,'Team Stats'!$B$2:$B$366,'Team Stats'!$D$2:$D$366)</f>
        <v>81.7</v>
      </c>
    </row>
    <row r="63" spans="1:8" ht="15" customHeight="1" x14ac:dyDescent="0.25">
      <c r="A63" t="s">
        <v>95</v>
      </c>
      <c r="B63" s="146">
        <f t="array" ref="B63">_xlfn.XLOOKUP(A63,'Team Stats'!$B$2:$B$366,('Team Stats'!$E$2:$E$366+'Team Stats'!$H$2:$H$366/2)/'Team Stats'!$F$2:$F$366)*100</f>
        <v>56.525285481239806</v>
      </c>
      <c r="C63" s="146">
        <f>_xlfn.XLOOKUP(A63,'Team Stats'!$B$2:$B$366,'Team Stats'!$T$2:$T$366)/( _xlfn.XLOOKUP(A63,'Team Stats'!$B$2:$B$366,'Team Stats'!$T$2:$T$366)+_xlfn.XLOOKUP(A63,'Team Stats'!$B$2:$B$366,'Team Stats'!$F$2:$F$366)+0.44*_xlfn.XLOOKUP(A63,'Team Stats'!$B$2:$B$366,'Team Stats'!$L$2:$L$366)+_xlfn.XLOOKUP(A63,'Team Stats'!$B$2:$B$366,'Team Stats'!$Q$2:$Q$366))*100</f>
        <v>11.380246397995407</v>
      </c>
      <c r="D63" s="146">
        <f>_xlfn.XLOOKUP(A63,'Team Stats'!$B$2:$B$366,'Team Stats'!$N$2:$N$366)/(_xlfn.XLOOKUP(A63,'Team Stats'!$B$2:$B$366,'Team Stats'!$N$2:$N$366)+_xlfn.XLOOKUP(A63,'Opponents stats vs'!$B$2:$B$366,'Opponents stats vs'!$O$2:$O$366))*100</f>
        <v>33.815028901734109</v>
      </c>
      <c r="E63" s="146">
        <f>_xlfn.XLOOKUP(A63,'Team Stats'!$B$2:$B$366,'Team Stats'!$K$2:$K$366)/_xlfn.XLOOKUP(A63,'Team Stats'!$B$2:$B$366,'Team Stats'!$F$2:$F$366)*100</f>
        <v>19.902120717781401</v>
      </c>
      <c r="F63" s="146">
        <f>_xlfn.XLOOKUP(A63,'Team Stats'!$B$2:$B$366,'Team Stats'!$F$2:$F$366)+0.44*_xlfn.XLOOKUP(A63,'Team Stats'!$B$2:$B$366,'Team Stats'!$L$2:$L$366)+_xlfn.XLOOKUP(A63,'Team Stats'!$B$2:$B$366,'Team Stats'!$T$2:$T$366)-_xlfn.XLOOKUP(A63,'Team Stats'!$B$2:$B$366,'Team Stats'!$N$2:$N$366)</f>
        <v>67.98</v>
      </c>
      <c r="G63">
        <f>_xlfn.XLOOKUP(A63,'Team Stats'!$B$2:$B$366,'Team Stats'!$D$2:$D$366)/F63</f>
        <v>1.1988820241247424</v>
      </c>
      <c r="H63">
        <f>_xlfn.XLOOKUP(A63,'Team Stats'!$B$2:$B$366,'Team Stats'!$D$2:$D$366)</f>
        <v>81.5</v>
      </c>
    </row>
    <row r="64" spans="1:8" ht="15" customHeight="1" x14ac:dyDescent="0.25">
      <c r="A64" t="s">
        <v>88</v>
      </c>
      <c r="B64" s="146">
        <f t="array" ref="B64">_xlfn.XLOOKUP(A64,'Team Stats'!$B$2:$B$366,('Team Stats'!$E$2:$E$366+'Team Stats'!$H$2:$H$366/2)/'Team Stats'!$F$2:$F$366)*100</f>
        <v>54.461279461279467</v>
      </c>
      <c r="C64" s="146">
        <f>_xlfn.XLOOKUP(A64,'Team Stats'!$B$2:$B$366,'Team Stats'!$T$2:$T$366)/( _xlfn.XLOOKUP(A64,'Team Stats'!$B$2:$B$366,'Team Stats'!$T$2:$T$366)+_xlfn.XLOOKUP(A64,'Team Stats'!$B$2:$B$366,'Team Stats'!$F$2:$F$366)+0.44*_xlfn.XLOOKUP(A64,'Team Stats'!$B$2:$B$366,'Team Stats'!$L$2:$L$366)+_xlfn.XLOOKUP(A64,'Team Stats'!$B$2:$B$366,'Team Stats'!$Q$2:$Q$366))*100</f>
        <v>9.9920063948840934</v>
      </c>
      <c r="D64" s="146">
        <f>_xlfn.XLOOKUP(A64,'Team Stats'!$B$2:$B$366,'Team Stats'!$N$2:$N$366)/(_xlfn.XLOOKUP(A64,'Team Stats'!$B$2:$B$366,'Team Stats'!$N$2:$N$366)+_xlfn.XLOOKUP(A64,'Opponents stats vs'!$B$2:$B$366,'Opponents stats vs'!$O$2:$O$366))*100</f>
        <v>31.884057971014489</v>
      </c>
      <c r="E64" s="146">
        <f>_xlfn.XLOOKUP(A64,'Team Stats'!$B$2:$B$366,'Team Stats'!$K$2:$K$366)/_xlfn.XLOOKUP(A64,'Team Stats'!$B$2:$B$366,'Team Stats'!$F$2:$F$366)*100</f>
        <v>26.430976430976433</v>
      </c>
      <c r="F64" s="146">
        <f>_xlfn.XLOOKUP(A64,'Team Stats'!$B$2:$B$366,'Team Stats'!$F$2:$F$366)+0.44*_xlfn.XLOOKUP(A64,'Team Stats'!$B$2:$B$366,'Team Stats'!$L$2:$L$366)+_xlfn.XLOOKUP(A64,'Team Stats'!$B$2:$B$366,'Team Stats'!$T$2:$T$366)-_xlfn.XLOOKUP(A64,'Team Stats'!$B$2:$B$366,'Team Stats'!$N$2:$N$366)</f>
        <v>67.975999999999999</v>
      </c>
      <c r="G64">
        <f>_xlfn.XLOOKUP(A64,'Team Stats'!$B$2:$B$366,'Team Stats'!$D$2:$D$366)/F64</f>
        <v>1.1827703895492527</v>
      </c>
      <c r="H64">
        <f>_xlfn.XLOOKUP(A64,'Team Stats'!$B$2:$B$366,'Team Stats'!$D$2:$D$366)</f>
        <v>80.400000000000006</v>
      </c>
    </row>
    <row r="65" spans="1:8" ht="15" customHeight="1" x14ac:dyDescent="0.25">
      <c r="A65" t="s">
        <v>21</v>
      </c>
      <c r="B65" s="146">
        <f t="array" ref="B65">_xlfn.XLOOKUP(A65,'Team Stats'!$B$2:$B$366,('Team Stats'!$E$2:$E$366+'Team Stats'!$H$2:$H$366/2)/'Team Stats'!$F$2:$F$366)*100</f>
        <v>54.306220095693767</v>
      </c>
      <c r="C65" s="146">
        <f>_xlfn.XLOOKUP(A65,'Team Stats'!$B$2:$B$366,'Team Stats'!$T$2:$T$366)/( _xlfn.XLOOKUP(A65,'Team Stats'!$B$2:$B$366,'Team Stats'!$T$2:$T$366)+_xlfn.XLOOKUP(A65,'Team Stats'!$B$2:$B$366,'Team Stats'!$F$2:$F$366)+0.44*_xlfn.XLOOKUP(A65,'Team Stats'!$B$2:$B$366,'Team Stats'!$L$2:$L$366)+_xlfn.XLOOKUP(A65,'Team Stats'!$B$2:$B$366,'Team Stats'!$Q$2:$Q$366))*100</f>
        <v>11.416447767225705</v>
      </c>
      <c r="D65" s="146">
        <f>_xlfn.XLOOKUP(A65,'Team Stats'!$B$2:$B$366,'Team Stats'!$N$2:$N$366)/(_xlfn.XLOOKUP(A65,'Team Stats'!$B$2:$B$366,'Team Stats'!$N$2:$N$366)+_xlfn.XLOOKUP(A65,'Opponents stats vs'!$B$2:$B$366,'Opponents stats vs'!$O$2:$O$366))*100</f>
        <v>34.670487106017198</v>
      </c>
      <c r="E65" s="146">
        <f>_xlfn.XLOOKUP(A65,'Team Stats'!$B$2:$B$366,'Team Stats'!$K$2:$K$366)/_xlfn.XLOOKUP(A65,'Team Stats'!$B$2:$B$366,'Team Stats'!$F$2:$F$366)*100</f>
        <v>23.444976076555022</v>
      </c>
      <c r="F65" s="146">
        <f>_xlfn.XLOOKUP(A65,'Team Stats'!$B$2:$B$366,'Team Stats'!$F$2:$F$366)+0.44*_xlfn.XLOOKUP(A65,'Team Stats'!$B$2:$B$366,'Team Stats'!$L$2:$L$366)+_xlfn.XLOOKUP(A65,'Team Stats'!$B$2:$B$366,'Team Stats'!$T$2:$T$366)-_xlfn.XLOOKUP(A65,'Team Stats'!$B$2:$B$366,'Team Stats'!$N$2:$N$366)</f>
        <v>70.48</v>
      </c>
      <c r="G65">
        <f>_xlfn.XLOOKUP(A65,'Team Stats'!$B$2:$B$366,'Team Stats'!$D$2:$D$366)/F65</f>
        <v>1.1762202043132803</v>
      </c>
      <c r="H65">
        <f>_xlfn.XLOOKUP(A65,'Team Stats'!$B$2:$B$366,'Team Stats'!$D$2:$D$366)</f>
        <v>82.9</v>
      </c>
    </row>
    <row r="66" spans="1:8" ht="15" customHeight="1" x14ac:dyDescent="0.25">
      <c r="A66" t="s">
        <v>77</v>
      </c>
      <c r="B66" s="146">
        <f t="array" ref="B66">_xlfn.XLOOKUP(A66,'Team Stats'!$B$2:$B$366,('Team Stats'!$E$2:$E$366+'Team Stats'!$H$2:$H$366/2)/'Team Stats'!$F$2:$F$366)*100</f>
        <v>52.350081037277143</v>
      </c>
      <c r="C66" s="146">
        <f>_xlfn.XLOOKUP(A66,'Team Stats'!$B$2:$B$366,'Team Stats'!$T$2:$T$366)/( _xlfn.XLOOKUP(A66,'Team Stats'!$B$2:$B$366,'Team Stats'!$T$2:$T$366)+_xlfn.XLOOKUP(A66,'Team Stats'!$B$2:$B$366,'Team Stats'!$F$2:$F$366)+0.44*_xlfn.XLOOKUP(A66,'Team Stats'!$B$2:$B$366,'Team Stats'!$L$2:$L$366)+_xlfn.XLOOKUP(A66,'Team Stats'!$B$2:$B$366,'Team Stats'!$Q$2:$Q$366))*100</f>
        <v>11.733764920089017</v>
      </c>
      <c r="D66" s="146">
        <f>_xlfn.XLOOKUP(A66,'Team Stats'!$B$2:$B$366,'Team Stats'!$N$2:$N$366)/(_xlfn.XLOOKUP(A66,'Team Stats'!$B$2:$B$366,'Team Stats'!$N$2:$N$366)+_xlfn.XLOOKUP(A66,'Opponents stats vs'!$B$2:$B$366,'Opponents stats vs'!$O$2:$O$366))*100</f>
        <v>34.972677595628419</v>
      </c>
      <c r="E66" s="146">
        <f>_xlfn.XLOOKUP(A66,'Team Stats'!$B$2:$B$366,'Team Stats'!$K$2:$K$366)/_xlfn.XLOOKUP(A66,'Team Stats'!$B$2:$B$366,'Team Stats'!$F$2:$F$366)*100</f>
        <v>25.607779578606159</v>
      </c>
      <c r="F66" s="146">
        <f>_xlfn.XLOOKUP(A66,'Team Stats'!$B$2:$B$366,'Team Stats'!$F$2:$F$366)+0.44*_xlfn.XLOOKUP(A66,'Team Stats'!$B$2:$B$366,'Team Stats'!$L$2:$L$366)+_xlfn.XLOOKUP(A66,'Team Stats'!$B$2:$B$366,'Team Stats'!$T$2:$T$366)-_xlfn.XLOOKUP(A66,'Team Stats'!$B$2:$B$366,'Team Stats'!$N$2:$N$366)</f>
        <v>69.959999999999994</v>
      </c>
      <c r="G66">
        <f>_xlfn.XLOOKUP(A66,'Team Stats'!$B$2:$B$366,'Team Stats'!$D$2:$D$366)/F66</f>
        <v>1.1506575185820469</v>
      </c>
      <c r="H66">
        <f>_xlfn.XLOOKUP(A66,'Team Stats'!$B$2:$B$366,'Team Stats'!$D$2:$D$366)</f>
        <v>80.5</v>
      </c>
    </row>
    <row r="67" spans="1:8" ht="15" customHeight="1" x14ac:dyDescent="0.25">
      <c r="A67" t="s">
        <v>94</v>
      </c>
      <c r="B67" s="146">
        <f t="array" ref="B67">_xlfn.XLOOKUP(A67,'Team Stats'!$B$2:$B$366,('Team Stats'!$E$2:$E$366+'Team Stats'!$H$2:$H$366/2)/'Team Stats'!$F$2:$F$366)*100</f>
        <v>53.725165562913915</v>
      </c>
      <c r="C67" s="146">
        <f>_xlfn.XLOOKUP(A67,'Team Stats'!$B$2:$B$366,'Team Stats'!$T$2:$T$366)/( _xlfn.XLOOKUP(A67,'Team Stats'!$B$2:$B$366,'Team Stats'!$T$2:$T$366)+_xlfn.XLOOKUP(A67,'Team Stats'!$B$2:$B$366,'Team Stats'!$F$2:$F$366)+0.44*_xlfn.XLOOKUP(A67,'Team Stats'!$B$2:$B$366,'Team Stats'!$L$2:$L$366)+_xlfn.XLOOKUP(A67,'Team Stats'!$B$2:$B$366,'Team Stats'!$Q$2:$Q$366))*100</f>
        <v>10.9933012780997</v>
      </c>
      <c r="D67" s="146">
        <f>_xlfn.XLOOKUP(A67,'Team Stats'!$B$2:$B$366,'Team Stats'!$N$2:$N$366)/(_xlfn.XLOOKUP(A67,'Team Stats'!$B$2:$B$366,'Team Stats'!$N$2:$N$366)+_xlfn.XLOOKUP(A67,'Opponents stats vs'!$B$2:$B$366,'Opponents stats vs'!$O$2:$O$366))*100</f>
        <v>34.659090909090907</v>
      </c>
      <c r="E67" s="146">
        <f>_xlfn.XLOOKUP(A67,'Team Stats'!$B$2:$B$366,'Team Stats'!$K$2:$K$366)/_xlfn.XLOOKUP(A67,'Team Stats'!$B$2:$B$366,'Team Stats'!$F$2:$F$366)*100</f>
        <v>27.152317880794701</v>
      </c>
      <c r="F67" s="146">
        <f>_xlfn.XLOOKUP(A67,'Team Stats'!$B$2:$B$366,'Team Stats'!$F$2:$F$366)+0.44*_xlfn.XLOOKUP(A67,'Team Stats'!$B$2:$B$366,'Team Stats'!$L$2:$L$366)+_xlfn.XLOOKUP(A67,'Team Stats'!$B$2:$B$366,'Team Stats'!$T$2:$T$366)-_xlfn.XLOOKUP(A67,'Team Stats'!$B$2:$B$366,'Team Stats'!$N$2:$N$366)</f>
        <v>68.932000000000002</v>
      </c>
      <c r="G67">
        <f>_xlfn.XLOOKUP(A67,'Team Stats'!$B$2:$B$366,'Team Stats'!$D$2:$D$366)/F67</f>
        <v>1.1808739047176928</v>
      </c>
      <c r="H67">
        <f>_xlfn.XLOOKUP(A67,'Team Stats'!$B$2:$B$366,'Team Stats'!$D$2:$D$366)</f>
        <v>81.400000000000006</v>
      </c>
    </row>
    <row r="68" spans="1:8" ht="15" customHeight="1" x14ac:dyDescent="0.25">
      <c r="A68" t="s">
        <v>259</v>
      </c>
      <c r="B68" s="146">
        <f t="array" ref="B68">_xlfn.XLOOKUP(A68,'Team Stats'!$B$2:$B$366,('Team Stats'!$E$2:$E$366+'Team Stats'!$H$2:$H$366/2)/'Team Stats'!$F$2:$F$366)*100</f>
        <v>51.290322580645167</v>
      </c>
      <c r="C68" s="146">
        <f>_xlfn.XLOOKUP(A68,'Team Stats'!$B$2:$B$366,'Team Stats'!$T$2:$T$366)/( _xlfn.XLOOKUP(A68,'Team Stats'!$B$2:$B$366,'Team Stats'!$T$2:$T$366)+_xlfn.XLOOKUP(A68,'Team Stats'!$B$2:$B$366,'Team Stats'!$F$2:$F$366)+0.44*_xlfn.XLOOKUP(A68,'Team Stats'!$B$2:$B$366,'Team Stats'!$L$2:$L$366)+_xlfn.XLOOKUP(A68,'Team Stats'!$B$2:$B$366,'Team Stats'!$Q$2:$Q$366))*100</f>
        <v>12.905019059720457</v>
      </c>
      <c r="D68" s="146">
        <f>_xlfn.XLOOKUP(A68,'Team Stats'!$B$2:$B$366,'Team Stats'!$N$2:$N$366)/(_xlfn.XLOOKUP(A68,'Team Stats'!$B$2:$B$366,'Team Stats'!$N$2:$N$366)+_xlfn.XLOOKUP(A68,'Opponents stats vs'!$B$2:$B$366,'Opponents stats vs'!$O$2:$O$366))*100</f>
        <v>34.677419354838705</v>
      </c>
      <c r="E68" s="146">
        <f>_xlfn.XLOOKUP(A68,'Team Stats'!$B$2:$B$366,'Team Stats'!$K$2:$K$366)/_xlfn.XLOOKUP(A68,'Team Stats'!$B$2:$B$366,'Team Stats'!$F$2:$F$366)*100</f>
        <v>27.258064516129032</v>
      </c>
      <c r="F68" s="146">
        <f>_xlfn.XLOOKUP(A68,'Team Stats'!$B$2:$B$366,'Team Stats'!$F$2:$F$366)+0.44*_xlfn.XLOOKUP(A68,'Team Stats'!$B$2:$B$366,'Team Stats'!$L$2:$L$366)+_xlfn.XLOOKUP(A68,'Team Stats'!$B$2:$B$366,'Team Stats'!$T$2:$T$366)-_xlfn.XLOOKUP(A68,'Team Stats'!$B$2:$B$366,'Team Stats'!$N$2:$N$366)</f>
        <v>72.835999999999999</v>
      </c>
      <c r="G68">
        <f>_xlfn.XLOOKUP(A68,'Team Stats'!$B$2:$B$366,'Team Stats'!$D$2:$D$366)/F68</f>
        <v>1.1052226920753474</v>
      </c>
      <c r="H68">
        <f>_xlfn.XLOOKUP(A68,'Team Stats'!$B$2:$B$366,'Team Stats'!$D$2:$D$366)</f>
        <v>80.5</v>
      </c>
    </row>
    <row r="69" spans="1:8" ht="15" customHeight="1" x14ac:dyDescent="0.25">
      <c r="A69" t="s">
        <v>464</v>
      </c>
      <c r="B69" s="146">
        <f t="array" ref="B69">_xlfn.XLOOKUP(A69,'Team Stats'!$B$2:$B$366,('Team Stats'!$E$2:$E$366+'Team Stats'!$H$2:$H$366/2)/'Team Stats'!$F$2:$F$366)*100</f>
        <v>52.605863192182412</v>
      </c>
      <c r="C69" s="146">
        <f>_xlfn.XLOOKUP(A69,'Team Stats'!$B$2:$B$366,'Team Stats'!$T$2:$T$366)/( _xlfn.XLOOKUP(A69,'Team Stats'!$B$2:$B$366,'Team Stats'!$T$2:$T$366)+_xlfn.XLOOKUP(A69,'Team Stats'!$B$2:$B$366,'Team Stats'!$F$2:$F$366)+0.44*_xlfn.XLOOKUP(A69,'Team Stats'!$B$2:$B$366,'Team Stats'!$L$2:$L$366)+_xlfn.XLOOKUP(A69,'Team Stats'!$B$2:$B$366,'Team Stats'!$Q$2:$Q$366))*100</f>
        <v>11.551910748480559</v>
      </c>
      <c r="D69" s="146">
        <f>_xlfn.XLOOKUP(A69,'Team Stats'!$B$2:$B$366,'Team Stats'!$N$2:$N$366)/(_xlfn.XLOOKUP(A69,'Team Stats'!$B$2:$B$366,'Team Stats'!$N$2:$N$366)+_xlfn.XLOOKUP(A69,'Opponents stats vs'!$B$2:$B$366,'Opponents stats vs'!$O$2:$O$366))*100</f>
        <v>32.865168539325843</v>
      </c>
      <c r="E69" s="146">
        <f>_xlfn.XLOOKUP(A69,'Team Stats'!$B$2:$B$366,'Team Stats'!$K$2:$K$366)/_xlfn.XLOOKUP(A69,'Team Stats'!$B$2:$B$366,'Team Stats'!$F$2:$F$366)*100</f>
        <v>27.035830618892508</v>
      </c>
      <c r="F69" s="146">
        <f>_xlfn.XLOOKUP(A69,'Team Stats'!$B$2:$B$366,'Team Stats'!$F$2:$F$366)+0.44*_xlfn.XLOOKUP(A69,'Team Stats'!$B$2:$B$366,'Team Stats'!$L$2:$L$366)+_xlfn.XLOOKUP(A69,'Team Stats'!$B$2:$B$366,'Team Stats'!$T$2:$T$366)-_xlfn.XLOOKUP(A69,'Team Stats'!$B$2:$B$366,'Team Stats'!$N$2:$N$366)</f>
        <v>70.787999999999997</v>
      </c>
      <c r="G69">
        <f>_xlfn.XLOOKUP(A69,'Team Stats'!$B$2:$B$366,'Team Stats'!$D$2:$D$366)/F69</f>
        <v>1.1484997457196136</v>
      </c>
      <c r="H69">
        <f>_xlfn.XLOOKUP(A69,'Team Stats'!$B$2:$B$366,'Team Stats'!$D$2:$D$366)</f>
        <v>81.3</v>
      </c>
    </row>
    <row r="70" spans="1:8" ht="15" customHeight="1" x14ac:dyDescent="0.25">
      <c r="A70" t="s">
        <v>54</v>
      </c>
      <c r="B70" s="146">
        <f t="array" ref="B70">_xlfn.XLOOKUP(A70,'Team Stats'!$B$2:$B$366,('Team Stats'!$E$2:$E$366+'Team Stats'!$H$2:$H$366/2)/'Team Stats'!$F$2:$F$366)*100</f>
        <v>56.122448979591844</v>
      </c>
      <c r="C70" s="146">
        <f>_xlfn.XLOOKUP(A70,'Team Stats'!$B$2:$B$366,'Team Stats'!$T$2:$T$366)/( _xlfn.XLOOKUP(A70,'Team Stats'!$B$2:$B$366,'Team Stats'!$T$2:$T$366)+_xlfn.XLOOKUP(A70,'Team Stats'!$B$2:$B$366,'Team Stats'!$F$2:$F$366)+0.44*_xlfn.XLOOKUP(A70,'Team Stats'!$B$2:$B$366,'Team Stats'!$L$2:$L$366)+_xlfn.XLOOKUP(A70,'Team Stats'!$B$2:$B$366,'Team Stats'!$Q$2:$Q$366))*100</f>
        <v>13.967033837863537</v>
      </c>
      <c r="D70" s="146">
        <f>_xlfn.XLOOKUP(A70,'Team Stats'!$B$2:$B$366,'Team Stats'!$N$2:$N$366)/(_xlfn.XLOOKUP(A70,'Team Stats'!$B$2:$B$366,'Team Stats'!$N$2:$N$366)+_xlfn.XLOOKUP(A70,'Opponents stats vs'!$B$2:$B$366,'Opponents stats vs'!$O$2:$O$366))*100</f>
        <v>37.151702786377712</v>
      </c>
      <c r="E70" s="146">
        <f>_xlfn.XLOOKUP(A70,'Team Stats'!$B$2:$B$366,'Team Stats'!$K$2:$K$366)/_xlfn.XLOOKUP(A70,'Team Stats'!$B$2:$B$366,'Team Stats'!$F$2:$F$366)*100</f>
        <v>24.659863945578234</v>
      </c>
      <c r="F70" s="146">
        <f>_xlfn.XLOOKUP(A70,'Team Stats'!$B$2:$B$366,'Team Stats'!$F$2:$F$366)+0.44*_xlfn.XLOOKUP(A70,'Team Stats'!$B$2:$B$366,'Team Stats'!$L$2:$L$366)+_xlfn.XLOOKUP(A70,'Team Stats'!$B$2:$B$366,'Team Stats'!$T$2:$T$366)-_xlfn.XLOOKUP(A70,'Team Stats'!$B$2:$B$366,'Team Stats'!$N$2:$N$366)</f>
        <v>70.051999999999992</v>
      </c>
      <c r="G70">
        <f>_xlfn.XLOOKUP(A70,'Team Stats'!$B$2:$B$366,'Team Stats'!$D$2:$D$366)/F70</f>
        <v>1.1491463484268829</v>
      </c>
      <c r="H70">
        <f>_xlfn.XLOOKUP(A70,'Team Stats'!$B$2:$B$366,'Team Stats'!$D$2:$D$366)</f>
        <v>80.5</v>
      </c>
    </row>
    <row r="71" spans="1:8" ht="15" customHeight="1" x14ac:dyDescent="0.25">
      <c r="A71" t="s">
        <v>96</v>
      </c>
      <c r="B71" s="146">
        <f t="array" ref="B71">_xlfn.XLOOKUP(A71,'Team Stats'!$B$2:$B$366,('Team Stats'!$E$2:$E$366+'Team Stats'!$H$2:$H$366/2)/'Team Stats'!$F$2:$F$366)*100</f>
        <v>54.530744336569583</v>
      </c>
      <c r="C71" s="146">
        <f>_xlfn.XLOOKUP(A71,'Team Stats'!$B$2:$B$366,'Team Stats'!$T$2:$T$366)/( _xlfn.XLOOKUP(A71,'Team Stats'!$B$2:$B$366,'Team Stats'!$T$2:$T$366)+_xlfn.XLOOKUP(A71,'Team Stats'!$B$2:$B$366,'Team Stats'!$F$2:$F$366)+0.44*_xlfn.XLOOKUP(A71,'Team Stats'!$B$2:$B$366,'Team Stats'!$L$2:$L$366)+_xlfn.XLOOKUP(A71,'Team Stats'!$B$2:$B$366,'Team Stats'!$Q$2:$Q$366))*100</f>
        <v>11.178272749855097</v>
      </c>
      <c r="D71" s="146">
        <f>_xlfn.XLOOKUP(A71,'Team Stats'!$B$2:$B$366,'Team Stats'!$N$2:$N$366)/(_xlfn.XLOOKUP(A71,'Team Stats'!$B$2:$B$366,'Team Stats'!$N$2:$N$366)+_xlfn.XLOOKUP(A71,'Opponents stats vs'!$B$2:$B$366,'Opponents stats vs'!$O$2:$O$366))*100</f>
        <v>33.620689655172413</v>
      </c>
      <c r="E71" s="146">
        <f>_xlfn.XLOOKUP(A71,'Team Stats'!$B$2:$B$366,'Team Stats'!$K$2:$K$366)/_xlfn.XLOOKUP(A71,'Team Stats'!$B$2:$B$366,'Team Stats'!$F$2:$F$366)*100</f>
        <v>22.330097087378643</v>
      </c>
      <c r="F71" s="146">
        <f>_xlfn.XLOOKUP(A71,'Team Stats'!$B$2:$B$366,'Team Stats'!$F$2:$F$366)+0.44*_xlfn.XLOOKUP(A71,'Team Stats'!$B$2:$B$366,'Team Stats'!$L$2:$L$366)+_xlfn.XLOOKUP(A71,'Team Stats'!$B$2:$B$366,'Team Stats'!$T$2:$T$366)-_xlfn.XLOOKUP(A71,'Team Stats'!$B$2:$B$366,'Team Stats'!$N$2:$N$366)</f>
        <v>69.215999999999994</v>
      </c>
      <c r="G71">
        <f>_xlfn.XLOOKUP(A71,'Team Stats'!$B$2:$B$366,'Team Stats'!$D$2:$D$366)/F71</f>
        <v>1.1745839112343968</v>
      </c>
      <c r="H71">
        <f>_xlfn.XLOOKUP(A71,'Team Stats'!$B$2:$B$366,'Team Stats'!$D$2:$D$366)</f>
        <v>81.3</v>
      </c>
    </row>
    <row r="72" spans="1:8" ht="15" customHeight="1" x14ac:dyDescent="0.25">
      <c r="A72" t="s">
        <v>72</v>
      </c>
      <c r="B72" s="146">
        <f t="array" ref="B72">_xlfn.XLOOKUP(A72,'Team Stats'!$B$2:$B$366,('Team Stats'!$E$2:$E$366+'Team Stats'!$H$2:$H$366/2)/'Team Stats'!$F$2:$F$366)*100</f>
        <v>54.433497536945808</v>
      </c>
      <c r="C72" s="146">
        <f>_xlfn.XLOOKUP(A72,'Team Stats'!$B$2:$B$366,'Team Stats'!$T$2:$T$366)/( _xlfn.XLOOKUP(A72,'Team Stats'!$B$2:$B$366,'Team Stats'!$T$2:$T$366)+_xlfn.XLOOKUP(A72,'Team Stats'!$B$2:$B$366,'Team Stats'!$F$2:$F$366)+0.44*_xlfn.XLOOKUP(A72,'Team Stats'!$B$2:$B$366,'Team Stats'!$L$2:$L$366)+_xlfn.XLOOKUP(A72,'Team Stats'!$B$2:$B$366,'Team Stats'!$Q$2:$Q$366))*100</f>
        <v>11.076014275751733</v>
      </c>
      <c r="D72" s="146">
        <f>_xlfn.XLOOKUP(A72,'Team Stats'!$B$2:$B$366,'Team Stats'!$N$2:$N$366)/(_xlfn.XLOOKUP(A72,'Team Stats'!$B$2:$B$366,'Team Stats'!$N$2:$N$366)+_xlfn.XLOOKUP(A72,'Opponents stats vs'!$B$2:$B$366,'Opponents stats vs'!$O$2:$O$366))*100</f>
        <v>38.243626062322953</v>
      </c>
      <c r="E72" s="146">
        <f>_xlfn.XLOOKUP(A72,'Team Stats'!$B$2:$B$366,'Team Stats'!$K$2:$K$366)/_xlfn.XLOOKUP(A72,'Team Stats'!$B$2:$B$366,'Team Stats'!$F$2:$F$366)*100</f>
        <v>24.302134646962234</v>
      </c>
      <c r="F72" s="146">
        <f>_xlfn.XLOOKUP(A72,'Team Stats'!$B$2:$B$366,'Team Stats'!$F$2:$F$366)+0.44*_xlfn.XLOOKUP(A72,'Team Stats'!$B$2:$B$366,'Team Stats'!$L$2:$L$366)+_xlfn.XLOOKUP(A72,'Team Stats'!$B$2:$B$366,'Team Stats'!$T$2:$T$366)-_xlfn.XLOOKUP(A72,'Team Stats'!$B$2:$B$366,'Team Stats'!$N$2:$N$366)</f>
        <v>67.307999999999993</v>
      </c>
      <c r="G72">
        <f>_xlfn.XLOOKUP(A72,'Team Stats'!$B$2:$B$366,'Team Stats'!$D$2:$D$366)/F72</f>
        <v>1.2034230700659656</v>
      </c>
      <c r="H72">
        <f>_xlfn.XLOOKUP(A72,'Team Stats'!$B$2:$B$366,'Team Stats'!$D$2:$D$366)</f>
        <v>81</v>
      </c>
    </row>
    <row r="73" spans="1:8" ht="15" customHeight="1" x14ac:dyDescent="0.25">
      <c r="A73" t="s">
        <v>209</v>
      </c>
      <c r="B73" s="146">
        <f t="array" ref="B73">_xlfn.XLOOKUP(A73,'Team Stats'!$B$2:$B$366,('Team Stats'!$E$2:$E$366+'Team Stats'!$H$2:$H$366/2)/'Team Stats'!$F$2:$F$366)*100</f>
        <v>51.938610662358641</v>
      </c>
      <c r="C73" s="146">
        <f>_xlfn.XLOOKUP(A73,'Team Stats'!$B$2:$B$366,'Team Stats'!$T$2:$T$366)/( _xlfn.XLOOKUP(A73,'Team Stats'!$B$2:$B$366,'Team Stats'!$T$2:$T$366)+_xlfn.XLOOKUP(A73,'Team Stats'!$B$2:$B$366,'Team Stats'!$F$2:$F$366)+0.44*_xlfn.XLOOKUP(A73,'Team Stats'!$B$2:$B$366,'Team Stats'!$L$2:$L$366)+_xlfn.XLOOKUP(A73,'Team Stats'!$B$2:$B$366,'Team Stats'!$Q$2:$Q$366))*100</f>
        <v>15.425955414012735</v>
      </c>
      <c r="D73" s="146">
        <f>_xlfn.XLOOKUP(A73,'Team Stats'!$B$2:$B$366,'Team Stats'!$N$2:$N$366)/(_xlfn.XLOOKUP(A73,'Team Stats'!$B$2:$B$366,'Team Stats'!$N$2:$N$366)+_xlfn.XLOOKUP(A73,'Opponents stats vs'!$B$2:$B$366,'Opponents stats vs'!$O$2:$O$366))*100</f>
        <v>30.107526881720425</v>
      </c>
      <c r="E73" s="146">
        <f>_xlfn.XLOOKUP(A73,'Team Stats'!$B$2:$B$366,'Team Stats'!$K$2:$K$366)/_xlfn.XLOOKUP(A73,'Team Stats'!$B$2:$B$366,'Team Stats'!$F$2:$F$366)*100</f>
        <v>27.948303715670438</v>
      </c>
      <c r="F73" s="146">
        <f>_xlfn.XLOOKUP(A73,'Team Stats'!$B$2:$B$366,'Team Stats'!$F$2:$F$366)+0.44*_xlfn.XLOOKUP(A73,'Team Stats'!$B$2:$B$366,'Team Stats'!$L$2:$L$366)+_xlfn.XLOOKUP(A73,'Team Stats'!$B$2:$B$366,'Team Stats'!$T$2:$T$366)-_xlfn.XLOOKUP(A73,'Team Stats'!$B$2:$B$366,'Team Stats'!$N$2:$N$366)</f>
        <v>75.88</v>
      </c>
      <c r="G73">
        <f>_xlfn.XLOOKUP(A73,'Team Stats'!$B$2:$B$366,'Team Stats'!$D$2:$D$366)/F73</f>
        <v>1.0767000527148129</v>
      </c>
      <c r="H73">
        <f>_xlfn.XLOOKUP(A73,'Team Stats'!$B$2:$B$366,'Team Stats'!$D$2:$D$366)</f>
        <v>81.7</v>
      </c>
    </row>
    <row r="74" spans="1:8" ht="15" customHeight="1" x14ac:dyDescent="0.25">
      <c r="A74" t="s">
        <v>318</v>
      </c>
      <c r="B74" s="146">
        <f t="array" ref="B74">_xlfn.XLOOKUP(A74,'Team Stats'!$B$2:$B$366,('Team Stats'!$E$2:$E$366+'Team Stats'!$H$2:$H$366/2)/'Team Stats'!$F$2:$F$366)*100</f>
        <v>52.51256281407035</v>
      </c>
      <c r="C74" s="146">
        <f>_xlfn.XLOOKUP(A74,'Team Stats'!$B$2:$B$366,'Team Stats'!$T$2:$T$366)/( _xlfn.XLOOKUP(A74,'Team Stats'!$B$2:$B$366,'Team Stats'!$T$2:$T$366)+_xlfn.XLOOKUP(A74,'Team Stats'!$B$2:$B$366,'Team Stats'!$F$2:$F$366)+0.44*_xlfn.XLOOKUP(A74,'Team Stats'!$B$2:$B$366,'Team Stats'!$L$2:$L$366)+_xlfn.XLOOKUP(A74,'Team Stats'!$B$2:$B$366,'Team Stats'!$Q$2:$Q$366))*100</f>
        <v>10.169128666238493</v>
      </c>
      <c r="D74" s="146">
        <f>_xlfn.XLOOKUP(A74,'Team Stats'!$B$2:$B$366,'Team Stats'!$N$2:$N$366)/(_xlfn.XLOOKUP(A74,'Team Stats'!$B$2:$B$366,'Team Stats'!$N$2:$N$366)+_xlfn.XLOOKUP(A74,'Opponents stats vs'!$B$2:$B$366,'Opponents stats vs'!$O$2:$O$366))*100</f>
        <v>36.549707602339176</v>
      </c>
      <c r="E74" s="146">
        <f>_xlfn.XLOOKUP(A74,'Team Stats'!$B$2:$B$366,'Team Stats'!$K$2:$K$366)/_xlfn.XLOOKUP(A74,'Team Stats'!$B$2:$B$366,'Team Stats'!$F$2:$F$366)*100</f>
        <v>29.145728643216078</v>
      </c>
      <c r="F74" s="146">
        <f>_xlfn.XLOOKUP(A74,'Team Stats'!$B$2:$B$366,'Team Stats'!$F$2:$F$366)+0.44*_xlfn.XLOOKUP(A74,'Team Stats'!$B$2:$B$366,'Team Stats'!$L$2:$L$366)+_xlfn.XLOOKUP(A74,'Team Stats'!$B$2:$B$366,'Team Stats'!$T$2:$T$366)-_xlfn.XLOOKUP(A74,'Team Stats'!$B$2:$B$366,'Team Stats'!$N$2:$N$366)</f>
        <v>66.820000000000007</v>
      </c>
      <c r="G74">
        <f>_xlfn.XLOOKUP(A74,'Team Stats'!$B$2:$B$366,'Team Stats'!$D$2:$D$366)/F74</f>
        <v>1.1972463334331038</v>
      </c>
      <c r="H74">
        <f>_xlfn.XLOOKUP(A74,'Team Stats'!$B$2:$B$366,'Team Stats'!$D$2:$D$366)</f>
        <v>80</v>
      </c>
    </row>
    <row r="75" spans="1:8" ht="15" customHeight="1" x14ac:dyDescent="0.25">
      <c r="A75" t="s">
        <v>447</v>
      </c>
      <c r="B75" s="146">
        <f t="array" ref="B75">_xlfn.XLOOKUP(A75,'Team Stats'!$B$2:$B$366,('Team Stats'!$E$2:$E$366+'Team Stats'!$H$2:$H$366/2)/'Team Stats'!$F$2:$F$366)*100</f>
        <v>50.680272108843539</v>
      </c>
      <c r="C75" s="146">
        <f>_xlfn.XLOOKUP(A75,'Team Stats'!$B$2:$B$366,'Team Stats'!$T$2:$T$366)/( _xlfn.XLOOKUP(A75,'Team Stats'!$B$2:$B$366,'Team Stats'!$T$2:$T$366)+_xlfn.XLOOKUP(A75,'Team Stats'!$B$2:$B$366,'Team Stats'!$F$2:$F$366)+0.44*_xlfn.XLOOKUP(A75,'Team Stats'!$B$2:$B$366,'Team Stats'!$L$2:$L$366)+_xlfn.XLOOKUP(A75,'Team Stats'!$B$2:$B$366,'Team Stats'!$Q$2:$Q$366))*100</f>
        <v>12.958654748785762</v>
      </c>
      <c r="D75" s="146">
        <f>_xlfn.XLOOKUP(A75,'Team Stats'!$B$2:$B$366,'Team Stats'!$N$2:$N$366)/(_xlfn.XLOOKUP(A75,'Team Stats'!$B$2:$B$366,'Team Stats'!$N$2:$N$366)+_xlfn.XLOOKUP(A75,'Opponents stats vs'!$B$2:$B$366,'Opponents stats vs'!$O$2:$O$366))*100</f>
        <v>34.017595307917887</v>
      </c>
      <c r="E75" s="146">
        <f>_xlfn.XLOOKUP(A75,'Team Stats'!$B$2:$B$366,'Team Stats'!$K$2:$K$366)/_xlfn.XLOOKUP(A75,'Team Stats'!$B$2:$B$366,'Team Stats'!$F$2:$F$366)*100</f>
        <v>32.823129251700685</v>
      </c>
      <c r="F75" s="146">
        <f>_xlfn.XLOOKUP(A75,'Team Stats'!$B$2:$B$366,'Team Stats'!$F$2:$F$366)+0.44*_xlfn.XLOOKUP(A75,'Team Stats'!$B$2:$B$366,'Team Stats'!$L$2:$L$366)+_xlfn.XLOOKUP(A75,'Team Stats'!$B$2:$B$366,'Team Stats'!$T$2:$T$366)-_xlfn.XLOOKUP(A75,'Team Stats'!$B$2:$B$366,'Team Stats'!$N$2:$N$366)</f>
        <v>71.603999999999999</v>
      </c>
      <c r="G75">
        <f>_xlfn.XLOOKUP(A75,'Team Stats'!$B$2:$B$366,'Team Stats'!$D$2:$D$366)/F75</f>
        <v>1.1018937489525726</v>
      </c>
      <c r="H75">
        <f>_xlfn.XLOOKUP(A75,'Team Stats'!$B$2:$B$366,'Team Stats'!$D$2:$D$366)</f>
        <v>78.900000000000006</v>
      </c>
    </row>
    <row r="76" spans="1:8" ht="15" customHeight="1" x14ac:dyDescent="0.25">
      <c r="A76" t="s">
        <v>301</v>
      </c>
      <c r="B76" s="146">
        <f t="array" ref="B76">_xlfn.XLOOKUP(A76,'Team Stats'!$B$2:$B$366,('Team Stats'!$E$2:$E$366+'Team Stats'!$H$2:$H$366/2)/'Team Stats'!$F$2:$F$366)*100</f>
        <v>55.161290322580648</v>
      </c>
      <c r="C76" s="146">
        <f>_xlfn.XLOOKUP(A76,'Team Stats'!$B$2:$B$366,'Team Stats'!$T$2:$T$366)/( _xlfn.XLOOKUP(A76,'Team Stats'!$B$2:$B$366,'Team Stats'!$T$2:$T$366)+_xlfn.XLOOKUP(A76,'Team Stats'!$B$2:$B$366,'Team Stats'!$F$2:$F$366)+0.44*_xlfn.XLOOKUP(A76,'Team Stats'!$B$2:$B$366,'Team Stats'!$L$2:$L$366)+_xlfn.XLOOKUP(A76,'Team Stats'!$B$2:$B$366,'Team Stats'!$Q$2:$Q$366))*100</f>
        <v>11.46742439618429</v>
      </c>
      <c r="D76" s="146">
        <f>_xlfn.XLOOKUP(A76,'Team Stats'!$B$2:$B$366,'Team Stats'!$N$2:$N$366)/(_xlfn.XLOOKUP(A76,'Team Stats'!$B$2:$B$366,'Team Stats'!$N$2:$N$366)+_xlfn.XLOOKUP(A76,'Opponents stats vs'!$B$2:$B$366,'Opponents stats vs'!$O$2:$O$366))*100</f>
        <v>27.507163323782237</v>
      </c>
      <c r="E76" s="146">
        <f>_xlfn.XLOOKUP(A76,'Team Stats'!$B$2:$B$366,'Team Stats'!$K$2:$K$366)/_xlfn.XLOOKUP(A76,'Team Stats'!$B$2:$B$366,'Team Stats'!$F$2:$F$366)*100</f>
        <v>19.516129032258064</v>
      </c>
      <c r="F76" s="146">
        <f>_xlfn.XLOOKUP(A76,'Team Stats'!$B$2:$B$366,'Team Stats'!$F$2:$F$366)+0.44*_xlfn.XLOOKUP(A76,'Team Stats'!$B$2:$B$366,'Team Stats'!$L$2:$L$366)+_xlfn.XLOOKUP(A76,'Team Stats'!$B$2:$B$366,'Team Stats'!$T$2:$T$366)-_xlfn.XLOOKUP(A76,'Team Stats'!$B$2:$B$366,'Team Stats'!$N$2:$N$366)</f>
        <v>70.740000000000009</v>
      </c>
      <c r="G76">
        <f>_xlfn.XLOOKUP(A76,'Team Stats'!$B$2:$B$366,'Team Stats'!$D$2:$D$366)/F76</f>
        <v>1.137970031099802</v>
      </c>
      <c r="H76">
        <f>_xlfn.XLOOKUP(A76,'Team Stats'!$B$2:$B$366,'Team Stats'!$D$2:$D$366)</f>
        <v>80.5</v>
      </c>
    </row>
    <row r="77" spans="1:8" ht="15" customHeight="1" x14ac:dyDescent="0.25">
      <c r="A77" t="s">
        <v>268</v>
      </c>
      <c r="B77" s="146">
        <f t="array" ref="B77">_xlfn.XLOOKUP(A77,'Team Stats'!$B$2:$B$366,('Team Stats'!$E$2:$E$366+'Team Stats'!$H$2:$H$366/2)/'Team Stats'!$F$2:$F$366)*100</f>
        <v>51.225490196078425</v>
      </c>
      <c r="C77" s="146">
        <f>_xlfn.XLOOKUP(A77,'Team Stats'!$B$2:$B$366,'Team Stats'!$T$2:$T$366)/( _xlfn.XLOOKUP(A77,'Team Stats'!$B$2:$B$366,'Team Stats'!$T$2:$T$366)+_xlfn.XLOOKUP(A77,'Team Stats'!$B$2:$B$366,'Team Stats'!$F$2:$F$366)+0.44*_xlfn.XLOOKUP(A77,'Team Stats'!$B$2:$B$366,'Team Stats'!$L$2:$L$366)+_xlfn.XLOOKUP(A77,'Team Stats'!$B$2:$B$366,'Team Stats'!$Q$2:$Q$366))*100</f>
        <v>11.141106397566098</v>
      </c>
      <c r="D77" s="146">
        <f>_xlfn.XLOOKUP(A77,'Team Stats'!$B$2:$B$366,'Team Stats'!$N$2:$N$366)/(_xlfn.XLOOKUP(A77,'Team Stats'!$B$2:$B$366,'Team Stats'!$N$2:$N$366)+_xlfn.XLOOKUP(A77,'Opponents stats vs'!$B$2:$B$366,'Opponents stats vs'!$O$2:$O$366))*100</f>
        <v>28.571428571428577</v>
      </c>
      <c r="E77" s="146">
        <f>_xlfn.XLOOKUP(A77,'Team Stats'!$B$2:$B$366,'Team Stats'!$K$2:$K$366)/_xlfn.XLOOKUP(A77,'Team Stats'!$B$2:$B$366,'Team Stats'!$F$2:$F$366)*100</f>
        <v>29.084967320261441</v>
      </c>
      <c r="F77" s="146">
        <f>_xlfn.XLOOKUP(A77,'Team Stats'!$B$2:$B$366,'Team Stats'!$F$2:$F$366)+0.44*_xlfn.XLOOKUP(A77,'Team Stats'!$B$2:$B$366,'Team Stats'!$L$2:$L$366)+_xlfn.XLOOKUP(A77,'Team Stats'!$B$2:$B$366,'Team Stats'!$T$2:$T$366)-_xlfn.XLOOKUP(A77,'Team Stats'!$B$2:$B$366,'Team Stats'!$N$2:$N$366)</f>
        <v>71.448000000000008</v>
      </c>
      <c r="G77">
        <f>_xlfn.XLOOKUP(A77,'Team Stats'!$B$2:$B$366,'Team Stats'!$D$2:$D$366)/F77</f>
        <v>1.128093158660844</v>
      </c>
      <c r="H77">
        <f>_xlfn.XLOOKUP(A77,'Team Stats'!$B$2:$B$366,'Team Stats'!$D$2:$D$366)</f>
        <v>80.599999999999994</v>
      </c>
    </row>
    <row r="78" spans="1:8" ht="15" customHeight="1" x14ac:dyDescent="0.25">
      <c r="A78" t="s">
        <v>409</v>
      </c>
      <c r="B78" s="146">
        <f t="array" ref="B78">_xlfn.XLOOKUP(A78,'Team Stats'!$B$2:$B$366,('Team Stats'!$E$2:$E$366+'Team Stats'!$H$2:$H$366/2)/'Team Stats'!$F$2:$F$366)*100</f>
        <v>51.445578231292522</v>
      </c>
      <c r="C78" s="146">
        <f>_xlfn.XLOOKUP(A78,'Team Stats'!$B$2:$B$366,'Team Stats'!$T$2:$T$366)/( _xlfn.XLOOKUP(A78,'Team Stats'!$B$2:$B$366,'Team Stats'!$T$2:$T$366)+_xlfn.XLOOKUP(A78,'Team Stats'!$B$2:$B$366,'Team Stats'!$F$2:$F$366)+0.44*_xlfn.XLOOKUP(A78,'Team Stats'!$B$2:$B$366,'Team Stats'!$L$2:$L$366)+_xlfn.XLOOKUP(A78,'Team Stats'!$B$2:$B$366,'Team Stats'!$Q$2:$Q$366))*100</f>
        <v>12.636899747262007</v>
      </c>
      <c r="D78" s="146">
        <f>_xlfn.XLOOKUP(A78,'Team Stats'!$B$2:$B$366,'Team Stats'!$N$2:$N$366)/(_xlfn.XLOOKUP(A78,'Team Stats'!$B$2:$B$366,'Team Stats'!$N$2:$N$366)+_xlfn.XLOOKUP(A78,'Opponents stats vs'!$B$2:$B$366,'Opponents stats vs'!$O$2:$O$366))*100</f>
        <v>30</v>
      </c>
      <c r="E78" s="146">
        <f>_xlfn.XLOOKUP(A78,'Team Stats'!$B$2:$B$366,'Team Stats'!$K$2:$K$366)/_xlfn.XLOOKUP(A78,'Team Stats'!$B$2:$B$366,'Team Stats'!$F$2:$F$366)*100</f>
        <v>33.333333333333336</v>
      </c>
      <c r="F78" s="146">
        <f>_xlfn.XLOOKUP(A78,'Team Stats'!$B$2:$B$366,'Team Stats'!$F$2:$F$366)+0.44*_xlfn.XLOOKUP(A78,'Team Stats'!$B$2:$B$366,'Team Stats'!$L$2:$L$366)+_xlfn.XLOOKUP(A78,'Team Stats'!$B$2:$B$366,'Team Stats'!$T$2:$T$366)-_xlfn.XLOOKUP(A78,'Team Stats'!$B$2:$B$366,'Team Stats'!$N$2:$N$366)</f>
        <v>71.959999999999994</v>
      </c>
      <c r="G78">
        <f>_xlfn.XLOOKUP(A78,'Team Stats'!$B$2:$B$366,'Team Stats'!$D$2:$D$366)/F78</f>
        <v>1.1145080600333519</v>
      </c>
      <c r="H78">
        <f>_xlfn.XLOOKUP(A78,'Team Stats'!$B$2:$B$366,'Team Stats'!$D$2:$D$366)</f>
        <v>80.2</v>
      </c>
    </row>
    <row r="79" spans="1:8" ht="15" customHeight="1" x14ac:dyDescent="0.25">
      <c r="A79" t="s">
        <v>51</v>
      </c>
      <c r="B79" s="146">
        <f t="array" ref="B79">_xlfn.XLOOKUP(A79,'Team Stats'!$B$2:$B$366,('Team Stats'!$E$2:$E$366+'Team Stats'!$H$2:$H$366/2)/'Team Stats'!$F$2:$F$366)*100</f>
        <v>52.12765957446809</v>
      </c>
      <c r="C79" s="146">
        <f>_xlfn.XLOOKUP(A79,'Team Stats'!$B$2:$B$366,'Team Stats'!$T$2:$T$366)/( _xlfn.XLOOKUP(A79,'Team Stats'!$B$2:$B$366,'Team Stats'!$T$2:$T$366)+_xlfn.XLOOKUP(A79,'Team Stats'!$B$2:$B$366,'Team Stats'!$F$2:$F$366)+0.44*_xlfn.XLOOKUP(A79,'Team Stats'!$B$2:$B$366,'Team Stats'!$L$2:$L$366)+_xlfn.XLOOKUP(A79,'Team Stats'!$B$2:$B$366,'Team Stats'!$Q$2:$Q$366))*100</f>
        <v>11.92890373374687</v>
      </c>
      <c r="D79" s="146">
        <f>_xlfn.XLOOKUP(A79,'Team Stats'!$B$2:$B$366,'Team Stats'!$N$2:$N$366)/(_xlfn.XLOOKUP(A79,'Team Stats'!$B$2:$B$366,'Team Stats'!$N$2:$N$366)+_xlfn.XLOOKUP(A79,'Opponents stats vs'!$B$2:$B$366,'Opponents stats vs'!$O$2:$O$366))*100</f>
        <v>45.299145299145302</v>
      </c>
      <c r="E79" s="146">
        <f>_xlfn.XLOOKUP(A79,'Team Stats'!$B$2:$B$366,'Team Stats'!$K$2:$K$366)/_xlfn.XLOOKUP(A79,'Team Stats'!$B$2:$B$366,'Team Stats'!$F$2:$F$366)*100</f>
        <v>26.677577741407525</v>
      </c>
      <c r="F79" s="146">
        <f>_xlfn.XLOOKUP(A79,'Team Stats'!$B$2:$B$366,'Team Stats'!$F$2:$F$366)+0.44*_xlfn.XLOOKUP(A79,'Team Stats'!$B$2:$B$366,'Team Stats'!$L$2:$L$366)+_xlfn.XLOOKUP(A79,'Team Stats'!$B$2:$B$366,'Team Stats'!$T$2:$T$366)-_xlfn.XLOOKUP(A79,'Team Stats'!$B$2:$B$366,'Team Stats'!$N$2:$N$366)</f>
        <v>67.495999999999995</v>
      </c>
      <c r="G79">
        <f>_xlfn.XLOOKUP(A79,'Team Stats'!$B$2:$B$366,'Team Stats'!$D$2:$D$366)/F79</f>
        <v>1.1852554225435583</v>
      </c>
      <c r="H79">
        <f>_xlfn.XLOOKUP(A79,'Team Stats'!$B$2:$B$366,'Team Stats'!$D$2:$D$366)</f>
        <v>80</v>
      </c>
    </row>
    <row r="80" spans="1:8" ht="15" customHeight="1" x14ac:dyDescent="0.25">
      <c r="A80" t="s">
        <v>257</v>
      </c>
      <c r="B80" s="146">
        <f t="array" ref="B80">_xlfn.XLOOKUP(A80,'Team Stats'!$B$2:$B$366,('Team Stats'!$E$2:$E$366+'Team Stats'!$H$2:$H$366/2)/'Team Stats'!$F$2:$F$366)*100</f>
        <v>52.652733118971064</v>
      </c>
      <c r="C80" s="146">
        <f>_xlfn.XLOOKUP(A80,'Team Stats'!$B$2:$B$366,'Team Stats'!$T$2:$T$366)/( _xlfn.XLOOKUP(A80,'Team Stats'!$B$2:$B$366,'Team Stats'!$T$2:$T$366)+_xlfn.XLOOKUP(A80,'Team Stats'!$B$2:$B$366,'Team Stats'!$F$2:$F$366)+0.44*_xlfn.XLOOKUP(A80,'Team Stats'!$B$2:$B$366,'Team Stats'!$L$2:$L$366)+_xlfn.XLOOKUP(A80,'Team Stats'!$B$2:$B$366,'Team Stats'!$Q$2:$Q$366))*100</f>
        <v>12.422360248447205</v>
      </c>
      <c r="D80" s="146">
        <f>_xlfn.XLOOKUP(A80,'Team Stats'!$B$2:$B$366,'Team Stats'!$N$2:$N$366)/(_xlfn.XLOOKUP(A80,'Team Stats'!$B$2:$B$366,'Team Stats'!$N$2:$N$366)+_xlfn.XLOOKUP(A80,'Opponents stats vs'!$B$2:$B$366,'Opponents stats vs'!$O$2:$O$366))*100</f>
        <v>33.423913043478265</v>
      </c>
      <c r="E80" s="146">
        <f>_xlfn.XLOOKUP(A80,'Team Stats'!$B$2:$B$366,'Team Stats'!$K$2:$K$366)/_xlfn.XLOOKUP(A80,'Team Stats'!$B$2:$B$366,'Team Stats'!$F$2:$F$366)*100</f>
        <v>22.829581993569128</v>
      </c>
      <c r="F80" s="146">
        <f>_xlfn.XLOOKUP(A80,'Team Stats'!$B$2:$B$366,'Team Stats'!$F$2:$F$366)+0.44*_xlfn.XLOOKUP(A80,'Team Stats'!$B$2:$B$366,'Team Stats'!$L$2:$L$366)+_xlfn.XLOOKUP(A80,'Team Stats'!$B$2:$B$366,'Team Stats'!$T$2:$T$366)-_xlfn.XLOOKUP(A80,'Team Stats'!$B$2:$B$366,'Team Stats'!$N$2:$N$366)</f>
        <v>70.7</v>
      </c>
      <c r="G80">
        <f>_xlfn.XLOOKUP(A80,'Team Stats'!$B$2:$B$366,'Team Stats'!$D$2:$D$366)/F80</f>
        <v>1.1287128712871286</v>
      </c>
      <c r="H80">
        <f>_xlfn.XLOOKUP(A80,'Team Stats'!$B$2:$B$366,'Team Stats'!$D$2:$D$366)</f>
        <v>79.8</v>
      </c>
    </row>
    <row r="81" spans="1:8" ht="15" customHeight="1" x14ac:dyDescent="0.25">
      <c r="A81" t="s">
        <v>317</v>
      </c>
      <c r="B81" s="146">
        <f t="array" ref="B81">_xlfn.XLOOKUP(A81,'Team Stats'!$B$2:$B$366,('Team Stats'!$E$2:$E$366+'Team Stats'!$H$2:$H$366/2)/'Team Stats'!$F$2:$F$366)*100</f>
        <v>53.267973856209153</v>
      </c>
      <c r="C81" s="146">
        <f>_xlfn.XLOOKUP(A81,'Team Stats'!$B$2:$B$366,'Team Stats'!$T$2:$T$366)/( _xlfn.XLOOKUP(A81,'Team Stats'!$B$2:$B$366,'Team Stats'!$T$2:$T$366)+_xlfn.XLOOKUP(A81,'Team Stats'!$B$2:$B$366,'Team Stats'!$F$2:$F$366)+0.44*_xlfn.XLOOKUP(A81,'Team Stats'!$B$2:$B$366,'Team Stats'!$L$2:$L$366)+_xlfn.XLOOKUP(A81,'Team Stats'!$B$2:$B$366,'Team Stats'!$Q$2:$Q$366))*100</f>
        <v>12.888119318405414</v>
      </c>
      <c r="D81" s="146">
        <f>_xlfn.XLOOKUP(A81,'Team Stats'!$B$2:$B$366,'Team Stats'!$N$2:$N$366)/(_xlfn.XLOOKUP(A81,'Team Stats'!$B$2:$B$366,'Team Stats'!$N$2:$N$366)+_xlfn.XLOOKUP(A81,'Opponents stats vs'!$B$2:$B$366,'Opponents stats vs'!$O$2:$O$366))*100</f>
        <v>33.521126760563376</v>
      </c>
      <c r="E81" s="146">
        <f>_xlfn.XLOOKUP(A81,'Team Stats'!$B$2:$B$366,'Team Stats'!$K$2:$K$366)/_xlfn.XLOOKUP(A81,'Team Stats'!$B$2:$B$366,'Team Stats'!$F$2:$F$366)*100</f>
        <v>25</v>
      </c>
      <c r="F81" s="146">
        <f>_xlfn.XLOOKUP(A81,'Team Stats'!$B$2:$B$366,'Team Stats'!$F$2:$F$366)+0.44*_xlfn.XLOOKUP(A81,'Team Stats'!$B$2:$B$366,'Team Stats'!$L$2:$L$366)+_xlfn.XLOOKUP(A81,'Team Stats'!$B$2:$B$366,'Team Stats'!$T$2:$T$366)-_xlfn.XLOOKUP(A81,'Team Stats'!$B$2:$B$366,'Team Stats'!$N$2:$N$366)</f>
        <v>72.343999999999994</v>
      </c>
      <c r="G81">
        <f>_xlfn.XLOOKUP(A81,'Team Stats'!$B$2:$B$366,'Team Stats'!$D$2:$D$366)/F81</f>
        <v>1.1127391352427294</v>
      </c>
      <c r="H81">
        <f>_xlfn.XLOOKUP(A81,'Team Stats'!$B$2:$B$366,'Team Stats'!$D$2:$D$366)</f>
        <v>80.5</v>
      </c>
    </row>
    <row r="82" spans="1:8" ht="15" customHeight="1" x14ac:dyDescent="0.25">
      <c r="A82" t="s">
        <v>252</v>
      </c>
      <c r="B82" s="146">
        <f t="array" ref="B82">_xlfn.XLOOKUP(A82,'Team Stats'!$B$2:$B$366,('Team Stats'!$E$2:$E$366+'Team Stats'!$H$2:$H$366/2)/'Team Stats'!$F$2:$F$366)*100</f>
        <v>52.635914332784182</v>
      </c>
      <c r="C82" s="146">
        <f>_xlfn.XLOOKUP(A82,'Team Stats'!$B$2:$B$366,'Team Stats'!$T$2:$T$366)/( _xlfn.XLOOKUP(A82,'Team Stats'!$B$2:$B$366,'Team Stats'!$T$2:$T$366)+_xlfn.XLOOKUP(A82,'Team Stats'!$B$2:$B$366,'Team Stats'!$F$2:$F$366)+0.44*_xlfn.XLOOKUP(A82,'Team Stats'!$B$2:$B$366,'Team Stats'!$L$2:$L$366)+_xlfn.XLOOKUP(A82,'Team Stats'!$B$2:$B$366,'Team Stats'!$Q$2:$Q$366))*100</f>
        <v>11.032192989829369</v>
      </c>
      <c r="D82" s="146">
        <f>_xlfn.XLOOKUP(A82,'Team Stats'!$B$2:$B$366,'Team Stats'!$N$2:$N$366)/(_xlfn.XLOOKUP(A82,'Team Stats'!$B$2:$B$366,'Team Stats'!$N$2:$N$366)+_xlfn.XLOOKUP(A82,'Opponents stats vs'!$B$2:$B$366,'Opponents stats vs'!$O$2:$O$366))*100</f>
        <v>33.147632311977723</v>
      </c>
      <c r="E82" s="146">
        <f>_xlfn.XLOOKUP(A82,'Team Stats'!$B$2:$B$366,'Team Stats'!$K$2:$K$366)/_xlfn.XLOOKUP(A82,'Team Stats'!$B$2:$B$366,'Team Stats'!$F$2:$F$366)*100</f>
        <v>24.217462932454691</v>
      </c>
      <c r="F82" s="146">
        <f>_xlfn.XLOOKUP(A82,'Team Stats'!$B$2:$B$366,'Team Stats'!$F$2:$F$366)+0.44*_xlfn.XLOOKUP(A82,'Team Stats'!$B$2:$B$366,'Team Stats'!$L$2:$L$366)+_xlfn.XLOOKUP(A82,'Team Stats'!$B$2:$B$366,'Team Stats'!$T$2:$T$366)-_xlfn.XLOOKUP(A82,'Team Stats'!$B$2:$B$366,'Team Stats'!$N$2:$N$366)</f>
        <v>68.275999999999996</v>
      </c>
      <c r="G82">
        <f>_xlfn.XLOOKUP(A82,'Team Stats'!$B$2:$B$366,'Team Stats'!$D$2:$D$366)/F82</f>
        <v>1.1512097955357665</v>
      </c>
      <c r="H82">
        <f>_xlfn.XLOOKUP(A82,'Team Stats'!$B$2:$B$366,'Team Stats'!$D$2:$D$366)</f>
        <v>78.599999999999994</v>
      </c>
    </row>
    <row r="83" spans="1:8" ht="15" customHeight="1" x14ac:dyDescent="0.25">
      <c r="A83" t="s">
        <v>75</v>
      </c>
      <c r="B83" s="146">
        <f t="array" ref="B83">_xlfn.XLOOKUP(A83,'Team Stats'!$B$2:$B$366,('Team Stats'!$E$2:$E$366+'Team Stats'!$H$2:$H$366/2)/'Team Stats'!$F$2:$F$366)*100</f>
        <v>56.37168141592921</v>
      </c>
      <c r="C83" s="146">
        <f>_xlfn.XLOOKUP(A83,'Team Stats'!$B$2:$B$366,'Team Stats'!$T$2:$T$366)/( _xlfn.XLOOKUP(A83,'Team Stats'!$B$2:$B$366,'Team Stats'!$T$2:$T$366)+_xlfn.XLOOKUP(A83,'Team Stats'!$B$2:$B$366,'Team Stats'!$F$2:$F$366)+0.44*_xlfn.XLOOKUP(A83,'Team Stats'!$B$2:$B$366,'Team Stats'!$L$2:$L$366)+_xlfn.XLOOKUP(A83,'Team Stats'!$B$2:$B$366,'Team Stats'!$Q$2:$Q$366))*100</f>
        <v>11.462833965258795</v>
      </c>
      <c r="D83" s="146">
        <f>_xlfn.XLOOKUP(A83,'Team Stats'!$B$2:$B$366,'Team Stats'!$N$2:$N$366)/(_xlfn.XLOOKUP(A83,'Team Stats'!$B$2:$B$366,'Team Stats'!$N$2:$N$366)+_xlfn.XLOOKUP(A83,'Opponents stats vs'!$B$2:$B$366,'Opponents stats vs'!$O$2:$O$366))*100</f>
        <v>31.372549019607842</v>
      </c>
      <c r="E83" s="146">
        <f>_xlfn.XLOOKUP(A83,'Team Stats'!$B$2:$B$366,'Team Stats'!$K$2:$K$366)/_xlfn.XLOOKUP(A83,'Team Stats'!$B$2:$B$366,'Team Stats'!$F$2:$F$366)*100</f>
        <v>29.026548672566371</v>
      </c>
      <c r="F83" s="146">
        <f>_xlfn.XLOOKUP(A83,'Team Stats'!$B$2:$B$366,'Team Stats'!$F$2:$F$366)+0.44*_xlfn.XLOOKUP(A83,'Team Stats'!$B$2:$B$366,'Team Stats'!$L$2:$L$366)+_xlfn.XLOOKUP(A83,'Team Stats'!$B$2:$B$366,'Team Stats'!$T$2:$T$366)-_xlfn.XLOOKUP(A83,'Team Stats'!$B$2:$B$366,'Team Stats'!$N$2:$N$366)</f>
        <v>66.628000000000014</v>
      </c>
      <c r="G83">
        <f>_xlfn.XLOOKUP(A83,'Team Stats'!$B$2:$B$366,'Team Stats'!$D$2:$D$366)/F83</f>
        <v>1.2021972744191627</v>
      </c>
      <c r="H83">
        <f>_xlfn.XLOOKUP(A83,'Team Stats'!$B$2:$B$366,'Team Stats'!$D$2:$D$366)</f>
        <v>80.099999999999994</v>
      </c>
    </row>
    <row r="84" spans="1:8" ht="15" customHeight="1" x14ac:dyDescent="0.25">
      <c r="A84" t="s">
        <v>431</v>
      </c>
      <c r="B84" s="146">
        <f t="array" ref="B84">_xlfn.XLOOKUP(A84,'Team Stats'!$B$2:$B$366,('Team Stats'!$E$2:$E$366+'Team Stats'!$H$2:$H$366/2)/'Team Stats'!$F$2:$F$366)*100</f>
        <v>53.808752025931931</v>
      </c>
      <c r="C84" s="146">
        <f>_xlfn.XLOOKUP(A84,'Team Stats'!$B$2:$B$366,'Team Stats'!$T$2:$T$366)/( _xlfn.XLOOKUP(A84,'Team Stats'!$B$2:$B$366,'Team Stats'!$T$2:$T$366)+_xlfn.XLOOKUP(A84,'Team Stats'!$B$2:$B$366,'Team Stats'!$F$2:$F$366)+0.44*_xlfn.XLOOKUP(A84,'Team Stats'!$B$2:$B$366,'Team Stats'!$L$2:$L$366)+_xlfn.XLOOKUP(A84,'Team Stats'!$B$2:$B$366,'Team Stats'!$Q$2:$Q$366))*100</f>
        <v>10.639185580774363</v>
      </c>
      <c r="D84" s="146">
        <f>_xlfn.XLOOKUP(A84,'Team Stats'!$B$2:$B$366,'Team Stats'!$N$2:$N$366)/(_xlfn.XLOOKUP(A84,'Team Stats'!$B$2:$B$366,'Team Stats'!$N$2:$N$366)+_xlfn.XLOOKUP(A84,'Opponents stats vs'!$B$2:$B$366,'Opponents stats vs'!$O$2:$O$366))*100</f>
        <v>31.195335276967928</v>
      </c>
      <c r="E84" s="146">
        <f>_xlfn.XLOOKUP(A84,'Team Stats'!$B$2:$B$366,'Team Stats'!$K$2:$K$366)/_xlfn.XLOOKUP(A84,'Team Stats'!$B$2:$B$366,'Team Stats'!$F$2:$F$366)*100</f>
        <v>23.338735818476501</v>
      </c>
      <c r="F84" s="146">
        <f>_xlfn.XLOOKUP(A84,'Team Stats'!$B$2:$B$366,'Team Stats'!$F$2:$F$366)+0.44*_xlfn.XLOOKUP(A84,'Team Stats'!$B$2:$B$366,'Team Stats'!$L$2:$L$366)+_xlfn.XLOOKUP(A84,'Team Stats'!$B$2:$B$366,'Team Stats'!$T$2:$T$366)-_xlfn.XLOOKUP(A84,'Team Stats'!$B$2:$B$366,'Team Stats'!$N$2:$N$366)</f>
        <v>69.472000000000008</v>
      </c>
      <c r="G84">
        <f>_xlfn.XLOOKUP(A84,'Team Stats'!$B$2:$B$366,'Team Stats'!$D$2:$D$366)/F84</f>
        <v>1.164497927222478</v>
      </c>
      <c r="H84">
        <f>_xlfn.XLOOKUP(A84,'Team Stats'!$B$2:$B$366,'Team Stats'!$D$2:$D$366)</f>
        <v>80.900000000000006</v>
      </c>
    </row>
    <row r="85" spans="1:8" ht="15" customHeight="1" x14ac:dyDescent="0.25">
      <c r="A85" t="s">
        <v>85</v>
      </c>
      <c r="B85" s="146">
        <f t="array" ref="B85">_xlfn.XLOOKUP(A85,'Team Stats'!$B$2:$B$366,('Team Stats'!$E$2:$E$366+'Team Stats'!$H$2:$H$366/2)/'Team Stats'!$F$2:$F$366)*100</f>
        <v>50.554675118858952</v>
      </c>
      <c r="C85" s="146">
        <f>_xlfn.XLOOKUP(A85,'Team Stats'!$B$2:$B$366,'Team Stats'!$T$2:$T$366)/( _xlfn.XLOOKUP(A85,'Team Stats'!$B$2:$B$366,'Team Stats'!$T$2:$T$366)+_xlfn.XLOOKUP(A85,'Team Stats'!$B$2:$B$366,'Team Stats'!$F$2:$F$366)+0.44*_xlfn.XLOOKUP(A85,'Team Stats'!$B$2:$B$366,'Team Stats'!$L$2:$L$366)+_xlfn.XLOOKUP(A85,'Team Stats'!$B$2:$B$366,'Team Stats'!$Q$2:$Q$366))*100</f>
        <v>12.438825448613377</v>
      </c>
      <c r="D85" s="146">
        <f>_xlfn.XLOOKUP(A85,'Team Stats'!$B$2:$B$366,'Team Stats'!$N$2:$N$366)/(_xlfn.XLOOKUP(A85,'Team Stats'!$B$2:$B$366,'Team Stats'!$N$2:$N$366)+_xlfn.XLOOKUP(A85,'Opponents stats vs'!$B$2:$B$366,'Opponents stats vs'!$O$2:$O$366))*100</f>
        <v>35.040431266846362</v>
      </c>
      <c r="E85" s="146">
        <f>_xlfn.XLOOKUP(A85,'Team Stats'!$B$2:$B$366,'Team Stats'!$K$2:$K$366)/_xlfn.XLOOKUP(A85,'Team Stats'!$B$2:$B$366,'Team Stats'!$F$2:$F$366)*100</f>
        <v>26.62440570522979</v>
      </c>
      <c r="F85" s="146">
        <f>_xlfn.XLOOKUP(A85,'Team Stats'!$B$2:$B$366,'Team Stats'!$F$2:$F$366)+0.44*_xlfn.XLOOKUP(A85,'Team Stats'!$B$2:$B$366,'Team Stats'!$L$2:$L$366)+_xlfn.XLOOKUP(A85,'Team Stats'!$B$2:$B$366,'Team Stats'!$T$2:$T$366)-_xlfn.XLOOKUP(A85,'Team Stats'!$B$2:$B$366,'Team Stats'!$N$2:$N$366)</f>
        <v>71.98</v>
      </c>
      <c r="G85">
        <f>_xlfn.XLOOKUP(A85,'Team Stats'!$B$2:$B$366,'Team Stats'!$D$2:$D$366)/F85</f>
        <v>1.1183662128368992</v>
      </c>
      <c r="H85">
        <f>_xlfn.XLOOKUP(A85,'Team Stats'!$B$2:$B$366,'Team Stats'!$D$2:$D$366)</f>
        <v>80.5</v>
      </c>
    </row>
    <row r="86" spans="1:8" ht="15" customHeight="1" x14ac:dyDescent="0.25">
      <c r="A86" t="s">
        <v>45</v>
      </c>
      <c r="B86" s="146">
        <f t="array" ref="B86">_xlfn.XLOOKUP(A86,'Team Stats'!$B$2:$B$366,('Team Stats'!$E$2:$E$366+'Team Stats'!$H$2:$H$366/2)/'Team Stats'!$F$2:$F$366)*100</f>
        <v>53.672787979966607</v>
      </c>
      <c r="C86" s="146">
        <f>_xlfn.XLOOKUP(A86,'Team Stats'!$B$2:$B$366,'Team Stats'!$T$2:$T$366)/( _xlfn.XLOOKUP(A86,'Team Stats'!$B$2:$B$366,'Team Stats'!$T$2:$T$366)+_xlfn.XLOOKUP(A86,'Team Stats'!$B$2:$B$366,'Team Stats'!$F$2:$F$366)+0.44*_xlfn.XLOOKUP(A86,'Team Stats'!$B$2:$B$366,'Team Stats'!$L$2:$L$366)+_xlfn.XLOOKUP(A86,'Team Stats'!$B$2:$B$366,'Team Stats'!$Q$2:$Q$366))*100</f>
        <v>11.388080475768696</v>
      </c>
      <c r="D86" s="146">
        <f>_xlfn.XLOOKUP(A86,'Team Stats'!$B$2:$B$366,'Team Stats'!$N$2:$N$366)/(_xlfn.XLOOKUP(A86,'Team Stats'!$B$2:$B$366,'Team Stats'!$N$2:$N$366)+_xlfn.XLOOKUP(A86,'Opponents stats vs'!$B$2:$B$366,'Opponents stats vs'!$O$2:$O$366))*100</f>
        <v>29.428571428571431</v>
      </c>
      <c r="E86" s="146">
        <f>_xlfn.XLOOKUP(A86,'Team Stats'!$B$2:$B$366,'Team Stats'!$K$2:$K$366)/_xlfn.XLOOKUP(A86,'Team Stats'!$B$2:$B$366,'Team Stats'!$F$2:$F$366)*100</f>
        <v>26.71118530884808</v>
      </c>
      <c r="F86" s="146">
        <f>_xlfn.XLOOKUP(A86,'Team Stats'!$B$2:$B$366,'Team Stats'!$F$2:$F$366)+0.44*_xlfn.XLOOKUP(A86,'Team Stats'!$B$2:$B$366,'Team Stats'!$L$2:$L$366)+_xlfn.XLOOKUP(A86,'Team Stats'!$B$2:$B$366,'Team Stats'!$T$2:$T$366)-_xlfn.XLOOKUP(A86,'Team Stats'!$B$2:$B$366,'Team Stats'!$N$2:$N$366)</f>
        <v>70.036000000000001</v>
      </c>
      <c r="G86">
        <f>_xlfn.XLOOKUP(A86,'Team Stats'!$B$2:$B$366,'Team Stats'!$D$2:$D$366)/F86</f>
        <v>1.1479810383231481</v>
      </c>
      <c r="H86">
        <f>_xlfn.XLOOKUP(A86,'Team Stats'!$B$2:$B$366,'Team Stats'!$D$2:$D$366)</f>
        <v>80.400000000000006</v>
      </c>
    </row>
    <row r="87" spans="1:8" ht="15" customHeight="1" x14ac:dyDescent="0.25">
      <c r="A87" t="s">
        <v>294</v>
      </c>
      <c r="B87" s="146">
        <f t="array" ref="B87">_xlfn.XLOOKUP(A87,'Team Stats'!$B$2:$B$366,('Team Stats'!$E$2:$E$366+'Team Stats'!$H$2:$H$366/2)/'Team Stats'!$F$2:$F$366)*100</f>
        <v>52.881355932203391</v>
      </c>
      <c r="C87" s="146">
        <f>_xlfn.XLOOKUP(A87,'Team Stats'!$B$2:$B$366,'Team Stats'!$T$2:$T$366)/( _xlfn.XLOOKUP(A87,'Team Stats'!$B$2:$B$366,'Team Stats'!$T$2:$T$366)+_xlfn.XLOOKUP(A87,'Team Stats'!$B$2:$B$366,'Team Stats'!$F$2:$F$366)+0.44*_xlfn.XLOOKUP(A87,'Team Stats'!$B$2:$B$366,'Team Stats'!$L$2:$L$366)+_xlfn.XLOOKUP(A87,'Team Stats'!$B$2:$B$366,'Team Stats'!$Q$2:$Q$366))*100</f>
        <v>11.240440373140601</v>
      </c>
      <c r="D87" s="146">
        <f>_xlfn.XLOOKUP(A87,'Team Stats'!$B$2:$B$366,'Team Stats'!$N$2:$N$366)/(_xlfn.XLOOKUP(A87,'Team Stats'!$B$2:$B$366,'Team Stats'!$N$2:$N$366)+_xlfn.XLOOKUP(A87,'Opponents stats vs'!$B$2:$B$366,'Opponents stats vs'!$O$2:$O$366))*100</f>
        <v>33.333333333333336</v>
      </c>
      <c r="E87" s="146">
        <f>_xlfn.XLOOKUP(A87,'Team Stats'!$B$2:$B$366,'Team Stats'!$K$2:$K$366)/_xlfn.XLOOKUP(A87,'Team Stats'!$B$2:$B$366,'Team Stats'!$F$2:$F$366)*100</f>
        <v>31.694915254237287</v>
      </c>
      <c r="F87" s="146">
        <f>_xlfn.XLOOKUP(A87,'Team Stats'!$B$2:$B$366,'Team Stats'!$F$2:$F$366)+0.44*_xlfn.XLOOKUP(A87,'Team Stats'!$B$2:$B$366,'Team Stats'!$L$2:$L$366)+_xlfn.XLOOKUP(A87,'Team Stats'!$B$2:$B$366,'Team Stats'!$T$2:$T$366)-_xlfn.XLOOKUP(A87,'Team Stats'!$B$2:$B$366,'Team Stats'!$N$2:$N$366)</f>
        <v>69.192000000000007</v>
      </c>
      <c r="G87">
        <f>_xlfn.XLOOKUP(A87,'Team Stats'!$B$2:$B$366,'Team Stats'!$D$2:$D$366)/F87</f>
        <v>1.1721008209041506</v>
      </c>
      <c r="H87">
        <f>_xlfn.XLOOKUP(A87,'Team Stats'!$B$2:$B$366,'Team Stats'!$D$2:$D$366)</f>
        <v>81.099999999999994</v>
      </c>
    </row>
    <row r="88" spans="1:8" ht="15" customHeight="1" x14ac:dyDescent="0.25">
      <c r="A88" t="s">
        <v>375</v>
      </c>
      <c r="B88" s="146">
        <f t="array" ref="B88">_xlfn.XLOOKUP(A88,'Team Stats'!$B$2:$B$366,('Team Stats'!$E$2:$E$366+'Team Stats'!$H$2:$H$366/2)/'Team Stats'!$F$2:$F$366)*100</f>
        <v>49.339933993399342</v>
      </c>
      <c r="C88" s="146">
        <f>_xlfn.XLOOKUP(A88,'Team Stats'!$B$2:$B$366,'Team Stats'!$T$2:$T$366)/( _xlfn.XLOOKUP(A88,'Team Stats'!$B$2:$B$366,'Team Stats'!$T$2:$T$366)+_xlfn.XLOOKUP(A88,'Team Stats'!$B$2:$B$366,'Team Stats'!$F$2:$F$366)+0.44*_xlfn.XLOOKUP(A88,'Team Stats'!$B$2:$B$366,'Team Stats'!$L$2:$L$366)+_xlfn.XLOOKUP(A88,'Team Stats'!$B$2:$B$366,'Team Stats'!$Q$2:$Q$366))*100</f>
        <v>12.738193869096934</v>
      </c>
      <c r="D88" s="146">
        <f>_xlfn.XLOOKUP(A88,'Team Stats'!$B$2:$B$366,'Team Stats'!$N$2:$N$366)/(_xlfn.XLOOKUP(A88,'Team Stats'!$B$2:$B$366,'Team Stats'!$N$2:$N$366)+_xlfn.XLOOKUP(A88,'Opponents stats vs'!$B$2:$B$366,'Opponents stats vs'!$O$2:$O$366))*100</f>
        <v>28.021978021978022</v>
      </c>
      <c r="E88" s="146">
        <f>_xlfn.XLOOKUP(A88,'Team Stats'!$B$2:$B$366,'Team Stats'!$K$2:$K$366)/_xlfn.XLOOKUP(A88,'Team Stats'!$B$2:$B$366,'Team Stats'!$F$2:$F$366)*100</f>
        <v>33.168316831683171</v>
      </c>
      <c r="F88" s="146">
        <f>_xlfn.XLOOKUP(A88,'Team Stats'!$B$2:$B$366,'Team Stats'!$F$2:$F$366)+0.44*_xlfn.XLOOKUP(A88,'Team Stats'!$B$2:$B$366,'Team Stats'!$L$2:$L$366)+_xlfn.XLOOKUP(A88,'Team Stats'!$B$2:$B$366,'Team Stats'!$T$2:$T$366)-_xlfn.XLOOKUP(A88,'Team Stats'!$B$2:$B$366,'Team Stats'!$N$2:$N$366)</f>
        <v>74.36</v>
      </c>
      <c r="G88">
        <f>_xlfn.XLOOKUP(A88,'Team Stats'!$B$2:$B$366,'Team Stats'!$D$2:$D$366)/F88</f>
        <v>1.0758472296933836</v>
      </c>
      <c r="H88">
        <f>_xlfn.XLOOKUP(A88,'Team Stats'!$B$2:$B$366,'Team Stats'!$D$2:$D$366)</f>
        <v>80</v>
      </c>
    </row>
    <row r="89" spans="1:8" ht="15" customHeight="1" x14ac:dyDescent="0.25">
      <c r="A89" t="s">
        <v>348</v>
      </c>
      <c r="B89" s="146">
        <f t="array" ref="B89">_xlfn.XLOOKUP(A89,'Team Stats'!$B$2:$B$366,('Team Stats'!$E$2:$E$366+'Team Stats'!$H$2:$H$366/2)/'Team Stats'!$F$2:$F$366)*100</f>
        <v>53.49593495934959</v>
      </c>
      <c r="C89" s="146">
        <f>_xlfn.XLOOKUP(A89,'Team Stats'!$B$2:$B$366,'Team Stats'!$T$2:$T$366)/( _xlfn.XLOOKUP(A89,'Team Stats'!$B$2:$B$366,'Team Stats'!$T$2:$T$366)+_xlfn.XLOOKUP(A89,'Team Stats'!$B$2:$B$366,'Team Stats'!$F$2:$F$366)+0.44*_xlfn.XLOOKUP(A89,'Team Stats'!$B$2:$B$366,'Team Stats'!$L$2:$L$366)+_xlfn.XLOOKUP(A89,'Team Stats'!$B$2:$B$366,'Team Stats'!$Q$2:$Q$366))*100</f>
        <v>13.063289022656969</v>
      </c>
      <c r="D89" s="146">
        <f>_xlfn.XLOOKUP(A89,'Team Stats'!$B$2:$B$366,'Team Stats'!$N$2:$N$366)/(_xlfn.XLOOKUP(A89,'Team Stats'!$B$2:$B$366,'Team Stats'!$N$2:$N$366)+_xlfn.XLOOKUP(A89,'Opponents stats vs'!$B$2:$B$366,'Opponents stats vs'!$O$2:$O$366))*100</f>
        <v>26.857142857142858</v>
      </c>
      <c r="E89" s="146">
        <f>_xlfn.XLOOKUP(A89,'Team Stats'!$B$2:$B$366,'Team Stats'!$K$2:$K$366)/_xlfn.XLOOKUP(A89,'Team Stats'!$B$2:$B$366,'Team Stats'!$F$2:$F$366)*100</f>
        <v>22.27642276422764</v>
      </c>
      <c r="F89" s="146">
        <f>_xlfn.XLOOKUP(A89,'Team Stats'!$B$2:$B$366,'Team Stats'!$F$2:$F$366)+0.44*_xlfn.XLOOKUP(A89,'Team Stats'!$B$2:$B$366,'Team Stats'!$L$2:$L$366)+_xlfn.XLOOKUP(A89,'Team Stats'!$B$2:$B$366,'Team Stats'!$T$2:$T$366)-_xlfn.XLOOKUP(A89,'Team Stats'!$B$2:$B$366,'Team Stats'!$N$2:$N$366)</f>
        <v>72.387999999999991</v>
      </c>
      <c r="G89">
        <f>_xlfn.XLOOKUP(A89,'Team Stats'!$B$2:$B$366,'Team Stats'!$D$2:$D$366)/F89</f>
        <v>1.0996297728905344</v>
      </c>
      <c r="H89">
        <f>_xlfn.XLOOKUP(A89,'Team Stats'!$B$2:$B$366,'Team Stats'!$D$2:$D$366)</f>
        <v>79.599999999999994</v>
      </c>
    </row>
    <row r="90" spans="1:8" ht="15" customHeight="1" x14ac:dyDescent="0.25">
      <c r="A90" t="s">
        <v>314</v>
      </c>
      <c r="B90" s="146">
        <f t="array" ref="B90">_xlfn.XLOOKUP(A90,'Team Stats'!$B$2:$B$366,('Team Stats'!$E$2:$E$366+'Team Stats'!$H$2:$H$366/2)/'Team Stats'!$F$2:$F$366)*100</f>
        <v>55.097087378640772</v>
      </c>
      <c r="C90" s="146">
        <f>_xlfn.XLOOKUP(A90,'Team Stats'!$B$2:$B$366,'Team Stats'!$T$2:$T$366)/( _xlfn.XLOOKUP(A90,'Team Stats'!$B$2:$B$366,'Team Stats'!$T$2:$T$366)+_xlfn.XLOOKUP(A90,'Team Stats'!$B$2:$B$366,'Team Stats'!$F$2:$F$366)+0.44*_xlfn.XLOOKUP(A90,'Team Stats'!$B$2:$B$366,'Team Stats'!$L$2:$L$366)+_xlfn.XLOOKUP(A90,'Team Stats'!$B$2:$B$366,'Team Stats'!$Q$2:$Q$366))*100</f>
        <v>11.827562298625557</v>
      </c>
      <c r="D90" s="146">
        <f>_xlfn.XLOOKUP(A90,'Team Stats'!$B$2:$B$366,'Team Stats'!$N$2:$N$366)/(_xlfn.XLOOKUP(A90,'Team Stats'!$B$2:$B$366,'Team Stats'!$N$2:$N$366)+_xlfn.XLOOKUP(A90,'Opponents stats vs'!$B$2:$B$366,'Opponents stats vs'!$O$2:$O$366))*100</f>
        <v>32.571428571428577</v>
      </c>
      <c r="E90" s="146">
        <f>_xlfn.XLOOKUP(A90,'Team Stats'!$B$2:$B$366,'Team Stats'!$K$2:$K$366)/_xlfn.XLOOKUP(A90,'Team Stats'!$B$2:$B$366,'Team Stats'!$F$2:$F$366)*100</f>
        <v>21.197411003236247</v>
      </c>
      <c r="F90" s="146">
        <f>_xlfn.XLOOKUP(A90,'Team Stats'!$B$2:$B$366,'Team Stats'!$F$2:$F$366)+0.44*_xlfn.XLOOKUP(A90,'Team Stats'!$B$2:$B$366,'Team Stats'!$L$2:$L$366)+_xlfn.XLOOKUP(A90,'Team Stats'!$B$2:$B$366,'Team Stats'!$T$2:$T$366)-_xlfn.XLOOKUP(A90,'Team Stats'!$B$2:$B$366,'Team Stats'!$N$2:$N$366)</f>
        <v>69.875999999999991</v>
      </c>
      <c r="G90">
        <f>_xlfn.XLOOKUP(A90,'Team Stats'!$B$2:$B$366,'Team Stats'!$D$2:$D$366)/F90</f>
        <v>1.1620585036350108</v>
      </c>
      <c r="H90">
        <f>_xlfn.XLOOKUP(A90,'Team Stats'!$B$2:$B$366,'Team Stats'!$D$2:$D$366)</f>
        <v>81.2</v>
      </c>
    </row>
    <row r="91" spans="1:8" ht="15" customHeight="1" x14ac:dyDescent="0.25">
      <c r="A91" t="s">
        <v>260</v>
      </c>
      <c r="B91" s="146">
        <f t="array" ref="B91">_xlfn.XLOOKUP(A91,'Team Stats'!$B$2:$B$366,('Team Stats'!$E$2:$E$366+'Team Stats'!$H$2:$H$366/2)/'Team Stats'!$F$2:$F$366)*100</f>
        <v>51.038338658146962</v>
      </c>
      <c r="C91" s="146">
        <f>_xlfn.XLOOKUP(A91,'Team Stats'!$B$2:$B$366,'Team Stats'!$T$2:$T$366)/( _xlfn.XLOOKUP(A91,'Team Stats'!$B$2:$B$366,'Team Stats'!$T$2:$T$366)+_xlfn.XLOOKUP(A91,'Team Stats'!$B$2:$B$366,'Team Stats'!$F$2:$F$366)+0.44*_xlfn.XLOOKUP(A91,'Team Stats'!$B$2:$B$366,'Team Stats'!$L$2:$L$366)+_xlfn.XLOOKUP(A91,'Team Stats'!$B$2:$B$366,'Team Stats'!$Q$2:$Q$366))*100</f>
        <v>11.390690419505786</v>
      </c>
      <c r="D91" s="146">
        <f>_xlfn.XLOOKUP(A91,'Team Stats'!$B$2:$B$366,'Team Stats'!$N$2:$N$366)/(_xlfn.XLOOKUP(A91,'Team Stats'!$B$2:$B$366,'Team Stats'!$N$2:$N$366)+_xlfn.XLOOKUP(A91,'Opponents stats vs'!$B$2:$B$366,'Opponents stats vs'!$O$2:$O$366))*100</f>
        <v>31.592689295039168</v>
      </c>
      <c r="E91" s="146">
        <f>_xlfn.XLOOKUP(A91,'Team Stats'!$B$2:$B$366,'Team Stats'!$K$2:$K$366)/_xlfn.XLOOKUP(A91,'Team Stats'!$B$2:$B$366,'Team Stats'!$F$2:$F$366)*100</f>
        <v>24.920127795527154</v>
      </c>
      <c r="F91" s="146">
        <f>_xlfn.XLOOKUP(A91,'Team Stats'!$B$2:$B$366,'Team Stats'!$F$2:$F$366)+0.44*_xlfn.XLOOKUP(A91,'Team Stats'!$B$2:$B$366,'Team Stats'!$L$2:$L$366)+_xlfn.XLOOKUP(A91,'Team Stats'!$B$2:$B$366,'Team Stats'!$T$2:$T$366)-_xlfn.XLOOKUP(A91,'Team Stats'!$B$2:$B$366,'Team Stats'!$N$2:$N$366)</f>
        <v>71.147999999999996</v>
      </c>
      <c r="G91">
        <f>_xlfn.XLOOKUP(A91,'Team Stats'!$B$2:$B$366,'Team Stats'!$D$2:$D$366)/F91</f>
        <v>1.1187946252881318</v>
      </c>
      <c r="H91">
        <f>_xlfn.XLOOKUP(A91,'Team Stats'!$B$2:$B$366,'Team Stats'!$D$2:$D$366)</f>
        <v>79.599999999999994</v>
      </c>
    </row>
    <row r="92" spans="1:8" ht="15" customHeight="1" x14ac:dyDescent="0.25">
      <c r="A92" t="s">
        <v>93</v>
      </c>
      <c r="B92" s="146">
        <f t="array" ref="B92">_xlfn.XLOOKUP(A92,'Team Stats'!$B$2:$B$366,('Team Stats'!$E$2:$E$366+'Team Stats'!$H$2:$H$366/2)/'Team Stats'!$F$2:$F$366)*100</f>
        <v>56.095406360424029</v>
      </c>
      <c r="C92" s="146">
        <f>_xlfn.XLOOKUP(A92,'Team Stats'!$B$2:$B$366,'Team Stats'!$T$2:$T$366)/( _xlfn.XLOOKUP(A92,'Team Stats'!$B$2:$B$366,'Team Stats'!$T$2:$T$366)+_xlfn.XLOOKUP(A92,'Team Stats'!$B$2:$B$366,'Team Stats'!$F$2:$F$366)+0.44*_xlfn.XLOOKUP(A92,'Team Stats'!$B$2:$B$366,'Team Stats'!$L$2:$L$366)+_xlfn.XLOOKUP(A92,'Team Stats'!$B$2:$B$366,'Team Stats'!$Q$2:$Q$366))*100</f>
        <v>10.956823605988282</v>
      </c>
      <c r="D92" s="146">
        <f>_xlfn.XLOOKUP(A92,'Team Stats'!$B$2:$B$366,'Team Stats'!$N$2:$N$366)/(_xlfn.XLOOKUP(A92,'Team Stats'!$B$2:$B$366,'Team Stats'!$N$2:$N$366)+_xlfn.XLOOKUP(A92,'Opponents stats vs'!$B$2:$B$366,'Opponents stats vs'!$O$2:$O$366))*100</f>
        <v>27.096774193548391</v>
      </c>
      <c r="E92" s="146">
        <f>_xlfn.XLOOKUP(A92,'Team Stats'!$B$2:$B$366,'Team Stats'!$K$2:$K$366)/_xlfn.XLOOKUP(A92,'Team Stats'!$B$2:$B$366,'Team Stats'!$F$2:$F$366)*100</f>
        <v>26.855123674911656</v>
      </c>
      <c r="F92" s="146">
        <f>_xlfn.XLOOKUP(A92,'Team Stats'!$B$2:$B$366,'Team Stats'!$F$2:$F$366)+0.44*_xlfn.XLOOKUP(A92,'Team Stats'!$B$2:$B$366,'Team Stats'!$L$2:$L$366)+_xlfn.XLOOKUP(A92,'Team Stats'!$B$2:$B$366,'Team Stats'!$T$2:$T$366)-_xlfn.XLOOKUP(A92,'Team Stats'!$B$2:$B$366,'Team Stats'!$N$2:$N$366)</f>
        <v>66.88</v>
      </c>
      <c r="G92">
        <f>_xlfn.XLOOKUP(A92,'Team Stats'!$B$2:$B$366,'Team Stats'!$D$2:$D$366)/F92</f>
        <v>1.1767344497607657</v>
      </c>
      <c r="H92">
        <f>_xlfn.XLOOKUP(A92,'Team Stats'!$B$2:$B$366,'Team Stats'!$D$2:$D$366)</f>
        <v>78.7</v>
      </c>
    </row>
    <row r="93" spans="1:8" ht="15" customHeight="1" x14ac:dyDescent="0.25">
      <c r="A93" t="s">
        <v>226</v>
      </c>
      <c r="B93" s="146">
        <f t="array" ref="B93">_xlfn.XLOOKUP(A93,'Team Stats'!$B$2:$B$366,('Team Stats'!$E$2:$E$366+'Team Stats'!$H$2:$H$366/2)/'Team Stats'!$F$2:$F$366)*100</f>
        <v>54.81099656357388</v>
      </c>
      <c r="C93" s="146">
        <f>_xlfn.XLOOKUP(A93,'Team Stats'!$B$2:$B$366,'Team Stats'!$T$2:$T$366)/( _xlfn.XLOOKUP(A93,'Team Stats'!$B$2:$B$366,'Team Stats'!$T$2:$T$366)+_xlfn.XLOOKUP(A93,'Team Stats'!$B$2:$B$366,'Team Stats'!$F$2:$F$366)+0.44*_xlfn.XLOOKUP(A93,'Team Stats'!$B$2:$B$366,'Team Stats'!$L$2:$L$366)+_xlfn.XLOOKUP(A93,'Team Stats'!$B$2:$B$366,'Team Stats'!$Q$2:$Q$366))*100</f>
        <v>13.351134846461951</v>
      </c>
      <c r="D93" s="146">
        <f>_xlfn.XLOOKUP(A93,'Team Stats'!$B$2:$B$366,'Team Stats'!$N$2:$N$366)/(_xlfn.XLOOKUP(A93,'Team Stats'!$B$2:$B$366,'Team Stats'!$N$2:$N$366)+_xlfn.XLOOKUP(A93,'Opponents stats vs'!$B$2:$B$366,'Opponents stats vs'!$O$2:$O$366))*100</f>
        <v>29.080118694362017</v>
      </c>
      <c r="E93" s="146">
        <f>_xlfn.XLOOKUP(A93,'Team Stats'!$B$2:$B$366,'Team Stats'!$K$2:$K$366)/_xlfn.XLOOKUP(A93,'Team Stats'!$B$2:$B$366,'Team Stats'!$F$2:$F$366)*100</f>
        <v>27.663230240549829</v>
      </c>
      <c r="F93" s="146">
        <f>_xlfn.XLOOKUP(A93,'Team Stats'!$B$2:$B$366,'Team Stats'!$F$2:$F$366)+0.44*_xlfn.XLOOKUP(A93,'Team Stats'!$B$2:$B$366,'Team Stats'!$L$2:$L$366)+_xlfn.XLOOKUP(A93,'Team Stats'!$B$2:$B$366,'Team Stats'!$T$2:$T$366)-_xlfn.XLOOKUP(A93,'Team Stats'!$B$2:$B$366,'Team Stats'!$N$2:$N$366)</f>
        <v>70.572000000000003</v>
      </c>
      <c r="G93">
        <f>_xlfn.XLOOKUP(A93,'Team Stats'!$B$2:$B$366,'Team Stats'!$D$2:$D$366)/F93</f>
        <v>1.130760074817208</v>
      </c>
      <c r="H93">
        <f>_xlfn.XLOOKUP(A93,'Team Stats'!$B$2:$B$366,'Team Stats'!$D$2:$D$366)</f>
        <v>79.8</v>
      </c>
    </row>
    <row r="94" spans="1:8" ht="15" customHeight="1" x14ac:dyDescent="0.25">
      <c r="A94" t="s">
        <v>414</v>
      </c>
      <c r="B94" s="146">
        <f t="array" ref="B94">_xlfn.XLOOKUP(A94,'Team Stats'!$B$2:$B$366,('Team Stats'!$E$2:$E$366+'Team Stats'!$H$2:$H$366/2)/'Team Stats'!$F$2:$F$366)*100</f>
        <v>51.056910569105682</v>
      </c>
      <c r="C94" s="146">
        <f>_xlfn.XLOOKUP(A94,'Team Stats'!$B$2:$B$366,'Team Stats'!$T$2:$T$366)/( _xlfn.XLOOKUP(A94,'Team Stats'!$B$2:$B$366,'Team Stats'!$T$2:$T$366)+_xlfn.XLOOKUP(A94,'Team Stats'!$B$2:$B$366,'Team Stats'!$F$2:$F$366)+0.44*_xlfn.XLOOKUP(A94,'Team Stats'!$B$2:$B$366,'Team Stats'!$L$2:$L$366)+_xlfn.XLOOKUP(A94,'Team Stats'!$B$2:$B$366,'Team Stats'!$Q$2:$Q$366))*100</f>
        <v>12.089949222213267</v>
      </c>
      <c r="D94" s="146">
        <f>_xlfn.XLOOKUP(A94,'Team Stats'!$B$2:$B$366,'Team Stats'!$N$2:$N$366)/(_xlfn.XLOOKUP(A94,'Team Stats'!$B$2:$B$366,'Team Stats'!$N$2:$N$366)+_xlfn.XLOOKUP(A94,'Opponents stats vs'!$B$2:$B$366,'Opponents stats vs'!$O$2:$O$366))*100</f>
        <v>31.793478260869566</v>
      </c>
      <c r="E94" s="146">
        <f>_xlfn.XLOOKUP(A94,'Team Stats'!$B$2:$B$366,'Team Stats'!$K$2:$K$366)/_xlfn.XLOOKUP(A94,'Team Stats'!$B$2:$B$366,'Team Stats'!$F$2:$F$366)*100</f>
        <v>28.292682926829265</v>
      </c>
      <c r="F94" s="146">
        <f>_xlfn.XLOOKUP(A94,'Team Stats'!$B$2:$B$366,'Team Stats'!$F$2:$F$366)+0.44*_xlfn.XLOOKUP(A94,'Team Stats'!$B$2:$B$366,'Team Stats'!$L$2:$L$366)+_xlfn.XLOOKUP(A94,'Team Stats'!$B$2:$B$366,'Team Stats'!$T$2:$T$366)-_xlfn.XLOOKUP(A94,'Team Stats'!$B$2:$B$366,'Team Stats'!$N$2:$N$366)</f>
        <v>72.756</v>
      </c>
      <c r="G94">
        <f>_xlfn.XLOOKUP(A94,'Team Stats'!$B$2:$B$366,'Team Stats'!$D$2:$D$366)/F94</f>
        <v>1.1009401286491836</v>
      </c>
      <c r="H94">
        <f>_xlfn.XLOOKUP(A94,'Team Stats'!$B$2:$B$366,'Team Stats'!$D$2:$D$366)</f>
        <v>80.099999999999994</v>
      </c>
    </row>
    <row r="95" spans="1:8" ht="15" customHeight="1" x14ac:dyDescent="0.25">
      <c r="A95" t="s">
        <v>62</v>
      </c>
      <c r="B95" s="146">
        <f t="array" ref="B95">_xlfn.XLOOKUP(A95,'Team Stats'!$B$2:$B$366,('Team Stats'!$E$2:$E$366+'Team Stats'!$H$2:$H$366/2)/'Team Stats'!$F$2:$F$366)*100</f>
        <v>54.940374787052804</v>
      </c>
      <c r="C95" s="146">
        <f>_xlfn.XLOOKUP(A95,'Team Stats'!$B$2:$B$366,'Team Stats'!$T$2:$T$366)/( _xlfn.XLOOKUP(A95,'Team Stats'!$B$2:$B$366,'Team Stats'!$T$2:$T$366)+_xlfn.XLOOKUP(A95,'Team Stats'!$B$2:$B$366,'Team Stats'!$F$2:$F$366)+0.44*_xlfn.XLOOKUP(A95,'Team Stats'!$B$2:$B$366,'Team Stats'!$L$2:$L$366)+_xlfn.XLOOKUP(A95,'Team Stats'!$B$2:$B$366,'Team Stats'!$Q$2:$Q$366))*100</f>
        <v>12.105240605047779</v>
      </c>
      <c r="D95" s="146">
        <f>_xlfn.XLOOKUP(A95,'Team Stats'!$B$2:$B$366,'Team Stats'!$N$2:$N$366)/(_xlfn.XLOOKUP(A95,'Team Stats'!$B$2:$B$366,'Team Stats'!$N$2:$N$366)+_xlfn.XLOOKUP(A95,'Opponents stats vs'!$B$2:$B$366,'Opponents stats vs'!$O$2:$O$366))*100</f>
        <v>34.545454545454547</v>
      </c>
      <c r="E95" s="146">
        <f>_xlfn.XLOOKUP(A95,'Team Stats'!$B$2:$B$366,'Team Stats'!$K$2:$K$366)/_xlfn.XLOOKUP(A95,'Team Stats'!$B$2:$B$366,'Team Stats'!$F$2:$F$366)*100</f>
        <v>27.086882453151617</v>
      </c>
      <c r="F95" s="146">
        <f>_xlfn.XLOOKUP(A95,'Team Stats'!$B$2:$B$366,'Team Stats'!$F$2:$F$366)+0.44*_xlfn.XLOOKUP(A95,'Team Stats'!$B$2:$B$366,'Team Stats'!$L$2:$L$366)+_xlfn.XLOOKUP(A95,'Team Stats'!$B$2:$B$366,'Team Stats'!$T$2:$T$366)-_xlfn.XLOOKUP(A95,'Team Stats'!$B$2:$B$366,'Team Stats'!$N$2:$N$366)</f>
        <v>68.147999999999996</v>
      </c>
      <c r="G95">
        <f>_xlfn.XLOOKUP(A95,'Team Stats'!$B$2:$B$366,'Team Stats'!$D$2:$D$366)/F95</f>
        <v>1.1812525679403652</v>
      </c>
      <c r="H95">
        <f>_xlfn.XLOOKUP(A95,'Team Stats'!$B$2:$B$366,'Team Stats'!$D$2:$D$366)</f>
        <v>80.5</v>
      </c>
    </row>
    <row r="96" spans="1:8" ht="15" customHeight="1" x14ac:dyDescent="0.25">
      <c r="A96" t="s">
        <v>291</v>
      </c>
      <c r="B96" s="146">
        <f t="array" ref="B96">_xlfn.XLOOKUP(A96,'Team Stats'!$B$2:$B$366,('Team Stats'!$E$2:$E$366+'Team Stats'!$H$2:$H$366/2)/'Team Stats'!$F$2:$F$366)*100</f>
        <v>53.164556962025308</v>
      </c>
      <c r="C96" s="146">
        <f>_xlfn.XLOOKUP(A96,'Team Stats'!$B$2:$B$366,'Team Stats'!$T$2:$T$366)/( _xlfn.XLOOKUP(A96,'Team Stats'!$B$2:$B$366,'Team Stats'!$T$2:$T$366)+_xlfn.XLOOKUP(A96,'Team Stats'!$B$2:$B$366,'Team Stats'!$F$2:$F$366)+0.44*_xlfn.XLOOKUP(A96,'Team Stats'!$B$2:$B$366,'Team Stats'!$L$2:$L$366)+_xlfn.XLOOKUP(A96,'Team Stats'!$B$2:$B$366,'Team Stats'!$Q$2:$Q$366))*100</f>
        <v>12.916302360702648</v>
      </c>
      <c r="D96" s="146">
        <f>_xlfn.XLOOKUP(A96,'Team Stats'!$B$2:$B$366,'Team Stats'!$N$2:$N$366)/(_xlfn.XLOOKUP(A96,'Team Stats'!$B$2:$B$366,'Team Stats'!$N$2:$N$366)+_xlfn.XLOOKUP(A96,'Opponents stats vs'!$B$2:$B$366,'Opponents stats vs'!$O$2:$O$366))*100</f>
        <v>29.859154929577464</v>
      </c>
      <c r="E96" s="146">
        <f>_xlfn.XLOOKUP(A96,'Team Stats'!$B$2:$B$366,'Team Stats'!$K$2:$K$366)/_xlfn.XLOOKUP(A96,'Team Stats'!$B$2:$B$366,'Team Stats'!$F$2:$F$366)*100</f>
        <v>18.670886075949365</v>
      </c>
      <c r="F96" s="146">
        <f>_xlfn.XLOOKUP(A96,'Team Stats'!$B$2:$B$366,'Team Stats'!$F$2:$F$366)+0.44*_xlfn.XLOOKUP(A96,'Team Stats'!$B$2:$B$366,'Team Stats'!$L$2:$L$366)+_xlfn.XLOOKUP(A96,'Team Stats'!$B$2:$B$366,'Team Stats'!$T$2:$T$366)-_xlfn.XLOOKUP(A96,'Team Stats'!$B$2:$B$366,'Team Stats'!$N$2:$N$366)</f>
        <v>72.948000000000008</v>
      </c>
      <c r="G96">
        <f>_xlfn.XLOOKUP(A96,'Team Stats'!$B$2:$B$366,'Team Stats'!$D$2:$D$366)/F96</f>
        <v>1.0829632066677632</v>
      </c>
      <c r="H96">
        <f>_xlfn.XLOOKUP(A96,'Team Stats'!$B$2:$B$366,'Team Stats'!$D$2:$D$366)</f>
        <v>79</v>
      </c>
    </row>
    <row r="97" spans="1:8" ht="15" customHeight="1" x14ac:dyDescent="0.25">
      <c r="A97" t="s">
        <v>22</v>
      </c>
      <c r="B97" s="146">
        <f t="array" ref="B97">_xlfn.XLOOKUP(A97,'Team Stats'!$B$2:$B$366,('Team Stats'!$E$2:$E$366+'Team Stats'!$H$2:$H$366/2)/'Team Stats'!$F$2:$F$366)*100</f>
        <v>55.545774647887328</v>
      </c>
      <c r="C97" s="146">
        <f>_xlfn.XLOOKUP(A97,'Team Stats'!$B$2:$B$366,'Team Stats'!$T$2:$T$366)/( _xlfn.XLOOKUP(A97,'Team Stats'!$B$2:$B$366,'Team Stats'!$T$2:$T$366)+_xlfn.XLOOKUP(A97,'Team Stats'!$B$2:$B$366,'Team Stats'!$F$2:$F$366)+0.44*_xlfn.XLOOKUP(A97,'Team Stats'!$B$2:$B$366,'Team Stats'!$L$2:$L$366)+_xlfn.XLOOKUP(A97,'Team Stats'!$B$2:$B$366,'Team Stats'!$Q$2:$Q$366))*100</f>
        <v>13.064536686918471</v>
      </c>
      <c r="D97" s="146">
        <f>_xlfn.XLOOKUP(A97,'Team Stats'!$B$2:$B$366,'Team Stats'!$N$2:$N$366)/(_xlfn.XLOOKUP(A97,'Team Stats'!$B$2:$B$366,'Team Stats'!$N$2:$N$366)+_xlfn.XLOOKUP(A97,'Opponents stats vs'!$B$2:$B$366,'Opponents stats vs'!$O$2:$O$366))*100</f>
        <v>35.779816513761467</v>
      </c>
      <c r="E97" s="146">
        <f>_xlfn.XLOOKUP(A97,'Team Stats'!$B$2:$B$366,'Team Stats'!$K$2:$K$366)/_xlfn.XLOOKUP(A97,'Team Stats'!$B$2:$B$366,'Team Stats'!$F$2:$F$366)*100</f>
        <v>29.225352112676063</v>
      </c>
      <c r="F97" s="146">
        <f>_xlfn.XLOOKUP(A97,'Team Stats'!$B$2:$B$366,'Team Stats'!$F$2:$F$366)+0.44*_xlfn.XLOOKUP(A97,'Team Stats'!$B$2:$B$366,'Team Stats'!$L$2:$L$366)+_xlfn.XLOOKUP(A97,'Team Stats'!$B$2:$B$366,'Team Stats'!$T$2:$T$366)-_xlfn.XLOOKUP(A97,'Team Stats'!$B$2:$B$366,'Team Stats'!$N$2:$N$366)</f>
        <v>68.047999999999988</v>
      </c>
      <c r="G97">
        <f>_xlfn.XLOOKUP(A97,'Team Stats'!$B$2:$B$366,'Team Stats'!$D$2:$D$366)/F97</f>
        <v>1.1727016223841995</v>
      </c>
      <c r="H97">
        <f>_xlfn.XLOOKUP(A97,'Team Stats'!$B$2:$B$366,'Team Stats'!$D$2:$D$366)</f>
        <v>79.8</v>
      </c>
    </row>
    <row r="98" spans="1:8" ht="15" customHeight="1" x14ac:dyDescent="0.25">
      <c r="A98" t="s">
        <v>229</v>
      </c>
      <c r="B98" s="146">
        <f t="array" ref="B98">_xlfn.XLOOKUP(A98,'Team Stats'!$B$2:$B$366,('Team Stats'!$E$2:$E$366+'Team Stats'!$H$2:$H$366/2)/'Team Stats'!$F$2:$F$366)*100</f>
        <v>53.445378151260506</v>
      </c>
      <c r="C98" s="146">
        <f>_xlfn.XLOOKUP(A98,'Team Stats'!$B$2:$B$366,'Team Stats'!$T$2:$T$366)/( _xlfn.XLOOKUP(A98,'Team Stats'!$B$2:$B$366,'Team Stats'!$T$2:$T$366)+_xlfn.XLOOKUP(A98,'Team Stats'!$B$2:$B$366,'Team Stats'!$F$2:$F$366)+0.44*_xlfn.XLOOKUP(A98,'Team Stats'!$B$2:$B$366,'Team Stats'!$L$2:$L$366)+_xlfn.XLOOKUP(A98,'Team Stats'!$B$2:$B$366,'Team Stats'!$Q$2:$Q$366))*100</f>
        <v>10.841648772683255</v>
      </c>
      <c r="D98" s="146">
        <f>_xlfn.XLOOKUP(A98,'Team Stats'!$B$2:$B$366,'Team Stats'!$N$2:$N$366)/(_xlfn.XLOOKUP(A98,'Team Stats'!$B$2:$B$366,'Team Stats'!$N$2:$N$366)+_xlfn.XLOOKUP(A98,'Opponents stats vs'!$B$2:$B$366,'Opponents stats vs'!$O$2:$O$366))*100</f>
        <v>29.325513196480934</v>
      </c>
      <c r="E98" s="146">
        <f>_xlfn.XLOOKUP(A98,'Team Stats'!$B$2:$B$366,'Team Stats'!$K$2:$K$366)/_xlfn.XLOOKUP(A98,'Team Stats'!$B$2:$B$366,'Team Stats'!$F$2:$F$366)*100</f>
        <v>27.394957983193279</v>
      </c>
      <c r="F98" s="146">
        <f>_xlfn.XLOOKUP(A98,'Team Stats'!$B$2:$B$366,'Team Stats'!$F$2:$F$366)+0.44*_xlfn.XLOOKUP(A98,'Team Stats'!$B$2:$B$366,'Team Stats'!$L$2:$L$366)+_xlfn.XLOOKUP(A98,'Team Stats'!$B$2:$B$366,'Team Stats'!$T$2:$T$366)-_xlfn.XLOOKUP(A98,'Team Stats'!$B$2:$B$366,'Team Stats'!$N$2:$N$366)</f>
        <v>69.304000000000002</v>
      </c>
      <c r="G98">
        <f>_xlfn.XLOOKUP(A98,'Team Stats'!$B$2:$B$366,'Team Stats'!$D$2:$D$366)/F98</f>
        <v>1.1528916079879949</v>
      </c>
      <c r="H98">
        <f>_xlfn.XLOOKUP(A98,'Team Stats'!$B$2:$B$366,'Team Stats'!$D$2:$D$366)</f>
        <v>79.900000000000006</v>
      </c>
    </row>
    <row r="99" spans="1:8" ht="15" customHeight="1" x14ac:dyDescent="0.25">
      <c r="A99" t="s">
        <v>217</v>
      </c>
      <c r="B99" s="146">
        <f t="array" ref="B99">_xlfn.XLOOKUP(A99,'Team Stats'!$B$2:$B$366,('Team Stats'!$E$2:$E$366+'Team Stats'!$H$2:$H$366/2)/'Team Stats'!$F$2:$F$366)*100</f>
        <v>54.019292604501615</v>
      </c>
      <c r="C99" s="146">
        <f>_xlfn.XLOOKUP(A99,'Team Stats'!$B$2:$B$366,'Team Stats'!$T$2:$T$366)/( _xlfn.XLOOKUP(A99,'Team Stats'!$B$2:$B$366,'Team Stats'!$T$2:$T$366)+_xlfn.XLOOKUP(A99,'Team Stats'!$B$2:$B$366,'Team Stats'!$F$2:$F$366)+0.44*_xlfn.XLOOKUP(A99,'Team Stats'!$B$2:$B$366,'Team Stats'!$L$2:$L$366)+_xlfn.XLOOKUP(A99,'Team Stats'!$B$2:$B$366,'Team Stats'!$Q$2:$Q$366))*100</f>
        <v>11.164829761953539</v>
      </c>
      <c r="D99" s="146">
        <f>_xlfn.XLOOKUP(A99,'Team Stats'!$B$2:$B$366,'Team Stats'!$N$2:$N$366)/(_xlfn.XLOOKUP(A99,'Team Stats'!$B$2:$B$366,'Team Stats'!$N$2:$N$366)+_xlfn.XLOOKUP(A99,'Opponents stats vs'!$B$2:$B$366,'Opponents stats vs'!$O$2:$O$366))*100</f>
        <v>29.589041095890412</v>
      </c>
      <c r="E99" s="146">
        <f>_xlfn.XLOOKUP(A99,'Team Stats'!$B$2:$B$366,'Team Stats'!$K$2:$K$366)/_xlfn.XLOOKUP(A99,'Team Stats'!$B$2:$B$366,'Team Stats'!$F$2:$F$366)*100</f>
        <v>21.382636655948552</v>
      </c>
      <c r="F99" s="146">
        <f>_xlfn.XLOOKUP(A99,'Team Stats'!$B$2:$B$366,'Team Stats'!$F$2:$F$366)+0.44*_xlfn.XLOOKUP(A99,'Team Stats'!$B$2:$B$366,'Team Stats'!$L$2:$L$366)+_xlfn.XLOOKUP(A99,'Team Stats'!$B$2:$B$366,'Team Stats'!$T$2:$T$366)-_xlfn.XLOOKUP(A99,'Team Stats'!$B$2:$B$366,'Team Stats'!$N$2:$N$366)</f>
        <v>70.528000000000006</v>
      </c>
      <c r="G99">
        <f>_xlfn.XLOOKUP(A99,'Team Stats'!$B$2:$B$366,'Team Stats'!$D$2:$D$366)/F99</f>
        <v>1.1413906533575318</v>
      </c>
      <c r="H99">
        <f>_xlfn.XLOOKUP(A99,'Team Stats'!$B$2:$B$366,'Team Stats'!$D$2:$D$366)</f>
        <v>80.5</v>
      </c>
    </row>
    <row r="100" spans="1:8" ht="15" customHeight="1" x14ac:dyDescent="0.25">
      <c r="A100" t="s">
        <v>249</v>
      </c>
      <c r="B100" s="146">
        <f t="array" ref="B100">_xlfn.XLOOKUP(A100,'Team Stats'!$B$2:$B$366,('Team Stats'!$E$2:$E$366+'Team Stats'!$H$2:$H$366/2)/'Team Stats'!$F$2:$F$366)*100</f>
        <v>52.711323763955335</v>
      </c>
      <c r="C100" s="146">
        <f>_xlfn.XLOOKUP(A100,'Team Stats'!$B$2:$B$366,'Team Stats'!$T$2:$T$366)/( _xlfn.XLOOKUP(A100,'Team Stats'!$B$2:$B$366,'Team Stats'!$T$2:$T$366)+_xlfn.XLOOKUP(A100,'Team Stats'!$B$2:$B$366,'Team Stats'!$F$2:$F$366)+0.44*_xlfn.XLOOKUP(A100,'Team Stats'!$B$2:$B$366,'Team Stats'!$L$2:$L$366)+_xlfn.XLOOKUP(A100,'Team Stats'!$B$2:$B$366,'Team Stats'!$Q$2:$Q$366))*100</f>
        <v>12.074822970815768</v>
      </c>
      <c r="D100" s="146">
        <f>_xlfn.XLOOKUP(A100,'Team Stats'!$B$2:$B$366,'Team Stats'!$N$2:$N$366)/(_xlfn.XLOOKUP(A100,'Team Stats'!$B$2:$B$366,'Team Stats'!$N$2:$N$366)+_xlfn.XLOOKUP(A100,'Opponents stats vs'!$B$2:$B$366,'Opponents stats vs'!$O$2:$O$366))*100</f>
        <v>33.597883597883602</v>
      </c>
      <c r="E100" s="146">
        <f>_xlfn.XLOOKUP(A100,'Team Stats'!$B$2:$B$366,'Team Stats'!$K$2:$K$366)/_xlfn.XLOOKUP(A100,'Team Stats'!$B$2:$B$366,'Team Stats'!$F$2:$F$366)*100</f>
        <v>22.647527910685803</v>
      </c>
      <c r="F100" s="146">
        <f>_xlfn.XLOOKUP(A100,'Team Stats'!$B$2:$B$366,'Team Stats'!$F$2:$F$366)+0.44*_xlfn.XLOOKUP(A100,'Team Stats'!$B$2:$B$366,'Team Stats'!$L$2:$L$366)+_xlfn.XLOOKUP(A100,'Team Stats'!$B$2:$B$366,'Team Stats'!$T$2:$T$366)-_xlfn.XLOOKUP(A100,'Team Stats'!$B$2:$B$366,'Team Stats'!$N$2:$N$366)</f>
        <v>70.423999999999992</v>
      </c>
      <c r="G100">
        <f>_xlfn.XLOOKUP(A100,'Team Stats'!$B$2:$B$366,'Team Stats'!$D$2:$D$366)/F100</f>
        <v>1.1402362830853119</v>
      </c>
      <c r="H100">
        <f>_xlfn.XLOOKUP(A100,'Team Stats'!$B$2:$B$366,'Team Stats'!$D$2:$D$366)</f>
        <v>80.3</v>
      </c>
    </row>
    <row r="101" spans="1:8" ht="15" customHeight="1" x14ac:dyDescent="0.25">
      <c r="A101" t="s">
        <v>215</v>
      </c>
      <c r="B101" s="146">
        <f t="array" ref="B101">_xlfn.XLOOKUP(A101,'Team Stats'!$B$2:$B$366,('Team Stats'!$E$2:$E$366+'Team Stats'!$H$2:$H$366/2)/'Team Stats'!$F$2:$F$366)*100</f>
        <v>51.081530782029951</v>
      </c>
      <c r="C101" s="146">
        <f>_xlfn.XLOOKUP(A101,'Team Stats'!$B$2:$B$366,'Team Stats'!$T$2:$T$366)/( _xlfn.XLOOKUP(A101,'Team Stats'!$B$2:$B$366,'Team Stats'!$T$2:$T$366)+_xlfn.XLOOKUP(A101,'Team Stats'!$B$2:$B$366,'Team Stats'!$F$2:$F$366)+0.44*_xlfn.XLOOKUP(A101,'Team Stats'!$B$2:$B$366,'Team Stats'!$L$2:$L$366)+_xlfn.XLOOKUP(A101,'Team Stats'!$B$2:$B$366,'Team Stats'!$Q$2:$Q$366))*100</f>
        <v>12.696214219759923</v>
      </c>
      <c r="D101" s="146">
        <f>_xlfn.XLOOKUP(A101,'Team Stats'!$B$2:$B$366,'Team Stats'!$N$2:$N$366)/(_xlfn.XLOOKUP(A101,'Team Stats'!$B$2:$B$366,'Team Stats'!$N$2:$N$366)+_xlfn.XLOOKUP(A101,'Opponents stats vs'!$B$2:$B$366,'Opponents stats vs'!$O$2:$O$366))*100</f>
        <v>35.277777777777771</v>
      </c>
      <c r="E101" s="146">
        <f>_xlfn.XLOOKUP(A101,'Team Stats'!$B$2:$B$366,'Team Stats'!$K$2:$K$366)/_xlfn.XLOOKUP(A101,'Team Stats'!$B$2:$B$366,'Team Stats'!$F$2:$F$366)*100</f>
        <v>29.118136439267889</v>
      </c>
      <c r="F101" s="146">
        <f>_xlfn.XLOOKUP(A101,'Team Stats'!$B$2:$B$366,'Team Stats'!$F$2:$F$366)+0.44*_xlfn.XLOOKUP(A101,'Team Stats'!$B$2:$B$366,'Team Stats'!$L$2:$L$366)+_xlfn.XLOOKUP(A101,'Team Stats'!$B$2:$B$366,'Team Stats'!$T$2:$T$366)-_xlfn.XLOOKUP(A101,'Team Stats'!$B$2:$B$366,'Team Stats'!$N$2:$N$366)</f>
        <v>70.103999999999999</v>
      </c>
      <c r="G101">
        <f>_xlfn.XLOOKUP(A101,'Team Stats'!$B$2:$B$366,'Team Stats'!$D$2:$D$366)/F101</f>
        <v>1.125470729202328</v>
      </c>
      <c r="H101">
        <f>_xlfn.XLOOKUP(A101,'Team Stats'!$B$2:$B$366,'Team Stats'!$D$2:$D$366)</f>
        <v>78.900000000000006</v>
      </c>
    </row>
    <row r="102" spans="1:8" ht="15" customHeight="1" x14ac:dyDescent="0.25">
      <c r="A102" t="s">
        <v>435</v>
      </c>
      <c r="B102" s="146">
        <f t="array" ref="B102">_xlfn.XLOOKUP(A102,'Team Stats'!$B$2:$B$366,('Team Stats'!$E$2:$E$366+'Team Stats'!$H$2:$H$366/2)/'Team Stats'!$F$2:$F$366)*100</f>
        <v>48.142414860681122</v>
      </c>
      <c r="C102" s="146">
        <f>_xlfn.XLOOKUP(A102,'Team Stats'!$B$2:$B$366,'Team Stats'!$T$2:$T$366)/( _xlfn.XLOOKUP(A102,'Team Stats'!$B$2:$B$366,'Team Stats'!$T$2:$T$366)+_xlfn.XLOOKUP(A102,'Team Stats'!$B$2:$B$366,'Team Stats'!$F$2:$F$366)+0.44*_xlfn.XLOOKUP(A102,'Team Stats'!$B$2:$B$366,'Team Stats'!$L$2:$L$366)+_xlfn.XLOOKUP(A102,'Team Stats'!$B$2:$B$366,'Team Stats'!$Q$2:$Q$366))*100</f>
        <v>9.1998200924070819</v>
      </c>
      <c r="D102" s="146">
        <f>_xlfn.XLOOKUP(A102,'Team Stats'!$B$2:$B$366,'Team Stats'!$N$2:$N$366)/(_xlfn.XLOOKUP(A102,'Team Stats'!$B$2:$B$366,'Team Stats'!$N$2:$N$366)+_xlfn.XLOOKUP(A102,'Opponents stats vs'!$B$2:$B$366,'Opponents stats vs'!$O$2:$O$366))*100</f>
        <v>33.502538071065992</v>
      </c>
      <c r="E102" s="146">
        <f>_xlfn.XLOOKUP(A102,'Team Stats'!$B$2:$B$366,'Team Stats'!$K$2:$K$366)/_xlfn.XLOOKUP(A102,'Team Stats'!$B$2:$B$366,'Team Stats'!$F$2:$F$366)*100</f>
        <v>25.851393188854487</v>
      </c>
      <c r="F102" s="146">
        <f>_xlfn.XLOOKUP(A102,'Team Stats'!$B$2:$B$366,'Team Stats'!$F$2:$F$366)+0.44*_xlfn.XLOOKUP(A102,'Team Stats'!$B$2:$B$366,'Team Stats'!$L$2:$L$366)+_xlfn.XLOOKUP(A102,'Team Stats'!$B$2:$B$366,'Team Stats'!$T$2:$T$366)-_xlfn.XLOOKUP(A102,'Team Stats'!$B$2:$B$366,'Team Stats'!$N$2:$N$366)</f>
        <v>70.827999999999989</v>
      </c>
      <c r="G102">
        <f>_xlfn.XLOOKUP(A102,'Team Stats'!$B$2:$B$366,'Team Stats'!$D$2:$D$366)/F102</f>
        <v>1.1139662280454061</v>
      </c>
      <c r="H102">
        <f>_xlfn.XLOOKUP(A102,'Team Stats'!$B$2:$B$366,'Team Stats'!$D$2:$D$366)</f>
        <v>78.900000000000006</v>
      </c>
    </row>
    <row r="103" spans="1:8" ht="15" customHeight="1" x14ac:dyDescent="0.25">
      <c r="A103" t="s">
        <v>398</v>
      </c>
      <c r="B103" s="146">
        <f t="array" ref="B103">_xlfn.XLOOKUP(A103,'Team Stats'!$B$2:$B$366,('Team Stats'!$E$2:$E$366+'Team Stats'!$H$2:$H$366/2)/'Team Stats'!$F$2:$F$366)*100</f>
        <v>53.486394557823132</v>
      </c>
      <c r="C103" s="146">
        <f>_xlfn.XLOOKUP(A103,'Team Stats'!$B$2:$B$366,'Team Stats'!$T$2:$T$366)/( _xlfn.XLOOKUP(A103,'Team Stats'!$B$2:$B$366,'Team Stats'!$T$2:$T$366)+_xlfn.XLOOKUP(A103,'Team Stats'!$B$2:$B$366,'Team Stats'!$F$2:$F$366)+0.44*_xlfn.XLOOKUP(A103,'Team Stats'!$B$2:$B$366,'Team Stats'!$L$2:$L$366)+_xlfn.XLOOKUP(A103,'Team Stats'!$B$2:$B$366,'Team Stats'!$Q$2:$Q$366))*100</f>
        <v>12.532898859506203</v>
      </c>
      <c r="D103" s="146">
        <f>_xlfn.XLOOKUP(A103,'Team Stats'!$B$2:$B$366,'Team Stats'!$N$2:$N$366)/(_xlfn.XLOOKUP(A103,'Team Stats'!$B$2:$B$366,'Team Stats'!$N$2:$N$366)+_xlfn.XLOOKUP(A103,'Opponents stats vs'!$B$2:$B$366,'Opponents stats vs'!$O$2:$O$366))*100</f>
        <v>30.581039755351679</v>
      </c>
      <c r="E103" s="146">
        <f>_xlfn.XLOOKUP(A103,'Team Stats'!$B$2:$B$366,'Team Stats'!$K$2:$K$366)/_xlfn.XLOOKUP(A103,'Team Stats'!$B$2:$B$366,'Team Stats'!$F$2:$F$366)*100</f>
        <v>27.721088435374153</v>
      </c>
      <c r="F103" s="146">
        <f>_xlfn.XLOOKUP(A103,'Team Stats'!$B$2:$B$366,'Team Stats'!$F$2:$F$366)+0.44*_xlfn.XLOOKUP(A103,'Team Stats'!$B$2:$B$366,'Team Stats'!$L$2:$L$366)+_xlfn.XLOOKUP(A103,'Team Stats'!$B$2:$B$366,'Team Stats'!$T$2:$T$366)-_xlfn.XLOOKUP(A103,'Team Stats'!$B$2:$B$366,'Team Stats'!$N$2:$N$366)</f>
        <v>70.347999999999999</v>
      </c>
      <c r="G103">
        <f>_xlfn.XLOOKUP(A103,'Team Stats'!$B$2:$B$366,'Team Stats'!$D$2:$D$366)/F103</f>
        <v>1.1244100756240405</v>
      </c>
      <c r="H103">
        <f>_xlfn.XLOOKUP(A103,'Team Stats'!$B$2:$B$366,'Team Stats'!$D$2:$D$366)</f>
        <v>79.099999999999994</v>
      </c>
    </row>
    <row r="104" spans="1:8" ht="15" customHeight="1" x14ac:dyDescent="0.25">
      <c r="A104" t="s">
        <v>58</v>
      </c>
      <c r="B104" s="146">
        <f t="array" ref="B104">_xlfn.XLOOKUP(A104,'Team Stats'!$B$2:$B$366,('Team Stats'!$E$2:$E$366+'Team Stats'!$H$2:$H$366/2)/'Team Stats'!$F$2:$F$366)*100</f>
        <v>53.022452504317783</v>
      </c>
      <c r="C104" s="146">
        <f>_xlfn.XLOOKUP(A104,'Team Stats'!$B$2:$B$366,'Team Stats'!$T$2:$T$366)/( _xlfn.XLOOKUP(A104,'Team Stats'!$B$2:$B$366,'Team Stats'!$T$2:$T$366)+_xlfn.XLOOKUP(A104,'Team Stats'!$B$2:$B$366,'Team Stats'!$F$2:$F$366)+0.44*_xlfn.XLOOKUP(A104,'Team Stats'!$B$2:$B$366,'Team Stats'!$L$2:$L$366)+_xlfn.XLOOKUP(A104,'Team Stats'!$B$2:$B$366,'Team Stats'!$Q$2:$Q$366))*100</f>
        <v>14.01578073089701</v>
      </c>
      <c r="D104" s="146">
        <f>_xlfn.XLOOKUP(A104,'Team Stats'!$B$2:$B$366,'Team Stats'!$N$2:$N$366)/(_xlfn.XLOOKUP(A104,'Team Stats'!$B$2:$B$366,'Team Stats'!$N$2:$N$366)+_xlfn.XLOOKUP(A104,'Opponents stats vs'!$B$2:$B$366,'Opponents stats vs'!$O$2:$O$366))*100</f>
        <v>32.248520710059175</v>
      </c>
      <c r="E104" s="146">
        <f>_xlfn.XLOOKUP(A104,'Team Stats'!$B$2:$B$366,'Team Stats'!$K$2:$K$366)/_xlfn.XLOOKUP(A104,'Team Stats'!$B$2:$B$366,'Team Stats'!$F$2:$F$366)*100</f>
        <v>32.469775474956826</v>
      </c>
      <c r="F104" s="146">
        <f>_xlfn.XLOOKUP(A104,'Team Stats'!$B$2:$B$366,'Team Stats'!$F$2:$F$366)+0.44*_xlfn.XLOOKUP(A104,'Team Stats'!$B$2:$B$366,'Team Stats'!$L$2:$L$366)+_xlfn.XLOOKUP(A104,'Team Stats'!$B$2:$B$366,'Team Stats'!$T$2:$T$366)-_xlfn.XLOOKUP(A104,'Team Stats'!$B$2:$B$366,'Team Stats'!$N$2:$N$366)</f>
        <v>71.72</v>
      </c>
      <c r="G104">
        <f>_xlfn.XLOOKUP(A104,'Team Stats'!$B$2:$B$366,'Team Stats'!$D$2:$D$366)/F104</f>
        <v>1.1168432794199665</v>
      </c>
      <c r="H104">
        <f>_xlfn.XLOOKUP(A104,'Team Stats'!$B$2:$B$366,'Team Stats'!$D$2:$D$366)</f>
        <v>80.099999999999994</v>
      </c>
    </row>
    <row r="105" spans="1:8" ht="15" customHeight="1" x14ac:dyDescent="0.25">
      <c r="A105" t="s">
        <v>208</v>
      </c>
      <c r="B105" s="146">
        <f t="array" ref="B105">_xlfn.XLOOKUP(A105,'Team Stats'!$B$2:$B$366,('Team Stats'!$E$2:$E$366+'Team Stats'!$H$2:$H$366/2)/'Team Stats'!$F$2:$F$366)*100</f>
        <v>51.085141903171959</v>
      </c>
      <c r="C105" s="146">
        <f>_xlfn.XLOOKUP(A105,'Team Stats'!$B$2:$B$366,'Team Stats'!$T$2:$T$366)/( _xlfn.XLOOKUP(A105,'Team Stats'!$B$2:$B$366,'Team Stats'!$T$2:$T$366)+_xlfn.XLOOKUP(A105,'Team Stats'!$B$2:$B$366,'Team Stats'!$F$2:$F$366)+0.44*_xlfn.XLOOKUP(A105,'Team Stats'!$B$2:$B$366,'Team Stats'!$L$2:$L$366)+_xlfn.XLOOKUP(A105,'Team Stats'!$B$2:$B$366,'Team Stats'!$Q$2:$Q$366))*100</f>
        <v>11.562231408341177</v>
      </c>
      <c r="D105" s="146">
        <f>_xlfn.XLOOKUP(A105,'Team Stats'!$B$2:$B$366,'Team Stats'!$N$2:$N$366)/(_xlfn.XLOOKUP(A105,'Team Stats'!$B$2:$B$366,'Team Stats'!$N$2:$N$366)+_xlfn.XLOOKUP(A105,'Opponents stats vs'!$B$2:$B$366,'Opponents stats vs'!$O$2:$O$366))*100</f>
        <v>34.45378151260504</v>
      </c>
      <c r="E105" s="146">
        <f>_xlfn.XLOOKUP(A105,'Team Stats'!$B$2:$B$366,'Team Stats'!$K$2:$K$366)/_xlfn.XLOOKUP(A105,'Team Stats'!$B$2:$B$366,'Team Stats'!$F$2:$F$366)*100</f>
        <v>30.050083472454091</v>
      </c>
      <c r="F105" s="146">
        <f>_xlfn.XLOOKUP(A105,'Team Stats'!$B$2:$B$366,'Team Stats'!$F$2:$F$366)+0.44*_xlfn.XLOOKUP(A105,'Team Stats'!$B$2:$B$366,'Team Stats'!$L$2:$L$366)+_xlfn.XLOOKUP(A105,'Team Stats'!$B$2:$B$366,'Team Stats'!$T$2:$T$366)-_xlfn.XLOOKUP(A105,'Team Stats'!$B$2:$B$366,'Team Stats'!$N$2:$N$366)</f>
        <v>70.031999999999996</v>
      </c>
      <c r="G105">
        <f>_xlfn.XLOOKUP(A105,'Team Stats'!$B$2:$B$366,'Team Stats'!$D$2:$D$366)/F105</f>
        <v>1.1323395019419693</v>
      </c>
      <c r="H105">
        <f>_xlfn.XLOOKUP(A105,'Team Stats'!$B$2:$B$366,'Team Stats'!$D$2:$D$366)</f>
        <v>79.3</v>
      </c>
    </row>
    <row r="106" spans="1:8" ht="15" customHeight="1" x14ac:dyDescent="0.25">
      <c r="A106" t="s">
        <v>461</v>
      </c>
      <c r="B106" s="146">
        <f t="array" ref="B106">_xlfn.XLOOKUP(A106,'Team Stats'!$B$2:$B$366,('Team Stats'!$E$2:$E$366+'Team Stats'!$H$2:$H$366/2)/'Team Stats'!$F$2:$F$366)*100</f>
        <v>52.412645590682196</v>
      </c>
      <c r="C106" s="146">
        <f>_xlfn.XLOOKUP(A106,'Team Stats'!$B$2:$B$366,'Team Stats'!$T$2:$T$366)/( _xlfn.XLOOKUP(A106,'Team Stats'!$B$2:$B$366,'Team Stats'!$T$2:$T$366)+_xlfn.XLOOKUP(A106,'Team Stats'!$B$2:$B$366,'Team Stats'!$F$2:$F$366)+0.44*_xlfn.XLOOKUP(A106,'Team Stats'!$B$2:$B$366,'Team Stats'!$L$2:$L$366)+_xlfn.XLOOKUP(A106,'Team Stats'!$B$2:$B$366,'Team Stats'!$Q$2:$Q$366))*100</f>
        <v>11.467889908256881</v>
      </c>
      <c r="D106" s="146">
        <f>_xlfn.XLOOKUP(A106,'Team Stats'!$B$2:$B$366,'Team Stats'!$N$2:$N$366)/(_xlfn.XLOOKUP(A106,'Team Stats'!$B$2:$B$366,'Team Stats'!$N$2:$N$366)+_xlfn.XLOOKUP(A106,'Opponents stats vs'!$B$2:$B$366,'Opponents stats vs'!$O$2:$O$366))*100</f>
        <v>29.912023460410559</v>
      </c>
      <c r="E106" s="146">
        <f>_xlfn.XLOOKUP(A106,'Team Stats'!$B$2:$B$366,'Team Stats'!$K$2:$K$366)/_xlfn.XLOOKUP(A106,'Team Stats'!$B$2:$B$366,'Team Stats'!$F$2:$F$366)*100</f>
        <v>26.123128119800331</v>
      </c>
      <c r="F106" s="146">
        <f>_xlfn.XLOOKUP(A106,'Team Stats'!$B$2:$B$366,'Team Stats'!$F$2:$F$366)+0.44*_xlfn.XLOOKUP(A106,'Team Stats'!$B$2:$B$366,'Team Stats'!$L$2:$L$366)+_xlfn.XLOOKUP(A106,'Team Stats'!$B$2:$B$366,'Team Stats'!$T$2:$T$366)-_xlfn.XLOOKUP(A106,'Team Stats'!$B$2:$B$366,'Team Stats'!$N$2:$N$366)</f>
        <v>69.675999999999988</v>
      </c>
      <c r="G106">
        <f>_xlfn.XLOOKUP(A106,'Team Stats'!$B$2:$B$366,'Team Stats'!$D$2:$D$366)/F106</f>
        <v>1.1309489637751882</v>
      </c>
      <c r="H106">
        <f>_xlfn.XLOOKUP(A106,'Team Stats'!$B$2:$B$366,'Team Stats'!$D$2:$D$366)</f>
        <v>78.8</v>
      </c>
    </row>
    <row r="107" spans="1:8" ht="15" customHeight="1" x14ac:dyDescent="0.25">
      <c r="A107" t="s">
        <v>281</v>
      </c>
      <c r="B107" s="146">
        <f t="array" ref="B107">_xlfn.XLOOKUP(A107,'Team Stats'!$B$2:$B$366,('Team Stats'!$E$2:$E$366+'Team Stats'!$H$2:$H$366/2)/'Team Stats'!$F$2:$F$366)*100</f>
        <v>53.405315614617933</v>
      </c>
      <c r="C107" s="146">
        <f>_xlfn.XLOOKUP(A107,'Team Stats'!$B$2:$B$366,'Team Stats'!$T$2:$T$366)/( _xlfn.XLOOKUP(A107,'Team Stats'!$B$2:$B$366,'Team Stats'!$T$2:$T$366)+_xlfn.XLOOKUP(A107,'Team Stats'!$B$2:$B$366,'Team Stats'!$F$2:$F$366)+0.44*_xlfn.XLOOKUP(A107,'Team Stats'!$B$2:$B$366,'Team Stats'!$L$2:$L$366)+_xlfn.XLOOKUP(A107,'Team Stats'!$B$2:$B$366,'Team Stats'!$Q$2:$Q$366))*100</f>
        <v>11.636426324182219</v>
      </c>
      <c r="D107" s="146">
        <f>_xlfn.XLOOKUP(A107,'Team Stats'!$B$2:$B$366,'Team Stats'!$N$2:$N$366)/(_xlfn.XLOOKUP(A107,'Team Stats'!$B$2:$B$366,'Team Stats'!$N$2:$N$366)+_xlfn.XLOOKUP(A107,'Opponents stats vs'!$B$2:$B$366,'Opponents stats vs'!$O$2:$O$366))*100</f>
        <v>30.53221288515406</v>
      </c>
      <c r="E107" s="146">
        <f>_xlfn.XLOOKUP(A107,'Team Stats'!$B$2:$B$366,'Team Stats'!$K$2:$K$366)/_xlfn.XLOOKUP(A107,'Team Stats'!$B$2:$B$366,'Team Stats'!$F$2:$F$366)*100</f>
        <v>24.252491694352159</v>
      </c>
      <c r="F107" s="146">
        <f>_xlfn.XLOOKUP(A107,'Team Stats'!$B$2:$B$366,'Team Stats'!$F$2:$F$366)+0.44*_xlfn.XLOOKUP(A107,'Team Stats'!$B$2:$B$366,'Team Stats'!$L$2:$L$366)+_xlfn.XLOOKUP(A107,'Team Stats'!$B$2:$B$366,'Team Stats'!$T$2:$T$366)-_xlfn.XLOOKUP(A107,'Team Stats'!$B$2:$B$366,'Team Stats'!$N$2:$N$366)</f>
        <v>68.811999999999998</v>
      </c>
      <c r="G107">
        <f>_xlfn.XLOOKUP(A107,'Team Stats'!$B$2:$B$366,'Team Stats'!$D$2:$D$366)/F107</f>
        <v>1.14805557170261</v>
      </c>
      <c r="H107">
        <f>_xlfn.XLOOKUP(A107,'Team Stats'!$B$2:$B$366,'Team Stats'!$D$2:$D$366)</f>
        <v>79</v>
      </c>
    </row>
    <row r="108" spans="1:8" ht="15" customHeight="1" x14ac:dyDescent="0.25">
      <c r="A108" t="s">
        <v>76</v>
      </c>
      <c r="B108" s="146">
        <f t="array" ref="B108">_xlfn.XLOOKUP(A108,'Team Stats'!$B$2:$B$366,('Team Stats'!$E$2:$E$366+'Team Stats'!$H$2:$H$366/2)/'Team Stats'!$F$2:$F$366)*100</f>
        <v>55.66835871404399</v>
      </c>
      <c r="C108" s="146">
        <f>_xlfn.XLOOKUP(A108,'Team Stats'!$B$2:$B$366,'Team Stats'!$T$2:$T$366)/( _xlfn.XLOOKUP(A108,'Team Stats'!$B$2:$B$366,'Team Stats'!$T$2:$T$366)+_xlfn.XLOOKUP(A108,'Team Stats'!$B$2:$B$366,'Team Stats'!$F$2:$F$366)+0.44*_xlfn.XLOOKUP(A108,'Team Stats'!$B$2:$B$366,'Team Stats'!$L$2:$L$366)+_xlfn.XLOOKUP(A108,'Team Stats'!$B$2:$B$366,'Team Stats'!$Q$2:$Q$366))*100</f>
        <v>10.330578512396695</v>
      </c>
      <c r="D108" s="146">
        <f>_xlfn.XLOOKUP(A108,'Team Stats'!$B$2:$B$366,'Team Stats'!$N$2:$N$366)/(_xlfn.XLOOKUP(A108,'Team Stats'!$B$2:$B$366,'Team Stats'!$N$2:$N$366)+_xlfn.XLOOKUP(A108,'Opponents stats vs'!$B$2:$B$366,'Opponents stats vs'!$O$2:$O$366))*100</f>
        <v>26.488095238095237</v>
      </c>
      <c r="E108" s="146">
        <f>_xlfn.XLOOKUP(A108,'Team Stats'!$B$2:$B$366,'Team Stats'!$K$2:$K$366)/_xlfn.XLOOKUP(A108,'Team Stats'!$B$2:$B$366,'Team Stats'!$F$2:$F$366)*100</f>
        <v>20.304568527918782</v>
      </c>
      <c r="F108" s="146">
        <f>_xlfn.XLOOKUP(A108,'Team Stats'!$B$2:$B$366,'Team Stats'!$F$2:$F$366)+0.44*_xlfn.XLOOKUP(A108,'Team Stats'!$B$2:$B$366,'Team Stats'!$L$2:$L$366)+_xlfn.XLOOKUP(A108,'Team Stats'!$B$2:$B$366,'Team Stats'!$T$2:$T$366)-_xlfn.XLOOKUP(A108,'Team Stats'!$B$2:$B$366,'Team Stats'!$N$2:$N$366)</f>
        <v>66.896000000000001</v>
      </c>
      <c r="G108">
        <f>_xlfn.XLOOKUP(A108,'Team Stats'!$B$2:$B$366,'Team Stats'!$D$2:$D$366)/F108</f>
        <v>1.1615044247787611</v>
      </c>
      <c r="H108">
        <f>_xlfn.XLOOKUP(A108,'Team Stats'!$B$2:$B$366,'Team Stats'!$D$2:$D$366)</f>
        <v>77.7</v>
      </c>
    </row>
    <row r="109" spans="1:8" ht="15" customHeight="1" x14ac:dyDescent="0.25">
      <c r="A109" t="s">
        <v>197</v>
      </c>
      <c r="B109" s="146">
        <f t="array" ref="B109">_xlfn.XLOOKUP(A109,'Team Stats'!$B$2:$B$366,('Team Stats'!$E$2:$E$366+'Team Stats'!$H$2:$H$366/2)/'Team Stats'!$F$2:$F$366)*100</f>
        <v>59.816513761467895</v>
      </c>
      <c r="C109" s="146">
        <f>_xlfn.XLOOKUP(A109,'Team Stats'!$B$2:$B$366,'Team Stats'!$T$2:$T$366)/( _xlfn.XLOOKUP(A109,'Team Stats'!$B$2:$B$366,'Team Stats'!$T$2:$T$366)+_xlfn.XLOOKUP(A109,'Team Stats'!$B$2:$B$366,'Team Stats'!$F$2:$F$366)+0.44*_xlfn.XLOOKUP(A109,'Team Stats'!$B$2:$B$366,'Team Stats'!$L$2:$L$366)+_xlfn.XLOOKUP(A109,'Team Stats'!$B$2:$B$366,'Team Stats'!$Q$2:$Q$366))*100</f>
        <v>11.583011583011583</v>
      </c>
      <c r="D109" s="146">
        <f>_xlfn.XLOOKUP(A109,'Team Stats'!$B$2:$B$366,'Team Stats'!$N$2:$N$366)/(_xlfn.XLOOKUP(A109,'Team Stats'!$B$2:$B$366,'Team Stats'!$N$2:$N$366)+_xlfn.XLOOKUP(A109,'Opponents stats vs'!$B$2:$B$366,'Opponents stats vs'!$O$2:$O$366))*100</f>
        <v>22.939068100358426</v>
      </c>
      <c r="E109" s="146">
        <f>_xlfn.XLOOKUP(A109,'Team Stats'!$B$2:$B$366,'Team Stats'!$K$2:$K$366)/_xlfn.XLOOKUP(A109,'Team Stats'!$B$2:$B$366,'Team Stats'!$F$2:$F$366)*100</f>
        <v>27.706422018348626</v>
      </c>
      <c r="F109" s="146">
        <f>_xlfn.XLOOKUP(A109,'Team Stats'!$B$2:$B$366,'Team Stats'!$F$2:$F$366)+0.44*_xlfn.XLOOKUP(A109,'Team Stats'!$B$2:$B$366,'Team Stats'!$L$2:$L$366)+_xlfn.XLOOKUP(A109,'Team Stats'!$B$2:$B$366,'Team Stats'!$T$2:$T$366)-_xlfn.XLOOKUP(A109,'Team Stats'!$B$2:$B$366,'Team Stats'!$N$2:$N$366)</f>
        <v>66.66</v>
      </c>
      <c r="G109">
        <f>_xlfn.XLOOKUP(A109,'Team Stats'!$B$2:$B$366,'Team Stats'!$D$2:$D$366)/F109</f>
        <v>1.2046204620462047</v>
      </c>
      <c r="H109">
        <f>_xlfn.XLOOKUP(A109,'Team Stats'!$B$2:$B$366,'Team Stats'!$D$2:$D$366)</f>
        <v>80.3</v>
      </c>
    </row>
    <row r="110" spans="1:8" ht="15" customHeight="1" x14ac:dyDescent="0.25">
      <c r="A110" t="s">
        <v>199</v>
      </c>
      <c r="B110" s="146">
        <f t="array" ref="B110">_xlfn.XLOOKUP(A110,'Team Stats'!$B$2:$B$366,('Team Stats'!$E$2:$E$366+'Team Stats'!$H$2:$H$366/2)/'Team Stats'!$F$2:$F$366)*100</f>
        <v>52.904929577464785</v>
      </c>
      <c r="C110" s="146">
        <f>_xlfn.XLOOKUP(A110,'Team Stats'!$B$2:$B$366,'Team Stats'!$T$2:$T$366)/( _xlfn.XLOOKUP(A110,'Team Stats'!$B$2:$B$366,'Team Stats'!$T$2:$T$366)+_xlfn.XLOOKUP(A110,'Team Stats'!$B$2:$B$366,'Team Stats'!$F$2:$F$366)+0.44*_xlfn.XLOOKUP(A110,'Team Stats'!$B$2:$B$366,'Team Stats'!$L$2:$L$366)+_xlfn.XLOOKUP(A110,'Team Stats'!$B$2:$B$366,'Team Stats'!$Q$2:$Q$366))*100</f>
        <v>12.690355329949238</v>
      </c>
      <c r="D110" s="146">
        <f>_xlfn.XLOOKUP(A110,'Team Stats'!$B$2:$B$366,'Team Stats'!$N$2:$N$366)/(_xlfn.XLOOKUP(A110,'Team Stats'!$B$2:$B$366,'Team Stats'!$N$2:$N$366)+_xlfn.XLOOKUP(A110,'Opponents stats vs'!$B$2:$B$366,'Opponents stats vs'!$O$2:$O$366))*100</f>
        <v>33.228840125391848</v>
      </c>
      <c r="E110" s="146">
        <f>_xlfn.XLOOKUP(A110,'Team Stats'!$B$2:$B$366,'Team Stats'!$K$2:$K$366)/_xlfn.XLOOKUP(A110,'Team Stats'!$B$2:$B$366,'Team Stats'!$F$2:$F$366)*100</f>
        <v>32.218309859154928</v>
      </c>
      <c r="F110" s="146">
        <f>_xlfn.XLOOKUP(A110,'Team Stats'!$B$2:$B$366,'Team Stats'!$F$2:$F$366)+0.44*_xlfn.XLOOKUP(A110,'Team Stats'!$B$2:$B$366,'Team Stats'!$L$2:$L$366)+_xlfn.XLOOKUP(A110,'Team Stats'!$B$2:$B$366,'Team Stats'!$T$2:$T$366)-_xlfn.XLOOKUP(A110,'Team Stats'!$B$2:$B$366,'Team Stats'!$N$2:$N$366)</f>
        <v>68.196000000000012</v>
      </c>
      <c r="G110">
        <f>_xlfn.XLOOKUP(A110,'Team Stats'!$B$2:$B$366,'Team Stats'!$D$2:$D$366)/F110</f>
        <v>1.1481611824740452</v>
      </c>
      <c r="H110">
        <f>_xlfn.XLOOKUP(A110,'Team Stats'!$B$2:$B$366,'Team Stats'!$D$2:$D$366)</f>
        <v>78.3</v>
      </c>
    </row>
    <row r="111" spans="1:8" ht="15" customHeight="1" x14ac:dyDescent="0.25">
      <c r="A111" t="s">
        <v>47</v>
      </c>
      <c r="B111" s="146">
        <f t="array" ref="B111">_xlfn.XLOOKUP(A111,'Team Stats'!$B$2:$B$366,('Team Stats'!$E$2:$E$366+'Team Stats'!$H$2:$H$366/2)/'Team Stats'!$F$2:$F$366)*100</f>
        <v>56.143344709897605</v>
      </c>
      <c r="C111" s="146">
        <f>_xlfn.XLOOKUP(A111,'Team Stats'!$B$2:$B$366,'Team Stats'!$T$2:$T$366)/( _xlfn.XLOOKUP(A111,'Team Stats'!$B$2:$B$366,'Team Stats'!$T$2:$T$366)+_xlfn.XLOOKUP(A111,'Team Stats'!$B$2:$B$366,'Team Stats'!$F$2:$F$366)+0.44*_xlfn.XLOOKUP(A111,'Team Stats'!$B$2:$B$366,'Team Stats'!$L$2:$L$366)+_xlfn.XLOOKUP(A111,'Team Stats'!$B$2:$B$366,'Team Stats'!$Q$2:$Q$366))*100</f>
        <v>11.336217655378986</v>
      </c>
      <c r="D111" s="146">
        <f>_xlfn.XLOOKUP(A111,'Team Stats'!$B$2:$B$366,'Team Stats'!$N$2:$N$366)/(_xlfn.XLOOKUP(A111,'Team Stats'!$B$2:$B$366,'Team Stats'!$N$2:$N$366)+_xlfn.XLOOKUP(A111,'Opponents stats vs'!$B$2:$B$366,'Opponents stats vs'!$O$2:$O$366))*100</f>
        <v>34.46153846153846</v>
      </c>
      <c r="E111" s="146">
        <f>_xlfn.XLOOKUP(A111,'Team Stats'!$B$2:$B$366,'Team Stats'!$K$2:$K$366)/_xlfn.XLOOKUP(A111,'Team Stats'!$B$2:$B$366,'Team Stats'!$F$2:$F$366)*100</f>
        <v>22.013651877133107</v>
      </c>
      <c r="F111" s="146">
        <f>_xlfn.XLOOKUP(A111,'Team Stats'!$B$2:$B$366,'Team Stats'!$F$2:$F$366)+0.44*_xlfn.XLOOKUP(A111,'Team Stats'!$B$2:$B$366,'Team Stats'!$L$2:$L$366)+_xlfn.XLOOKUP(A111,'Team Stats'!$B$2:$B$366,'Team Stats'!$T$2:$T$366)-_xlfn.XLOOKUP(A111,'Team Stats'!$B$2:$B$366,'Team Stats'!$N$2:$N$366)</f>
        <v>66.352000000000004</v>
      </c>
      <c r="G111">
        <f>_xlfn.XLOOKUP(A111,'Team Stats'!$B$2:$B$366,'Team Stats'!$D$2:$D$366)/F111</f>
        <v>1.1860983843742463</v>
      </c>
      <c r="H111">
        <f>_xlfn.XLOOKUP(A111,'Team Stats'!$B$2:$B$366,'Team Stats'!$D$2:$D$366)</f>
        <v>78.7</v>
      </c>
    </row>
    <row r="112" spans="1:8" ht="15" customHeight="1" x14ac:dyDescent="0.25">
      <c r="A112" t="s">
        <v>446</v>
      </c>
      <c r="B112" s="146">
        <f t="array" ref="B112">_xlfn.XLOOKUP(A112,'Team Stats'!$B$2:$B$366,('Team Stats'!$E$2:$E$366+'Team Stats'!$H$2:$H$366/2)/'Team Stats'!$F$2:$F$366)*100</f>
        <v>53.288364249578422</v>
      </c>
      <c r="C112" s="146">
        <f>_xlfn.XLOOKUP(A112,'Team Stats'!$B$2:$B$366,'Team Stats'!$T$2:$T$366)/( _xlfn.XLOOKUP(A112,'Team Stats'!$B$2:$B$366,'Team Stats'!$T$2:$T$366)+_xlfn.XLOOKUP(A112,'Team Stats'!$B$2:$B$366,'Team Stats'!$F$2:$F$366)+0.44*_xlfn.XLOOKUP(A112,'Team Stats'!$B$2:$B$366,'Team Stats'!$L$2:$L$366)+_xlfn.XLOOKUP(A112,'Team Stats'!$B$2:$B$366,'Team Stats'!$Q$2:$Q$366))*100</f>
        <v>12.449165905884305</v>
      </c>
      <c r="D112" s="146">
        <f>_xlfn.XLOOKUP(A112,'Team Stats'!$B$2:$B$366,'Team Stats'!$N$2:$N$366)/(_xlfn.XLOOKUP(A112,'Team Stats'!$B$2:$B$366,'Team Stats'!$N$2:$N$366)+_xlfn.XLOOKUP(A112,'Opponents stats vs'!$B$2:$B$366,'Opponents stats vs'!$O$2:$O$366))*100</f>
        <v>32</v>
      </c>
      <c r="E112" s="146">
        <f>_xlfn.XLOOKUP(A112,'Team Stats'!$B$2:$B$366,'Team Stats'!$K$2:$K$366)/_xlfn.XLOOKUP(A112,'Team Stats'!$B$2:$B$366,'Team Stats'!$F$2:$F$366)*100</f>
        <v>28.330522765598655</v>
      </c>
      <c r="F112" s="146">
        <f>_xlfn.XLOOKUP(A112,'Team Stats'!$B$2:$B$366,'Team Stats'!$F$2:$F$366)+0.44*_xlfn.XLOOKUP(A112,'Team Stats'!$B$2:$B$366,'Team Stats'!$L$2:$L$366)+_xlfn.XLOOKUP(A112,'Team Stats'!$B$2:$B$366,'Team Stats'!$T$2:$T$366)-_xlfn.XLOOKUP(A112,'Team Stats'!$B$2:$B$366,'Team Stats'!$N$2:$N$366)</f>
        <v>70.791999999999987</v>
      </c>
      <c r="G112">
        <f>_xlfn.XLOOKUP(A112,'Team Stats'!$B$2:$B$366,'Team Stats'!$D$2:$D$366)/F112</f>
        <v>1.1300711944852528</v>
      </c>
      <c r="H112">
        <f>_xlfn.XLOOKUP(A112,'Team Stats'!$B$2:$B$366,'Team Stats'!$D$2:$D$366)</f>
        <v>80</v>
      </c>
    </row>
    <row r="113" spans="1:8" ht="15" customHeight="1" x14ac:dyDescent="0.25">
      <c r="A113" t="s">
        <v>440</v>
      </c>
      <c r="B113" s="146">
        <f t="array" ref="B113">_xlfn.XLOOKUP(A113,'Team Stats'!$B$2:$B$366,('Team Stats'!$E$2:$E$366+'Team Stats'!$H$2:$H$366/2)/'Team Stats'!$F$2:$F$366)*100</f>
        <v>55.169340463458106</v>
      </c>
      <c r="C113" s="146">
        <f>_xlfn.XLOOKUP(A113,'Team Stats'!$B$2:$B$366,'Team Stats'!$T$2:$T$366)/( _xlfn.XLOOKUP(A113,'Team Stats'!$B$2:$B$366,'Team Stats'!$T$2:$T$366)+_xlfn.XLOOKUP(A113,'Team Stats'!$B$2:$B$366,'Team Stats'!$F$2:$F$366)+0.44*_xlfn.XLOOKUP(A113,'Team Stats'!$B$2:$B$366,'Team Stats'!$L$2:$L$366)+_xlfn.XLOOKUP(A113,'Team Stats'!$B$2:$B$366,'Team Stats'!$Q$2:$Q$366))*100</f>
        <v>13.682985692122049</v>
      </c>
      <c r="D113" s="146">
        <f>_xlfn.XLOOKUP(A113,'Team Stats'!$B$2:$B$366,'Team Stats'!$N$2:$N$366)/(_xlfn.XLOOKUP(A113,'Team Stats'!$B$2:$B$366,'Team Stats'!$N$2:$N$366)+_xlfn.XLOOKUP(A113,'Opponents stats vs'!$B$2:$B$366,'Opponents stats vs'!$O$2:$O$366))*100</f>
        <v>32.515337423312879</v>
      </c>
      <c r="E113" s="146">
        <f>_xlfn.XLOOKUP(A113,'Team Stats'!$B$2:$B$366,'Team Stats'!$K$2:$K$366)/_xlfn.XLOOKUP(A113,'Team Stats'!$B$2:$B$366,'Team Stats'!$F$2:$F$366)*100</f>
        <v>28.877005347593581</v>
      </c>
      <c r="F113" s="146">
        <f>_xlfn.XLOOKUP(A113,'Team Stats'!$B$2:$B$366,'Team Stats'!$F$2:$F$366)+0.44*_xlfn.XLOOKUP(A113,'Team Stats'!$B$2:$B$366,'Team Stats'!$L$2:$L$366)+_xlfn.XLOOKUP(A113,'Team Stats'!$B$2:$B$366,'Team Stats'!$T$2:$T$366)-_xlfn.XLOOKUP(A113,'Team Stats'!$B$2:$B$366,'Team Stats'!$N$2:$N$366)</f>
        <v>67.616000000000014</v>
      </c>
      <c r="G113">
        <f>_xlfn.XLOOKUP(A113,'Team Stats'!$B$2:$B$366,'Team Stats'!$D$2:$D$366)/F113</f>
        <v>1.1565309985802175</v>
      </c>
      <c r="H113">
        <f>_xlfn.XLOOKUP(A113,'Team Stats'!$B$2:$B$366,'Team Stats'!$D$2:$D$366)</f>
        <v>78.2</v>
      </c>
    </row>
    <row r="114" spans="1:8" ht="15" customHeight="1" x14ac:dyDescent="0.25">
      <c r="A114" t="s">
        <v>459</v>
      </c>
      <c r="B114" s="146">
        <f t="array" ref="B114">_xlfn.XLOOKUP(A114,'Team Stats'!$B$2:$B$366,('Team Stats'!$E$2:$E$366+'Team Stats'!$H$2:$H$366/2)/'Team Stats'!$F$2:$F$366)*100</f>
        <v>52.483443708609265</v>
      </c>
      <c r="C114" s="146">
        <f>_xlfn.XLOOKUP(A114,'Team Stats'!$B$2:$B$366,'Team Stats'!$T$2:$T$366)/( _xlfn.XLOOKUP(A114,'Team Stats'!$B$2:$B$366,'Team Stats'!$T$2:$T$366)+_xlfn.XLOOKUP(A114,'Team Stats'!$B$2:$B$366,'Team Stats'!$F$2:$F$366)+0.44*_xlfn.XLOOKUP(A114,'Team Stats'!$B$2:$B$366,'Team Stats'!$L$2:$L$366)+_xlfn.XLOOKUP(A114,'Team Stats'!$B$2:$B$366,'Team Stats'!$Q$2:$Q$366))*100</f>
        <v>11.044560553927191</v>
      </c>
      <c r="D114" s="146">
        <f>_xlfn.XLOOKUP(A114,'Team Stats'!$B$2:$B$366,'Team Stats'!$N$2:$N$366)/(_xlfn.XLOOKUP(A114,'Team Stats'!$B$2:$B$366,'Team Stats'!$N$2:$N$366)+_xlfn.XLOOKUP(A114,'Opponents stats vs'!$B$2:$B$366,'Opponents stats vs'!$O$2:$O$366))*100</f>
        <v>30.994152046783626</v>
      </c>
      <c r="E114" s="146">
        <f>_xlfn.XLOOKUP(A114,'Team Stats'!$B$2:$B$366,'Team Stats'!$K$2:$K$366)/_xlfn.XLOOKUP(A114,'Team Stats'!$B$2:$B$366,'Team Stats'!$F$2:$F$366)*100</f>
        <v>25.165562913907287</v>
      </c>
      <c r="F114" s="146">
        <f>_xlfn.XLOOKUP(A114,'Team Stats'!$B$2:$B$366,'Team Stats'!$F$2:$F$366)+0.44*_xlfn.XLOOKUP(A114,'Team Stats'!$B$2:$B$366,'Team Stats'!$L$2:$L$366)+_xlfn.XLOOKUP(A114,'Team Stats'!$B$2:$B$366,'Team Stats'!$T$2:$T$366)-_xlfn.XLOOKUP(A114,'Team Stats'!$B$2:$B$366,'Team Stats'!$N$2:$N$366)</f>
        <v>69.26400000000001</v>
      </c>
      <c r="G114">
        <f>_xlfn.XLOOKUP(A114,'Team Stats'!$B$2:$B$366,'Team Stats'!$D$2:$D$366)/F114</f>
        <v>1.1362323862323862</v>
      </c>
      <c r="H114">
        <f>_xlfn.XLOOKUP(A114,'Team Stats'!$B$2:$B$366,'Team Stats'!$D$2:$D$366)</f>
        <v>78.7</v>
      </c>
    </row>
    <row r="115" spans="1:8" ht="15" customHeight="1" x14ac:dyDescent="0.25">
      <c r="A115" t="s">
        <v>474</v>
      </c>
      <c r="B115" s="146">
        <f t="array" ref="B115">_xlfn.XLOOKUP(A115,'Team Stats'!$B$2:$B$366,('Team Stats'!$E$2:$E$366+'Team Stats'!$H$2:$H$366/2)/'Team Stats'!$F$2:$F$366)*100</f>
        <v>53.104026845637584</v>
      </c>
      <c r="C115" s="146">
        <f>_xlfn.XLOOKUP(A115,'Team Stats'!$B$2:$B$366,'Team Stats'!$T$2:$T$366)/( _xlfn.XLOOKUP(A115,'Team Stats'!$B$2:$B$366,'Team Stats'!$T$2:$T$366)+_xlfn.XLOOKUP(A115,'Team Stats'!$B$2:$B$366,'Team Stats'!$F$2:$F$366)+0.44*_xlfn.XLOOKUP(A115,'Team Stats'!$B$2:$B$366,'Team Stats'!$L$2:$L$366)+_xlfn.XLOOKUP(A115,'Team Stats'!$B$2:$B$366,'Team Stats'!$Q$2:$Q$366))*100</f>
        <v>10.33458209533652</v>
      </c>
      <c r="D115" s="146">
        <f>_xlfn.XLOOKUP(A115,'Team Stats'!$B$2:$B$366,'Team Stats'!$N$2:$N$366)/(_xlfn.XLOOKUP(A115,'Team Stats'!$B$2:$B$366,'Team Stats'!$N$2:$N$366)+_xlfn.XLOOKUP(A115,'Opponents stats vs'!$B$2:$B$366,'Opponents stats vs'!$O$2:$O$366))*100</f>
        <v>31.444759206798867</v>
      </c>
      <c r="E115" s="146">
        <f>_xlfn.XLOOKUP(A115,'Team Stats'!$B$2:$B$366,'Team Stats'!$K$2:$K$366)/_xlfn.XLOOKUP(A115,'Team Stats'!$B$2:$B$366,'Team Stats'!$F$2:$F$366)*100</f>
        <v>26.174496644295303</v>
      </c>
      <c r="F115" s="146">
        <f>_xlfn.XLOOKUP(A115,'Team Stats'!$B$2:$B$366,'Team Stats'!$F$2:$F$366)+0.44*_xlfn.XLOOKUP(A115,'Team Stats'!$B$2:$B$366,'Team Stats'!$L$2:$L$366)+_xlfn.XLOOKUP(A115,'Team Stats'!$B$2:$B$366,'Team Stats'!$T$2:$T$366)-_xlfn.XLOOKUP(A115,'Team Stats'!$B$2:$B$366,'Team Stats'!$N$2:$N$366)</f>
        <v>67.692000000000007</v>
      </c>
      <c r="G115">
        <f>_xlfn.XLOOKUP(A115,'Team Stats'!$B$2:$B$366,'Team Stats'!$D$2:$D$366)/F115</f>
        <v>1.167050759321633</v>
      </c>
      <c r="H115">
        <f>_xlfn.XLOOKUP(A115,'Team Stats'!$B$2:$B$366,'Team Stats'!$D$2:$D$366)</f>
        <v>79</v>
      </c>
    </row>
    <row r="116" spans="1:8" ht="15" customHeight="1" x14ac:dyDescent="0.25">
      <c r="A116" t="s">
        <v>300</v>
      </c>
      <c r="B116" s="146">
        <f t="array" ref="B116">_xlfn.XLOOKUP(A116,'Team Stats'!$B$2:$B$366,('Team Stats'!$E$2:$E$366+'Team Stats'!$H$2:$H$366/2)/'Team Stats'!$F$2:$F$366)*100</f>
        <v>50.080645161290327</v>
      </c>
      <c r="C116" s="146">
        <f>_xlfn.XLOOKUP(A116,'Team Stats'!$B$2:$B$366,'Team Stats'!$T$2:$T$366)/( _xlfn.XLOOKUP(A116,'Team Stats'!$B$2:$B$366,'Team Stats'!$T$2:$T$366)+_xlfn.XLOOKUP(A116,'Team Stats'!$B$2:$B$366,'Team Stats'!$F$2:$F$366)+0.44*_xlfn.XLOOKUP(A116,'Team Stats'!$B$2:$B$366,'Team Stats'!$L$2:$L$366)+_xlfn.XLOOKUP(A116,'Team Stats'!$B$2:$B$366,'Team Stats'!$Q$2:$Q$366))*100</f>
        <v>13.48381941669996</v>
      </c>
      <c r="D116" s="146">
        <f>_xlfn.XLOOKUP(A116,'Team Stats'!$B$2:$B$366,'Team Stats'!$N$2:$N$366)/(_xlfn.XLOOKUP(A116,'Team Stats'!$B$2:$B$366,'Team Stats'!$N$2:$N$366)+_xlfn.XLOOKUP(A116,'Opponents stats vs'!$B$2:$B$366,'Opponents stats vs'!$O$2:$O$366))*100</f>
        <v>33.952254641909811</v>
      </c>
      <c r="E116" s="146">
        <f>_xlfn.XLOOKUP(A116,'Team Stats'!$B$2:$B$366,'Team Stats'!$K$2:$K$366)/_xlfn.XLOOKUP(A116,'Team Stats'!$B$2:$B$366,'Team Stats'!$F$2:$F$366)*100</f>
        <v>25.161290322580644</v>
      </c>
      <c r="F116" s="146">
        <f>_xlfn.XLOOKUP(A116,'Team Stats'!$B$2:$B$366,'Team Stats'!$F$2:$F$366)+0.44*_xlfn.XLOOKUP(A116,'Team Stats'!$B$2:$B$366,'Team Stats'!$L$2:$L$366)+_xlfn.XLOOKUP(A116,'Team Stats'!$B$2:$B$366,'Team Stats'!$T$2:$T$366)-_xlfn.XLOOKUP(A116,'Team Stats'!$B$2:$B$366,'Team Stats'!$N$2:$N$366)</f>
        <v>72.820000000000007</v>
      </c>
      <c r="G116">
        <f>_xlfn.XLOOKUP(A116,'Team Stats'!$B$2:$B$366,'Team Stats'!$D$2:$D$366)/F116</f>
        <v>1.0683878055479263</v>
      </c>
      <c r="H116">
        <f>_xlfn.XLOOKUP(A116,'Team Stats'!$B$2:$B$366,'Team Stats'!$D$2:$D$366)</f>
        <v>77.8</v>
      </c>
    </row>
    <row r="117" spans="1:8" ht="15" customHeight="1" x14ac:dyDescent="0.25">
      <c r="A117" t="s">
        <v>214</v>
      </c>
      <c r="B117" s="146">
        <f t="array" ref="B117">_xlfn.XLOOKUP(A117,'Team Stats'!$B$2:$B$366,('Team Stats'!$E$2:$E$366+'Team Stats'!$H$2:$H$366/2)/'Team Stats'!$F$2:$F$366)*100</f>
        <v>51.969178082191782</v>
      </c>
      <c r="C117" s="146">
        <f>_xlfn.XLOOKUP(A117,'Team Stats'!$B$2:$B$366,'Team Stats'!$T$2:$T$366)/( _xlfn.XLOOKUP(A117,'Team Stats'!$B$2:$B$366,'Team Stats'!$T$2:$T$366)+_xlfn.XLOOKUP(A117,'Team Stats'!$B$2:$B$366,'Team Stats'!$F$2:$F$366)+0.44*_xlfn.XLOOKUP(A117,'Team Stats'!$B$2:$B$366,'Team Stats'!$L$2:$L$366)+_xlfn.XLOOKUP(A117,'Team Stats'!$B$2:$B$366,'Team Stats'!$Q$2:$Q$366))*100</f>
        <v>11.261749036254169</v>
      </c>
      <c r="D117" s="146">
        <f>_xlfn.XLOOKUP(A117,'Team Stats'!$B$2:$B$366,'Team Stats'!$N$2:$N$366)/(_xlfn.XLOOKUP(A117,'Team Stats'!$B$2:$B$366,'Team Stats'!$N$2:$N$366)+_xlfn.XLOOKUP(A117,'Opponents stats vs'!$B$2:$B$366,'Opponents stats vs'!$O$2:$O$366))*100</f>
        <v>26.086956521739129</v>
      </c>
      <c r="E117" s="146">
        <f>_xlfn.XLOOKUP(A117,'Team Stats'!$B$2:$B$366,'Team Stats'!$K$2:$K$366)/_xlfn.XLOOKUP(A117,'Team Stats'!$B$2:$B$366,'Team Stats'!$F$2:$F$366)*100</f>
        <v>28.93835616438356</v>
      </c>
      <c r="F117" s="146">
        <f>_xlfn.XLOOKUP(A117,'Team Stats'!$B$2:$B$366,'Team Stats'!$F$2:$F$366)+0.44*_xlfn.XLOOKUP(A117,'Team Stats'!$B$2:$B$366,'Team Stats'!$L$2:$L$366)+_xlfn.XLOOKUP(A117,'Team Stats'!$B$2:$B$366,'Team Stats'!$T$2:$T$366)-_xlfn.XLOOKUP(A117,'Team Stats'!$B$2:$B$366,'Team Stats'!$N$2:$N$366)</f>
        <v>69.347999999999999</v>
      </c>
      <c r="G117">
        <f>_xlfn.XLOOKUP(A117,'Team Stats'!$B$2:$B$366,'Team Stats'!$D$2:$D$366)/F117</f>
        <v>1.1204360616023534</v>
      </c>
      <c r="H117">
        <f>_xlfn.XLOOKUP(A117,'Team Stats'!$B$2:$B$366,'Team Stats'!$D$2:$D$366)</f>
        <v>77.7</v>
      </c>
    </row>
    <row r="118" spans="1:8" ht="15" customHeight="1" x14ac:dyDescent="0.25">
      <c r="A118" t="s">
        <v>25</v>
      </c>
      <c r="B118" s="146">
        <f t="array" ref="B118">_xlfn.XLOOKUP(A118,'Team Stats'!$B$2:$B$366,('Team Stats'!$E$2:$E$366+'Team Stats'!$H$2:$H$366/2)/'Team Stats'!$F$2:$F$366)*100</f>
        <v>61.595547309833023</v>
      </c>
      <c r="C118" s="146">
        <f>_xlfn.XLOOKUP(A118,'Team Stats'!$B$2:$B$366,'Team Stats'!$T$2:$T$366)/( _xlfn.XLOOKUP(A118,'Team Stats'!$B$2:$B$366,'Team Stats'!$T$2:$T$366)+_xlfn.XLOOKUP(A118,'Team Stats'!$B$2:$B$366,'Team Stats'!$F$2:$F$366)+0.44*_xlfn.XLOOKUP(A118,'Team Stats'!$B$2:$B$366,'Team Stats'!$L$2:$L$366)+_xlfn.XLOOKUP(A118,'Team Stats'!$B$2:$B$366,'Team Stats'!$Q$2:$Q$366))*100</f>
        <v>10.163530056641697</v>
      </c>
      <c r="D118" s="146">
        <f>_xlfn.XLOOKUP(A118,'Team Stats'!$B$2:$B$366,'Team Stats'!$N$2:$N$366)/(_xlfn.XLOOKUP(A118,'Team Stats'!$B$2:$B$366,'Team Stats'!$N$2:$N$366)+_xlfn.XLOOKUP(A118,'Opponents stats vs'!$B$2:$B$366,'Opponents stats vs'!$O$2:$O$366))*100</f>
        <v>19.23076923076923</v>
      </c>
      <c r="E118" s="146">
        <f>_xlfn.XLOOKUP(A118,'Team Stats'!$B$2:$B$366,'Team Stats'!$K$2:$K$366)/_xlfn.XLOOKUP(A118,'Team Stats'!$B$2:$B$366,'Team Stats'!$F$2:$F$366)*100</f>
        <v>22.448979591836736</v>
      </c>
      <c r="F118" s="146">
        <f>_xlfn.XLOOKUP(A118,'Team Stats'!$B$2:$B$366,'Team Stats'!$F$2:$F$366)+0.44*_xlfn.XLOOKUP(A118,'Team Stats'!$B$2:$B$366,'Team Stats'!$L$2:$L$366)+_xlfn.XLOOKUP(A118,'Team Stats'!$B$2:$B$366,'Team Stats'!$T$2:$T$366)-_xlfn.XLOOKUP(A118,'Team Stats'!$B$2:$B$366,'Team Stats'!$N$2:$N$366)</f>
        <v>64.867999999999995</v>
      </c>
      <c r="G118">
        <f>_xlfn.XLOOKUP(A118,'Team Stats'!$B$2:$B$366,'Team Stats'!$D$2:$D$366)/F118</f>
        <v>1.208608250601221</v>
      </c>
      <c r="H118">
        <f>_xlfn.XLOOKUP(A118,'Team Stats'!$B$2:$B$366,'Team Stats'!$D$2:$D$366)</f>
        <v>78.400000000000006</v>
      </c>
    </row>
    <row r="119" spans="1:8" ht="15" customHeight="1" x14ac:dyDescent="0.25">
      <c r="A119" t="s">
        <v>391</v>
      </c>
      <c r="B119" s="146">
        <f t="array" ref="B119">_xlfn.XLOOKUP(A119,'Team Stats'!$B$2:$B$366,('Team Stats'!$E$2:$E$366+'Team Stats'!$H$2:$H$366/2)/'Team Stats'!$F$2:$F$366)*100</f>
        <v>48.768472906403943</v>
      </c>
      <c r="C119" s="146">
        <f>_xlfn.XLOOKUP(A119,'Team Stats'!$B$2:$B$366,'Team Stats'!$T$2:$T$366)/( _xlfn.XLOOKUP(A119,'Team Stats'!$B$2:$B$366,'Team Stats'!$T$2:$T$366)+_xlfn.XLOOKUP(A119,'Team Stats'!$B$2:$B$366,'Team Stats'!$F$2:$F$366)+0.44*_xlfn.XLOOKUP(A119,'Team Stats'!$B$2:$B$366,'Team Stats'!$L$2:$L$366)+_xlfn.XLOOKUP(A119,'Team Stats'!$B$2:$B$366,'Team Stats'!$Q$2:$Q$366))*100</f>
        <v>10.98832098455356</v>
      </c>
      <c r="D119" s="146">
        <f>_xlfn.XLOOKUP(A119,'Team Stats'!$B$2:$B$366,'Team Stats'!$N$2:$N$366)/(_xlfn.XLOOKUP(A119,'Team Stats'!$B$2:$B$366,'Team Stats'!$N$2:$N$366)+_xlfn.XLOOKUP(A119,'Opponents stats vs'!$B$2:$B$366,'Opponents stats vs'!$O$2:$O$366))*100</f>
        <v>25.797872340425531</v>
      </c>
      <c r="E119" s="146">
        <f>_xlfn.XLOOKUP(A119,'Team Stats'!$B$2:$B$366,'Team Stats'!$K$2:$K$366)/_xlfn.XLOOKUP(A119,'Team Stats'!$B$2:$B$366,'Team Stats'!$F$2:$F$366)*100</f>
        <v>31.855500821018062</v>
      </c>
      <c r="F119" s="146">
        <f>_xlfn.XLOOKUP(A119,'Team Stats'!$B$2:$B$366,'Team Stats'!$F$2:$F$366)+0.44*_xlfn.XLOOKUP(A119,'Team Stats'!$B$2:$B$366,'Team Stats'!$L$2:$L$366)+_xlfn.XLOOKUP(A119,'Team Stats'!$B$2:$B$366,'Team Stats'!$T$2:$T$366)-_xlfn.XLOOKUP(A119,'Team Stats'!$B$2:$B$366,'Team Stats'!$N$2:$N$366)</f>
        <v>72.655999999999992</v>
      </c>
      <c r="G119">
        <f>_xlfn.XLOOKUP(A119,'Team Stats'!$B$2:$B$366,'Team Stats'!$D$2:$D$366)/F119</f>
        <v>1.084562871614182</v>
      </c>
      <c r="H119">
        <f>_xlfn.XLOOKUP(A119,'Team Stats'!$B$2:$B$366,'Team Stats'!$D$2:$D$366)</f>
        <v>78.8</v>
      </c>
    </row>
    <row r="120" spans="1:8" ht="15" customHeight="1" x14ac:dyDescent="0.25">
      <c r="A120" t="s">
        <v>92</v>
      </c>
      <c r="B120" s="146">
        <f t="array" ref="B120">_xlfn.XLOOKUP(A120,'Team Stats'!$B$2:$B$366,('Team Stats'!$E$2:$E$366+'Team Stats'!$H$2:$H$366/2)/'Team Stats'!$F$2:$F$366)*100</f>
        <v>50.912106135986733</v>
      </c>
      <c r="C120" s="146">
        <f>_xlfn.XLOOKUP(A120,'Team Stats'!$B$2:$B$366,'Team Stats'!$T$2:$T$366)/( _xlfn.XLOOKUP(A120,'Team Stats'!$B$2:$B$366,'Team Stats'!$T$2:$T$366)+_xlfn.XLOOKUP(A120,'Team Stats'!$B$2:$B$366,'Team Stats'!$F$2:$F$366)+0.44*_xlfn.XLOOKUP(A120,'Team Stats'!$B$2:$B$366,'Team Stats'!$L$2:$L$366)+_xlfn.XLOOKUP(A120,'Team Stats'!$B$2:$B$366,'Team Stats'!$Q$2:$Q$366))*100</f>
        <v>11.398176291793314</v>
      </c>
      <c r="D120" s="146">
        <f>_xlfn.XLOOKUP(A120,'Team Stats'!$B$2:$B$366,'Team Stats'!$N$2:$N$366)/(_xlfn.XLOOKUP(A120,'Team Stats'!$B$2:$B$366,'Team Stats'!$N$2:$N$366)+_xlfn.XLOOKUP(A120,'Opponents stats vs'!$B$2:$B$366,'Opponents stats vs'!$O$2:$O$366))*100</f>
        <v>34.357541899441344</v>
      </c>
      <c r="E120" s="146">
        <f>_xlfn.XLOOKUP(A120,'Team Stats'!$B$2:$B$366,'Team Stats'!$K$2:$K$366)/_xlfn.XLOOKUP(A120,'Team Stats'!$B$2:$B$366,'Team Stats'!$F$2:$F$366)*100</f>
        <v>27.694859038142621</v>
      </c>
      <c r="F120" s="146">
        <f>_xlfn.XLOOKUP(A120,'Team Stats'!$B$2:$B$366,'Team Stats'!$F$2:$F$366)+0.44*_xlfn.XLOOKUP(A120,'Team Stats'!$B$2:$B$366,'Team Stats'!$L$2:$L$366)+_xlfn.XLOOKUP(A120,'Team Stats'!$B$2:$B$366,'Team Stats'!$T$2:$T$366)-_xlfn.XLOOKUP(A120,'Team Stats'!$B$2:$B$366,'Team Stats'!$N$2:$N$366)</f>
        <v>69.483999999999995</v>
      </c>
      <c r="G120">
        <f>_xlfn.XLOOKUP(A120,'Team Stats'!$B$2:$B$366,'Team Stats'!$D$2:$D$366)/F120</f>
        <v>1.1239997697311612</v>
      </c>
      <c r="H120">
        <f>_xlfn.XLOOKUP(A120,'Team Stats'!$B$2:$B$366,'Team Stats'!$D$2:$D$366)</f>
        <v>78.099999999999994</v>
      </c>
    </row>
    <row r="121" spans="1:8" ht="15" customHeight="1" x14ac:dyDescent="0.25">
      <c r="A121" t="s">
        <v>258</v>
      </c>
      <c r="B121" s="146">
        <f t="array" ref="B121">_xlfn.XLOOKUP(A121,'Team Stats'!$B$2:$B$366,('Team Stats'!$E$2:$E$366+'Team Stats'!$H$2:$H$366/2)/'Team Stats'!$F$2:$F$366)*100</f>
        <v>51.842948717948723</v>
      </c>
      <c r="C121" s="146">
        <f>_xlfn.XLOOKUP(A121,'Team Stats'!$B$2:$B$366,'Team Stats'!$T$2:$T$366)/( _xlfn.XLOOKUP(A121,'Team Stats'!$B$2:$B$366,'Team Stats'!$T$2:$T$366)+_xlfn.XLOOKUP(A121,'Team Stats'!$B$2:$B$366,'Team Stats'!$F$2:$F$366)+0.44*_xlfn.XLOOKUP(A121,'Team Stats'!$B$2:$B$366,'Team Stats'!$L$2:$L$366)+_xlfn.XLOOKUP(A121,'Team Stats'!$B$2:$B$366,'Team Stats'!$Q$2:$Q$366))*100</f>
        <v>11.416472932580538</v>
      </c>
      <c r="D121" s="146">
        <f>_xlfn.XLOOKUP(A121,'Team Stats'!$B$2:$B$366,'Team Stats'!$N$2:$N$366)/(_xlfn.XLOOKUP(A121,'Team Stats'!$B$2:$B$366,'Team Stats'!$N$2:$N$366)+_xlfn.XLOOKUP(A121,'Opponents stats vs'!$B$2:$B$366,'Opponents stats vs'!$O$2:$O$366))*100</f>
        <v>32.513661202185787</v>
      </c>
      <c r="E121" s="146">
        <f>_xlfn.XLOOKUP(A121,'Team Stats'!$B$2:$B$366,'Team Stats'!$K$2:$K$366)/_xlfn.XLOOKUP(A121,'Team Stats'!$B$2:$B$366,'Team Stats'!$F$2:$F$366)*100</f>
        <v>20.993589743589745</v>
      </c>
      <c r="F121" s="146">
        <f>_xlfn.XLOOKUP(A121,'Team Stats'!$B$2:$B$366,'Team Stats'!$F$2:$F$366)+0.44*_xlfn.XLOOKUP(A121,'Team Stats'!$B$2:$B$366,'Team Stats'!$L$2:$L$366)+_xlfn.XLOOKUP(A121,'Team Stats'!$B$2:$B$366,'Team Stats'!$T$2:$T$366)-_xlfn.XLOOKUP(A121,'Team Stats'!$B$2:$B$366,'Team Stats'!$N$2:$N$366)</f>
        <v>69.551999999999992</v>
      </c>
      <c r="G121">
        <f>_xlfn.XLOOKUP(A121,'Team Stats'!$B$2:$B$366,'Team Stats'!$D$2:$D$366)/F121</f>
        <v>1.1185875316310099</v>
      </c>
      <c r="H121">
        <f>_xlfn.XLOOKUP(A121,'Team Stats'!$B$2:$B$366,'Team Stats'!$D$2:$D$366)</f>
        <v>77.8</v>
      </c>
    </row>
    <row r="122" spans="1:8" ht="15" customHeight="1" x14ac:dyDescent="0.25">
      <c r="A122" t="s">
        <v>99</v>
      </c>
      <c r="B122" s="146">
        <f t="array" ref="B122">_xlfn.XLOOKUP(A122,'Team Stats'!$B$2:$B$366,('Team Stats'!$E$2:$E$366+'Team Stats'!$H$2:$H$366/2)/'Team Stats'!$F$2:$F$366)*100</f>
        <v>53.780068728522338</v>
      </c>
      <c r="C122" s="146">
        <f>_xlfn.XLOOKUP(A122,'Team Stats'!$B$2:$B$366,'Team Stats'!$T$2:$T$366)/( _xlfn.XLOOKUP(A122,'Team Stats'!$B$2:$B$366,'Team Stats'!$T$2:$T$366)+_xlfn.XLOOKUP(A122,'Team Stats'!$B$2:$B$366,'Team Stats'!$F$2:$F$366)+0.44*_xlfn.XLOOKUP(A122,'Team Stats'!$B$2:$B$366,'Team Stats'!$L$2:$L$366)+_xlfn.XLOOKUP(A122,'Team Stats'!$B$2:$B$366,'Team Stats'!$Q$2:$Q$366))*100</f>
        <v>11.89402017882044</v>
      </c>
      <c r="D122" s="146">
        <f>_xlfn.XLOOKUP(A122,'Team Stats'!$B$2:$B$366,'Team Stats'!$N$2:$N$366)/(_xlfn.XLOOKUP(A122,'Team Stats'!$B$2:$B$366,'Team Stats'!$N$2:$N$366)+_xlfn.XLOOKUP(A122,'Opponents stats vs'!$B$2:$B$366,'Opponents stats vs'!$O$2:$O$366))*100</f>
        <v>38.719512195121951</v>
      </c>
      <c r="E122" s="146">
        <f>_xlfn.XLOOKUP(A122,'Team Stats'!$B$2:$B$366,'Team Stats'!$K$2:$K$366)/_xlfn.XLOOKUP(A122,'Team Stats'!$B$2:$B$366,'Team Stats'!$F$2:$F$366)*100</f>
        <v>27.663230240549829</v>
      </c>
      <c r="F122" s="146">
        <f>_xlfn.XLOOKUP(A122,'Team Stats'!$B$2:$B$366,'Team Stats'!$F$2:$F$366)+0.44*_xlfn.XLOOKUP(A122,'Team Stats'!$B$2:$B$366,'Team Stats'!$L$2:$L$366)+_xlfn.XLOOKUP(A122,'Team Stats'!$B$2:$B$366,'Team Stats'!$T$2:$T$366)-_xlfn.XLOOKUP(A122,'Team Stats'!$B$2:$B$366,'Team Stats'!$N$2:$N$366)</f>
        <v>66.427999999999997</v>
      </c>
      <c r="G122">
        <f>_xlfn.XLOOKUP(A122,'Team Stats'!$B$2:$B$366,'Team Stats'!$D$2:$D$366)/F122</f>
        <v>1.1847413741193473</v>
      </c>
      <c r="H122">
        <f>_xlfn.XLOOKUP(A122,'Team Stats'!$B$2:$B$366,'Team Stats'!$D$2:$D$366)</f>
        <v>78.7</v>
      </c>
    </row>
    <row r="123" spans="1:8" ht="15" customHeight="1" x14ac:dyDescent="0.25">
      <c r="A123" t="s">
        <v>190</v>
      </c>
      <c r="B123" s="146">
        <f t="array" ref="B123">_xlfn.XLOOKUP(A123,'Team Stats'!$B$2:$B$366,('Team Stats'!$E$2:$E$366+'Team Stats'!$H$2:$H$366/2)/'Team Stats'!$F$2:$F$366)*100</f>
        <v>51.020408163265309</v>
      </c>
      <c r="C123" s="146">
        <f>_xlfn.XLOOKUP(A123,'Team Stats'!$B$2:$B$366,'Team Stats'!$T$2:$T$366)/( _xlfn.XLOOKUP(A123,'Team Stats'!$B$2:$B$366,'Team Stats'!$T$2:$T$366)+_xlfn.XLOOKUP(A123,'Team Stats'!$B$2:$B$366,'Team Stats'!$F$2:$F$366)+0.44*_xlfn.XLOOKUP(A123,'Team Stats'!$B$2:$B$366,'Team Stats'!$L$2:$L$366)+_xlfn.XLOOKUP(A123,'Team Stats'!$B$2:$B$366,'Team Stats'!$Q$2:$Q$366))*100</f>
        <v>11.870442597931152</v>
      </c>
      <c r="D123" s="146">
        <f>_xlfn.XLOOKUP(A123,'Team Stats'!$B$2:$B$366,'Team Stats'!$N$2:$N$366)/(_xlfn.XLOOKUP(A123,'Team Stats'!$B$2:$B$366,'Team Stats'!$N$2:$N$366)+_xlfn.XLOOKUP(A123,'Opponents stats vs'!$B$2:$B$366,'Opponents stats vs'!$O$2:$O$366))*100</f>
        <v>30.172413793103452</v>
      </c>
      <c r="E123" s="146">
        <f>_xlfn.XLOOKUP(A123,'Team Stats'!$B$2:$B$366,'Team Stats'!$K$2:$K$366)/_xlfn.XLOOKUP(A123,'Team Stats'!$B$2:$B$366,'Team Stats'!$F$2:$F$366)*100</f>
        <v>29.761904761904763</v>
      </c>
      <c r="F123" s="146">
        <f>_xlfn.XLOOKUP(A123,'Team Stats'!$B$2:$B$366,'Team Stats'!$F$2:$F$366)+0.44*_xlfn.XLOOKUP(A123,'Team Stats'!$B$2:$B$366,'Team Stats'!$L$2:$L$366)+_xlfn.XLOOKUP(A123,'Team Stats'!$B$2:$B$366,'Team Stats'!$T$2:$T$366)-_xlfn.XLOOKUP(A123,'Team Stats'!$B$2:$B$366,'Team Stats'!$N$2:$N$366)</f>
        <v>69.751999999999995</v>
      </c>
      <c r="G123">
        <f>_xlfn.XLOOKUP(A123,'Team Stats'!$B$2:$B$366,'Team Stats'!$D$2:$D$366)/F123</f>
        <v>1.112512902855832</v>
      </c>
      <c r="H123">
        <f>_xlfn.XLOOKUP(A123,'Team Stats'!$B$2:$B$366,'Team Stats'!$D$2:$D$366)</f>
        <v>77.599999999999994</v>
      </c>
    </row>
    <row r="124" spans="1:8" ht="15" customHeight="1" x14ac:dyDescent="0.25">
      <c r="A124" t="s">
        <v>445</v>
      </c>
      <c r="B124" s="146">
        <f t="array" ref="B124">_xlfn.XLOOKUP(A124,'Team Stats'!$B$2:$B$366,('Team Stats'!$E$2:$E$366+'Team Stats'!$H$2:$H$366/2)/'Team Stats'!$F$2:$F$366)*100</f>
        <v>52.90598290598291</v>
      </c>
      <c r="C124" s="146">
        <f>_xlfn.XLOOKUP(A124,'Team Stats'!$B$2:$B$366,'Team Stats'!$T$2:$T$366)/( _xlfn.XLOOKUP(A124,'Team Stats'!$B$2:$B$366,'Team Stats'!$T$2:$T$366)+_xlfn.XLOOKUP(A124,'Team Stats'!$B$2:$B$366,'Team Stats'!$F$2:$F$366)+0.44*_xlfn.XLOOKUP(A124,'Team Stats'!$B$2:$B$366,'Team Stats'!$L$2:$L$366)+_xlfn.XLOOKUP(A124,'Team Stats'!$B$2:$B$366,'Team Stats'!$Q$2:$Q$366))*100</f>
        <v>11.079730610471431</v>
      </c>
      <c r="D124" s="146">
        <f>_xlfn.XLOOKUP(A124,'Team Stats'!$B$2:$B$366,'Team Stats'!$N$2:$N$366)/(_xlfn.XLOOKUP(A124,'Team Stats'!$B$2:$B$366,'Team Stats'!$N$2:$N$366)+_xlfn.XLOOKUP(A124,'Opponents stats vs'!$B$2:$B$366,'Opponents stats vs'!$O$2:$O$366))*100</f>
        <v>28.169014084507044</v>
      </c>
      <c r="E124" s="146">
        <f>_xlfn.XLOOKUP(A124,'Team Stats'!$B$2:$B$366,'Team Stats'!$K$2:$K$366)/_xlfn.XLOOKUP(A124,'Team Stats'!$B$2:$B$366,'Team Stats'!$F$2:$F$366)*100</f>
        <v>28.888888888888886</v>
      </c>
      <c r="F124" s="146">
        <f>_xlfn.XLOOKUP(A124,'Team Stats'!$B$2:$B$366,'Team Stats'!$F$2:$F$366)+0.44*_xlfn.XLOOKUP(A124,'Team Stats'!$B$2:$B$366,'Team Stats'!$L$2:$L$366)+_xlfn.XLOOKUP(A124,'Team Stats'!$B$2:$B$366,'Team Stats'!$T$2:$T$366)-_xlfn.XLOOKUP(A124,'Team Stats'!$B$2:$B$366,'Team Stats'!$N$2:$N$366)</f>
        <v>69.260000000000005</v>
      </c>
      <c r="G124">
        <f>_xlfn.XLOOKUP(A124,'Team Stats'!$B$2:$B$366,'Team Stats'!$D$2:$D$366)/F124</f>
        <v>1.136298007507941</v>
      </c>
      <c r="H124">
        <f>_xlfn.XLOOKUP(A124,'Team Stats'!$B$2:$B$366,'Team Stats'!$D$2:$D$366)</f>
        <v>78.7</v>
      </c>
    </row>
    <row r="125" spans="1:8" ht="15" customHeight="1" x14ac:dyDescent="0.25">
      <c r="A125" t="s">
        <v>207</v>
      </c>
      <c r="B125" s="146">
        <f t="array" ref="B125">_xlfn.XLOOKUP(A125,'Team Stats'!$B$2:$B$366,('Team Stats'!$E$2:$E$366+'Team Stats'!$H$2:$H$366/2)/'Team Stats'!$F$2:$F$366)*100</f>
        <v>55.77617328519856</v>
      </c>
      <c r="C125" s="146">
        <f>_xlfn.XLOOKUP(A125,'Team Stats'!$B$2:$B$366,'Team Stats'!$T$2:$T$366)/( _xlfn.XLOOKUP(A125,'Team Stats'!$B$2:$B$366,'Team Stats'!$T$2:$T$366)+_xlfn.XLOOKUP(A125,'Team Stats'!$B$2:$B$366,'Team Stats'!$F$2:$F$366)+0.44*_xlfn.XLOOKUP(A125,'Team Stats'!$B$2:$B$366,'Team Stats'!$L$2:$L$366)+_xlfn.XLOOKUP(A125,'Team Stats'!$B$2:$B$366,'Team Stats'!$Q$2:$Q$366))*100</f>
        <v>11.905811799982361</v>
      </c>
      <c r="D125" s="146">
        <f>_xlfn.XLOOKUP(A125,'Team Stats'!$B$2:$B$366,'Team Stats'!$N$2:$N$366)/(_xlfn.XLOOKUP(A125,'Team Stats'!$B$2:$B$366,'Team Stats'!$N$2:$N$366)+_xlfn.XLOOKUP(A125,'Opponents stats vs'!$B$2:$B$366,'Opponents stats vs'!$O$2:$O$366))*100</f>
        <v>27.914110429447852</v>
      </c>
      <c r="E125" s="146">
        <f>_xlfn.XLOOKUP(A125,'Team Stats'!$B$2:$B$366,'Team Stats'!$K$2:$K$366)/_xlfn.XLOOKUP(A125,'Team Stats'!$B$2:$B$366,'Team Stats'!$F$2:$F$366)*100</f>
        <v>29.963898916967512</v>
      </c>
      <c r="F125" s="146">
        <f>_xlfn.XLOOKUP(A125,'Team Stats'!$B$2:$B$366,'Team Stats'!$F$2:$F$366)+0.44*_xlfn.XLOOKUP(A125,'Team Stats'!$B$2:$B$366,'Team Stats'!$L$2:$L$366)+_xlfn.XLOOKUP(A125,'Team Stats'!$B$2:$B$366,'Team Stats'!$T$2:$T$366)-_xlfn.XLOOKUP(A125,'Team Stats'!$B$2:$B$366,'Team Stats'!$N$2:$N$366)</f>
        <v>66.912000000000006</v>
      </c>
      <c r="G125">
        <f>_xlfn.XLOOKUP(A125,'Team Stats'!$B$2:$B$366,'Team Stats'!$D$2:$D$366)/F125</f>
        <v>1.1701936872309897</v>
      </c>
      <c r="H125">
        <f>_xlfn.XLOOKUP(A125,'Team Stats'!$B$2:$B$366,'Team Stats'!$D$2:$D$366)</f>
        <v>78.3</v>
      </c>
    </row>
    <row r="126" spans="1:8" ht="15" customHeight="1" x14ac:dyDescent="0.25">
      <c r="A126" t="s">
        <v>379</v>
      </c>
      <c r="B126" s="146">
        <f t="array" ref="B126">_xlfn.XLOOKUP(A126,'Team Stats'!$B$2:$B$366,('Team Stats'!$E$2:$E$366+'Team Stats'!$H$2:$H$366/2)/'Team Stats'!$F$2:$F$366)*100</f>
        <v>54.500000000000007</v>
      </c>
      <c r="C126" s="146">
        <f>_xlfn.XLOOKUP(A126,'Team Stats'!$B$2:$B$366,'Team Stats'!$T$2:$T$366)/( _xlfn.XLOOKUP(A126,'Team Stats'!$B$2:$B$366,'Team Stats'!$T$2:$T$366)+_xlfn.XLOOKUP(A126,'Team Stats'!$B$2:$B$366,'Team Stats'!$F$2:$F$366)+0.44*_xlfn.XLOOKUP(A126,'Team Stats'!$B$2:$B$366,'Team Stats'!$L$2:$L$366)+_xlfn.XLOOKUP(A126,'Team Stats'!$B$2:$B$366,'Team Stats'!$Q$2:$Q$366))*100</f>
        <v>10.805500982318271</v>
      </c>
      <c r="D126" s="146">
        <f>_xlfn.XLOOKUP(A126,'Team Stats'!$B$2:$B$366,'Team Stats'!$N$2:$N$366)/(_xlfn.XLOOKUP(A126,'Team Stats'!$B$2:$B$366,'Team Stats'!$N$2:$N$366)+_xlfn.XLOOKUP(A126,'Opponents stats vs'!$B$2:$B$366,'Opponents stats vs'!$O$2:$O$366))*100</f>
        <v>23.598820058997049</v>
      </c>
      <c r="E126" s="146">
        <f>_xlfn.XLOOKUP(A126,'Team Stats'!$B$2:$B$366,'Team Stats'!$K$2:$K$366)/_xlfn.XLOOKUP(A126,'Team Stats'!$B$2:$B$366,'Team Stats'!$F$2:$F$366)*100</f>
        <v>21.333333333333336</v>
      </c>
      <c r="F126" s="146">
        <f>_xlfn.XLOOKUP(A126,'Team Stats'!$B$2:$B$366,'Team Stats'!$F$2:$F$366)+0.44*_xlfn.XLOOKUP(A126,'Team Stats'!$B$2:$B$366,'Team Stats'!$L$2:$L$366)+_xlfn.XLOOKUP(A126,'Team Stats'!$B$2:$B$366,'Team Stats'!$T$2:$T$366)-_xlfn.XLOOKUP(A126,'Team Stats'!$B$2:$B$366,'Team Stats'!$N$2:$N$366)</f>
        <v>69.820000000000007</v>
      </c>
      <c r="G126">
        <f>_xlfn.XLOOKUP(A126,'Team Stats'!$B$2:$B$366,'Team Stats'!$D$2:$D$366)/F126</f>
        <v>1.118590661701518</v>
      </c>
      <c r="H126">
        <f>_xlfn.XLOOKUP(A126,'Team Stats'!$B$2:$B$366,'Team Stats'!$D$2:$D$366)</f>
        <v>78.099999999999994</v>
      </c>
    </row>
    <row r="127" spans="1:8" ht="15" customHeight="1" x14ac:dyDescent="0.25">
      <c r="A127" t="s">
        <v>97</v>
      </c>
      <c r="B127" s="146">
        <f t="array" ref="B127">_xlfn.XLOOKUP(A127,'Team Stats'!$B$2:$B$366,('Team Stats'!$E$2:$E$366+'Team Stats'!$H$2:$H$366/2)/'Team Stats'!$F$2:$F$366)*100</f>
        <v>53.287197231833908</v>
      </c>
      <c r="C127" s="146">
        <f>_xlfn.XLOOKUP(A127,'Team Stats'!$B$2:$B$366,'Team Stats'!$T$2:$T$366)/( _xlfn.XLOOKUP(A127,'Team Stats'!$B$2:$B$366,'Team Stats'!$T$2:$T$366)+_xlfn.XLOOKUP(A127,'Team Stats'!$B$2:$B$366,'Team Stats'!$F$2:$F$366)+0.44*_xlfn.XLOOKUP(A127,'Team Stats'!$B$2:$B$366,'Team Stats'!$L$2:$L$366)+_xlfn.XLOOKUP(A127,'Team Stats'!$B$2:$B$366,'Team Stats'!$Q$2:$Q$366))*100</f>
        <v>11.576058995026584</v>
      </c>
      <c r="D127" s="146">
        <f>_xlfn.XLOOKUP(A127,'Team Stats'!$B$2:$B$366,'Team Stats'!$N$2:$N$366)/(_xlfn.XLOOKUP(A127,'Team Stats'!$B$2:$B$366,'Team Stats'!$N$2:$N$366)+_xlfn.XLOOKUP(A127,'Opponents stats vs'!$B$2:$B$366,'Opponents stats vs'!$O$2:$O$366))*100</f>
        <v>37.878787878787875</v>
      </c>
      <c r="E127" s="146">
        <f>_xlfn.XLOOKUP(A127,'Team Stats'!$B$2:$B$366,'Team Stats'!$K$2:$K$366)/_xlfn.XLOOKUP(A127,'Team Stats'!$B$2:$B$366,'Team Stats'!$F$2:$F$366)*100</f>
        <v>29.065743944636679</v>
      </c>
      <c r="F127" s="146">
        <f>_xlfn.XLOOKUP(A127,'Team Stats'!$B$2:$B$366,'Team Stats'!$F$2:$F$366)+0.44*_xlfn.XLOOKUP(A127,'Team Stats'!$B$2:$B$366,'Team Stats'!$L$2:$L$366)+_xlfn.XLOOKUP(A127,'Team Stats'!$B$2:$B$366,'Team Stats'!$T$2:$T$366)-_xlfn.XLOOKUP(A127,'Team Stats'!$B$2:$B$366,'Team Stats'!$N$2:$N$366)</f>
        <v>65.295999999999992</v>
      </c>
      <c r="G127">
        <f>_xlfn.XLOOKUP(A127,'Team Stats'!$B$2:$B$366,'Team Stats'!$D$2:$D$366)/F127</f>
        <v>1.200686106346484</v>
      </c>
      <c r="H127">
        <f>_xlfn.XLOOKUP(A127,'Team Stats'!$B$2:$B$366,'Team Stats'!$D$2:$D$366)</f>
        <v>78.400000000000006</v>
      </c>
    </row>
    <row r="128" spans="1:8" ht="15" customHeight="1" x14ac:dyDescent="0.25">
      <c r="A128" t="s">
        <v>329</v>
      </c>
      <c r="B128" s="146">
        <f t="array" ref="B128">_xlfn.XLOOKUP(A128,'Team Stats'!$B$2:$B$366,('Team Stats'!$E$2:$E$366+'Team Stats'!$H$2:$H$366/2)/'Team Stats'!$F$2:$F$366)*100</f>
        <v>56.386861313868607</v>
      </c>
      <c r="C128" s="146">
        <f>_xlfn.XLOOKUP(A128,'Team Stats'!$B$2:$B$366,'Team Stats'!$T$2:$T$366)/( _xlfn.XLOOKUP(A128,'Team Stats'!$B$2:$B$366,'Team Stats'!$T$2:$T$366)+_xlfn.XLOOKUP(A128,'Team Stats'!$B$2:$B$366,'Team Stats'!$F$2:$F$366)+0.44*_xlfn.XLOOKUP(A128,'Team Stats'!$B$2:$B$366,'Team Stats'!$L$2:$L$366)+_xlfn.XLOOKUP(A128,'Team Stats'!$B$2:$B$366,'Team Stats'!$Q$2:$Q$366))*100</f>
        <v>14.801849690997882</v>
      </c>
      <c r="D128" s="146">
        <f>_xlfn.XLOOKUP(A128,'Team Stats'!$B$2:$B$366,'Team Stats'!$N$2:$N$366)/(_xlfn.XLOOKUP(A128,'Team Stats'!$B$2:$B$366,'Team Stats'!$N$2:$N$366)+_xlfn.XLOOKUP(A128,'Opponents stats vs'!$B$2:$B$366,'Opponents stats vs'!$O$2:$O$366))*100</f>
        <v>22.591362126245844</v>
      </c>
      <c r="E128" s="146">
        <f>_xlfn.XLOOKUP(A128,'Team Stats'!$B$2:$B$366,'Team Stats'!$K$2:$K$366)/_xlfn.XLOOKUP(A128,'Team Stats'!$B$2:$B$366,'Team Stats'!$F$2:$F$366)*100</f>
        <v>27.919708029197082</v>
      </c>
      <c r="F128" s="146">
        <f>_xlfn.XLOOKUP(A128,'Team Stats'!$B$2:$B$366,'Team Stats'!$F$2:$F$366)+0.44*_xlfn.XLOOKUP(A128,'Team Stats'!$B$2:$B$366,'Team Stats'!$L$2:$L$366)+_xlfn.XLOOKUP(A128,'Team Stats'!$B$2:$B$366,'Team Stats'!$T$2:$T$366)-_xlfn.XLOOKUP(A128,'Team Stats'!$B$2:$B$366,'Team Stats'!$N$2:$N$366)</f>
        <v>70.456000000000003</v>
      </c>
      <c r="G128">
        <f>_xlfn.XLOOKUP(A128,'Team Stats'!$B$2:$B$366,'Team Stats'!$D$2:$D$366)/F128</f>
        <v>1.0942999886453957</v>
      </c>
      <c r="H128">
        <f>_xlfn.XLOOKUP(A128,'Team Stats'!$B$2:$B$366,'Team Stats'!$D$2:$D$366)</f>
        <v>77.099999999999994</v>
      </c>
    </row>
    <row r="129" spans="1:8" ht="15" customHeight="1" x14ac:dyDescent="0.25">
      <c r="A129" t="s">
        <v>40</v>
      </c>
      <c r="B129" s="146">
        <f t="array" ref="B129">_xlfn.XLOOKUP(A129,'Team Stats'!$B$2:$B$366,('Team Stats'!$E$2:$E$366+'Team Stats'!$H$2:$H$366/2)/'Team Stats'!$F$2:$F$366)*100</f>
        <v>55.121527777777779</v>
      </c>
      <c r="C129" s="146">
        <f>_xlfn.XLOOKUP(A129,'Team Stats'!$B$2:$B$366,'Team Stats'!$T$2:$T$366)/( _xlfn.XLOOKUP(A129,'Team Stats'!$B$2:$B$366,'Team Stats'!$T$2:$T$366)+_xlfn.XLOOKUP(A129,'Team Stats'!$B$2:$B$366,'Team Stats'!$F$2:$F$366)+0.44*_xlfn.XLOOKUP(A129,'Team Stats'!$B$2:$B$366,'Team Stats'!$L$2:$L$366)+_xlfn.XLOOKUP(A129,'Team Stats'!$B$2:$B$366,'Team Stats'!$Q$2:$Q$366))*100</f>
        <v>11.229028138623452</v>
      </c>
      <c r="D129" s="146">
        <f>_xlfn.XLOOKUP(A129,'Team Stats'!$B$2:$B$366,'Team Stats'!$N$2:$N$366)/(_xlfn.XLOOKUP(A129,'Team Stats'!$B$2:$B$366,'Team Stats'!$N$2:$N$366)+_xlfn.XLOOKUP(A129,'Opponents stats vs'!$B$2:$B$366,'Opponents stats vs'!$O$2:$O$366))*100</f>
        <v>29.780564263322884</v>
      </c>
      <c r="E129" s="146">
        <f>_xlfn.XLOOKUP(A129,'Team Stats'!$B$2:$B$366,'Team Stats'!$K$2:$K$366)/_xlfn.XLOOKUP(A129,'Team Stats'!$B$2:$B$366,'Team Stats'!$F$2:$F$366)*100</f>
        <v>25.520833333333332</v>
      </c>
      <c r="F129" s="146">
        <f>_xlfn.XLOOKUP(A129,'Team Stats'!$B$2:$B$366,'Team Stats'!$F$2:$F$366)+0.44*_xlfn.XLOOKUP(A129,'Team Stats'!$B$2:$B$366,'Team Stats'!$L$2:$L$366)+_xlfn.XLOOKUP(A129,'Team Stats'!$B$2:$B$366,'Team Stats'!$T$2:$T$366)-_xlfn.XLOOKUP(A129,'Team Stats'!$B$2:$B$366,'Team Stats'!$N$2:$N$366)</f>
        <v>66.835999999999999</v>
      </c>
      <c r="G129">
        <f>_xlfn.XLOOKUP(A129,'Team Stats'!$B$2:$B$366,'Team Stats'!$D$2:$D$366)/F129</f>
        <v>1.1700281285534742</v>
      </c>
      <c r="H129">
        <f>_xlfn.XLOOKUP(A129,'Team Stats'!$B$2:$B$366,'Team Stats'!$D$2:$D$366)</f>
        <v>78.2</v>
      </c>
    </row>
    <row r="130" spans="1:8" ht="15" customHeight="1" x14ac:dyDescent="0.25">
      <c r="A130" t="s">
        <v>397</v>
      </c>
      <c r="B130" s="146">
        <f t="array" ref="B130">_xlfn.XLOOKUP(A130,'Team Stats'!$B$2:$B$366,('Team Stats'!$E$2:$E$366+'Team Stats'!$H$2:$H$366/2)/'Team Stats'!$F$2:$F$366)*100</f>
        <v>53.516295025728986</v>
      </c>
      <c r="C130" s="146">
        <f>_xlfn.XLOOKUP(A130,'Team Stats'!$B$2:$B$366,'Team Stats'!$T$2:$T$366)/( _xlfn.XLOOKUP(A130,'Team Stats'!$B$2:$B$366,'Team Stats'!$T$2:$T$366)+_xlfn.XLOOKUP(A130,'Team Stats'!$B$2:$B$366,'Team Stats'!$F$2:$F$366)+0.44*_xlfn.XLOOKUP(A130,'Team Stats'!$B$2:$B$366,'Team Stats'!$L$2:$L$366)+_xlfn.XLOOKUP(A130,'Team Stats'!$B$2:$B$366,'Team Stats'!$Q$2:$Q$366))*100</f>
        <v>9.896729776247847</v>
      </c>
      <c r="D130" s="146">
        <f>_xlfn.XLOOKUP(A130,'Team Stats'!$B$2:$B$366,'Team Stats'!$N$2:$N$366)/(_xlfn.XLOOKUP(A130,'Team Stats'!$B$2:$B$366,'Team Stats'!$N$2:$N$366)+_xlfn.XLOOKUP(A130,'Opponents stats vs'!$B$2:$B$366,'Opponents stats vs'!$O$2:$O$366))*100</f>
        <v>25.842696629213485</v>
      </c>
      <c r="E130" s="146">
        <f>_xlfn.XLOOKUP(A130,'Team Stats'!$B$2:$B$366,'Team Stats'!$K$2:$K$366)/_xlfn.XLOOKUP(A130,'Team Stats'!$B$2:$B$366,'Team Stats'!$F$2:$F$366)*100</f>
        <v>28.30188679245283</v>
      </c>
      <c r="F130" s="146">
        <f>_xlfn.XLOOKUP(A130,'Team Stats'!$B$2:$B$366,'Team Stats'!$F$2:$F$366)+0.44*_xlfn.XLOOKUP(A130,'Team Stats'!$B$2:$B$366,'Team Stats'!$L$2:$L$366)+_xlfn.XLOOKUP(A130,'Team Stats'!$B$2:$B$366,'Team Stats'!$T$2:$T$366)-_xlfn.XLOOKUP(A130,'Team Stats'!$B$2:$B$366,'Team Stats'!$N$2:$N$366)</f>
        <v>68.86</v>
      </c>
      <c r="G130">
        <f>_xlfn.XLOOKUP(A130,'Team Stats'!$B$2:$B$366,'Team Stats'!$D$2:$D$366)/F130</f>
        <v>1.1443508568109206</v>
      </c>
      <c r="H130">
        <f>_xlfn.XLOOKUP(A130,'Team Stats'!$B$2:$B$366,'Team Stats'!$D$2:$D$366)</f>
        <v>78.8</v>
      </c>
    </row>
    <row r="131" spans="1:8" ht="15" customHeight="1" x14ac:dyDescent="0.25">
      <c r="A131" t="s">
        <v>231</v>
      </c>
      <c r="B131" s="146">
        <f t="array" ref="B131">_xlfn.XLOOKUP(A131,'Team Stats'!$B$2:$B$366,('Team Stats'!$E$2:$E$366+'Team Stats'!$H$2:$H$366/2)/'Team Stats'!$F$2:$F$366)*100</f>
        <v>54.438860971524285</v>
      </c>
      <c r="C131" s="146">
        <f>_xlfn.XLOOKUP(A131,'Team Stats'!$B$2:$B$366,'Team Stats'!$T$2:$T$366)/( _xlfn.XLOOKUP(A131,'Team Stats'!$B$2:$B$366,'Team Stats'!$T$2:$T$366)+_xlfn.XLOOKUP(A131,'Team Stats'!$B$2:$B$366,'Team Stats'!$F$2:$F$366)+0.44*_xlfn.XLOOKUP(A131,'Team Stats'!$B$2:$B$366,'Team Stats'!$L$2:$L$366)+_xlfn.XLOOKUP(A131,'Team Stats'!$B$2:$B$366,'Team Stats'!$Q$2:$Q$366))*100</f>
        <v>13.689537874388117</v>
      </c>
      <c r="D131" s="146">
        <f>_xlfn.XLOOKUP(A131,'Team Stats'!$B$2:$B$366,'Team Stats'!$N$2:$N$366)/(_xlfn.XLOOKUP(A131,'Team Stats'!$B$2:$B$366,'Team Stats'!$N$2:$N$366)+_xlfn.XLOOKUP(A131,'Opponents stats vs'!$B$2:$B$366,'Opponents stats vs'!$O$2:$O$366))*100</f>
        <v>37.758112094395273</v>
      </c>
      <c r="E131" s="146">
        <f>_xlfn.XLOOKUP(A131,'Team Stats'!$B$2:$B$366,'Team Stats'!$K$2:$K$366)/_xlfn.XLOOKUP(A131,'Team Stats'!$B$2:$B$366,'Team Stats'!$F$2:$F$366)*100</f>
        <v>19.932998324958124</v>
      </c>
      <c r="F131" s="146">
        <f>_xlfn.XLOOKUP(A131,'Team Stats'!$B$2:$B$366,'Team Stats'!$F$2:$F$366)+0.44*_xlfn.XLOOKUP(A131,'Team Stats'!$B$2:$B$366,'Team Stats'!$L$2:$L$366)+_xlfn.XLOOKUP(A131,'Team Stats'!$B$2:$B$366,'Team Stats'!$T$2:$T$366)-_xlfn.XLOOKUP(A131,'Team Stats'!$B$2:$B$366,'Team Stats'!$N$2:$N$366)</f>
        <v>67.624000000000009</v>
      </c>
      <c r="G131">
        <f>_xlfn.XLOOKUP(A131,'Team Stats'!$B$2:$B$366,'Team Stats'!$D$2:$D$366)/F131</f>
        <v>1.1371702354193776</v>
      </c>
      <c r="H131">
        <f>_xlfn.XLOOKUP(A131,'Team Stats'!$B$2:$B$366,'Team Stats'!$D$2:$D$366)</f>
        <v>76.900000000000006</v>
      </c>
    </row>
    <row r="132" spans="1:8" ht="15" customHeight="1" x14ac:dyDescent="0.25">
      <c r="A132" t="s">
        <v>467</v>
      </c>
      <c r="B132" s="146">
        <f t="array" ref="B132">_xlfn.XLOOKUP(A132,'Team Stats'!$B$2:$B$366,('Team Stats'!$E$2:$E$366+'Team Stats'!$H$2:$H$366/2)/'Team Stats'!$F$2:$F$366)*100</f>
        <v>51.656151419558363</v>
      </c>
      <c r="C132" s="146">
        <f>_xlfn.XLOOKUP(A132,'Team Stats'!$B$2:$B$366,'Team Stats'!$T$2:$T$366)/( _xlfn.XLOOKUP(A132,'Team Stats'!$B$2:$B$366,'Team Stats'!$T$2:$T$366)+_xlfn.XLOOKUP(A132,'Team Stats'!$B$2:$B$366,'Team Stats'!$F$2:$F$366)+0.44*_xlfn.XLOOKUP(A132,'Team Stats'!$B$2:$B$366,'Team Stats'!$L$2:$L$366)+_xlfn.XLOOKUP(A132,'Team Stats'!$B$2:$B$366,'Team Stats'!$Q$2:$Q$366))*100</f>
        <v>11.785073630637021</v>
      </c>
      <c r="D132" s="146">
        <f>_xlfn.XLOOKUP(A132,'Team Stats'!$B$2:$B$366,'Team Stats'!$N$2:$N$366)/(_xlfn.XLOOKUP(A132,'Team Stats'!$B$2:$B$366,'Team Stats'!$N$2:$N$366)+_xlfn.XLOOKUP(A132,'Opponents stats vs'!$B$2:$B$366,'Opponents stats vs'!$O$2:$O$366))*100</f>
        <v>35.733333333333334</v>
      </c>
      <c r="E132" s="146">
        <f>_xlfn.XLOOKUP(A132,'Team Stats'!$B$2:$B$366,'Team Stats'!$K$2:$K$366)/_xlfn.XLOOKUP(A132,'Team Stats'!$B$2:$B$366,'Team Stats'!$F$2:$F$366)*100</f>
        <v>20.977917981072558</v>
      </c>
      <c r="F132" s="146">
        <f>_xlfn.XLOOKUP(A132,'Team Stats'!$B$2:$B$366,'Team Stats'!$F$2:$F$366)+0.44*_xlfn.XLOOKUP(A132,'Team Stats'!$B$2:$B$366,'Team Stats'!$L$2:$L$366)+_xlfn.XLOOKUP(A132,'Team Stats'!$B$2:$B$366,'Team Stats'!$T$2:$T$366)-_xlfn.XLOOKUP(A132,'Team Stats'!$B$2:$B$366,'Team Stats'!$N$2:$N$366)</f>
        <v>69.483999999999995</v>
      </c>
      <c r="G132">
        <f>_xlfn.XLOOKUP(A132,'Team Stats'!$B$2:$B$366,'Team Stats'!$D$2:$D$366)/F132</f>
        <v>1.1355132116746303</v>
      </c>
      <c r="H132">
        <f>_xlfn.XLOOKUP(A132,'Team Stats'!$B$2:$B$366,'Team Stats'!$D$2:$D$366)</f>
        <v>78.900000000000006</v>
      </c>
    </row>
    <row r="133" spans="1:8" ht="15" customHeight="1" x14ac:dyDescent="0.25">
      <c r="A133" t="s">
        <v>387</v>
      </c>
      <c r="B133" s="146">
        <f t="array" ref="B133">_xlfn.XLOOKUP(A133,'Team Stats'!$B$2:$B$366,('Team Stats'!$E$2:$E$366+'Team Stats'!$H$2:$H$366/2)/'Team Stats'!$F$2:$F$366)*100</f>
        <v>54.884105960264897</v>
      </c>
      <c r="C133" s="146">
        <f>_xlfn.XLOOKUP(A133,'Team Stats'!$B$2:$B$366,'Team Stats'!$T$2:$T$366)/( _xlfn.XLOOKUP(A133,'Team Stats'!$B$2:$B$366,'Team Stats'!$T$2:$T$366)+_xlfn.XLOOKUP(A133,'Team Stats'!$B$2:$B$366,'Team Stats'!$F$2:$F$366)+0.44*_xlfn.XLOOKUP(A133,'Team Stats'!$B$2:$B$366,'Team Stats'!$L$2:$L$366)+_xlfn.XLOOKUP(A133,'Team Stats'!$B$2:$B$366,'Team Stats'!$Q$2:$Q$366))*100</f>
        <v>12.760310330747243</v>
      </c>
      <c r="D133" s="146">
        <f>_xlfn.XLOOKUP(A133,'Team Stats'!$B$2:$B$366,'Team Stats'!$N$2:$N$366)/(_xlfn.XLOOKUP(A133,'Team Stats'!$B$2:$B$366,'Team Stats'!$N$2:$N$366)+_xlfn.XLOOKUP(A133,'Opponents stats vs'!$B$2:$B$366,'Opponents stats vs'!$O$2:$O$366))*100</f>
        <v>38.596491228070171</v>
      </c>
      <c r="E133" s="146">
        <f>_xlfn.XLOOKUP(A133,'Team Stats'!$B$2:$B$366,'Team Stats'!$K$2:$K$366)/_xlfn.XLOOKUP(A133,'Team Stats'!$B$2:$B$366,'Team Stats'!$F$2:$F$366)*100</f>
        <v>19.039735099337747</v>
      </c>
      <c r="F133" s="146">
        <f>_xlfn.XLOOKUP(A133,'Team Stats'!$B$2:$B$366,'Team Stats'!$F$2:$F$366)+0.44*_xlfn.XLOOKUP(A133,'Team Stats'!$B$2:$B$366,'Team Stats'!$L$2:$L$366)+_xlfn.XLOOKUP(A133,'Team Stats'!$B$2:$B$366,'Team Stats'!$T$2:$T$366)-_xlfn.XLOOKUP(A133,'Team Stats'!$B$2:$B$366,'Team Stats'!$N$2:$N$366)</f>
        <v>66.959999999999994</v>
      </c>
      <c r="G133">
        <f>_xlfn.XLOOKUP(A133,'Team Stats'!$B$2:$B$366,'Team Stats'!$D$2:$D$366)/F133</f>
        <v>1.1618876941457588</v>
      </c>
      <c r="H133">
        <f>_xlfn.XLOOKUP(A133,'Team Stats'!$B$2:$B$366,'Team Stats'!$D$2:$D$366)</f>
        <v>77.8</v>
      </c>
    </row>
    <row r="134" spans="1:8" ht="15" customHeight="1" x14ac:dyDescent="0.25">
      <c r="A134" t="s">
        <v>477</v>
      </c>
      <c r="B134" s="146">
        <f t="array" ref="B134">_xlfn.XLOOKUP(A134,'Team Stats'!$B$2:$B$366,('Team Stats'!$E$2:$E$366+'Team Stats'!$H$2:$H$366/2)/'Team Stats'!$F$2:$F$366)*100</f>
        <v>54.553264604810991</v>
      </c>
      <c r="C134" s="146">
        <f>_xlfn.XLOOKUP(A134,'Team Stats'!$B$2:$B$366,'Team Stats'!$T$2:$T$366)/( _xlfn.XLOOKUP(A134,'Team Stats'!$B$2:$B$366,'Team Stats'!$T$2:$T$366)+_xlfn.XLOOKUP(A134,'Team Stats'!$B$2:$B$366,'Team Stats'!$F$2:$F$366)+0.44*_xlfn.XLOOKUP(A134,'Team Stats'!$B$2:$B$366,'Team Stats'!$L$2:$L$366)+_xlfn.XLOOKUP(A134,'Team Stats'!$B$2:$B$366,'Team Stats'!$Q$2:$Q$366))*100</f>
        <v>13.610837227247394</v>
      </c>
      <c r="D134" s="146">
        <f>_xlfn.XLOOKUP(A134,'Team Stats'!$B$2:$B$366,'Team Stats'!$N$2:$N$366)/(_xlfn.XLOOKUP(A134,'Team Stats'!$B$2:$B$366,'Team Stats'!$N$2:$N$366)+_xlfn.XLOOKUP(A134,'Opponents stats vs'!$B$2:$B$366,'Opponents stats vs'!$O$2:$O$366))*100</f>
        <v>31.547619047619047</v>
      </c>
      <c r="E134" s="146">
        <f>_xlfn.XLOOKUP(A134,'Team Stats'!$B$2:$B$366,'Team Stats'!$K$2:$K$366)/_xlfn.XLOOKUP(A134,'Team Stats'!$B$2:$B$366,'Team Stats'!$F$2:$F$366)*100</f>
        <v>22.852233676975946</v>
      </c>
      <c r="F134" s="146">
        <f>_xlfn.XLOOKUP(A134,'Team Stats'!$B$2:$B$366,'Team Stats'!$F$2:$F$366)+0.44*_xlfn.XLOOKUP(A134,'Team Stats'!$B$2:$B$366,'Team Stats'!$L$2:$L$366)+_xlfn.XLOOKUP(A134,'Team Stats'!$B$2:$B$366,'Team Stats'!$T$2:$T$366)-_xlfn.XLOOKUP(A134,'Team Stats'!$B$2:$B$366,'Team Stats'!$N$2:$N$366)</f>
        <v>68.308000000000007</v>
      </c>
      <c r="G134">
        <f>_xlfn.XLOOKUP(A134,'Team Stats'!$B$2:$B$366,'Team Stats'!$D$2:$D$366)/F134</f>
        <v>1.1243192598231537</v>
      </c>
      <c r="H134">
        <f>_xlfn.XLOOKUP(A134,'Team Stats'!$B$2:$B$366,'Team Stats'!$D$2:$D$366)</f>
        <v>76.8</v>
      </c>
    </row>
    <row r="135" spans="1:8" ht="15" customHeight="1" x14ac:dyDescent="0.25">
      <c r="A135" t="s">
        <v>37</v>
      </c>
      <c r="B135" s="146">
        <f t="array" ref="B135">_xlfn.XLOOKUP(A135,'Team Stats'!$B$2:$B$366,('Team Stats'!$E$2:$E$366+'Team Stats'!$H$2:$H$366/2)/'Team Stats'!$F$2:$F$366)*100</f>
        <v>53.589743589743591</v>
      </c>
      <c r="C135" s="146">
        <f>_xlfn.XLOOKUP(A135,'Team Stats'!$B$2:$B$366,'Team Stats'!$T$2:$T$366)/( _xlfn.XLOOKUP(A135,'Team Stats'!$B$2:$B$366,'Team Stats'!$T$2:$T$366)+_xlfn.XLOOKUP(A135,'Team Stats'!$B$2:$B$366,'Team Stats'!$F$2:$F$366)+0.44*_xlfn.XLOOKUP(A135,'Team Stats'!$B$2:$B$366,'Team Stats'!$L$2:$L$366)+_xlfn.XLOOKUP(A135,'Team Stats'!$B$2:$B$366,'Team Stats'!$Q$2:$Q$366))*100</f>
        <v>9.8719895855934041</v>
      </c>
      <c r="D135" s="146">
        <f>_xlfn.XLOOKUP(A135,'Team Stats'!$B$2:$B$366,'Team Stats'!$N$2:$N$366)/(_xlfn.XLOOKUP(A135,'Team Stats'!$B$2:$B$366,'Team Stats'!$N$2:$N$366)+_xlfn.XLOOKUP(A135,'Opponents stats vs'!$B$2:$B$366,'Opponents stats vs'!$O$2:$O$366))*100</f>
        <v>31.05590062111801</v>
      </c>
      <c r="E135" s="146">
        <f>_xlfn.XLOOKUP(A135,'Team Stats'!$B$2:$B$366,'Team Stats'!$K$2:$K$366)/_xlfn.XLOOKUP(A135,'Team Stats'!$B$2:$B$366,'Team Stats'!$F$2:$F$366)*100</f>
        <v>25.470085470085468</v>
      </c>
      <c r="F135" s="146">
        <f>_xlfn.XLOOKUP(A135,'Team Stats'!$B$2:$B$366,'Team Stats'!$F$2:$F$366)+0.44*_xlfn.XLOOKUP(A135,'Team Stats'!$B$2:$B$366,'Team Stats'!$L$2:$L$366)+_xlfn.XLOOKUP(A135,'Team Stats'!$B$2:$B$366,'Team Stats'!$T$2:$T$366)-_xlfn.XLOOKUP(A135,'Team Stats'!$B$2:$B$366,'Team Stats'!$N$2:$N$366)</f>
        <v>66.179999999999993</v>
      </c>
      <c r="G135">
        <f>_xlfn.XLOOKUP(A135,'Team Stats'!$B$2:$B$366,'Team Stats'!$D$2:$D$366)/F135</f>
        <v>1.1725596857056513</v>
      </c>
      <c r="H135">
        <f>_xlfn.XLOOKUP(A135,'Team Stats'!$B$2:$B$366,'Team Stats'!$D$2:$D$366)</f>
        <v>77.599999999999994</v>
      </c>
    </row>
    <row r="136" spans="1:8" ht="15" customHeight="1" x14ac:dyDescent="0.25">
      <c r="A136" t="s">
        <v>437</v>
      </c>
      <c r="B136" s="146">
        <f t="array" ref="B136">_xlfn.XLOOKUP(A136,'Team Stats'!$B$2:$B$366,('Team Stats'!$E$2:$E$366+'Team Stats'!$H$2:$H$366/2)/'Team Stats'!$F$2:$F$366)*100</f>
        <v>52.622377622377627</v>
      </c>
      <c r="C136" s="146">
        <f>_xlfn.XLOOKUP(A136,'Team Stats'!$B$2:$B$366,'Team Stats'!$T$2:$T$366)/( _xlfn.XLOOKUP(A136,'Team Stats'!$B$2:$B$366,'Team Stats'!$T$2:$T$366)+_xlfn.XLOOKUP(A136,'Team Stats'!$B$2:$B$366,'Team Stats'!$F$2:$F$366)+0.44*_xlfn.XLOOKUP(A136,'Team Stats'!$B$2:$B$366,'Team Stats'!$L$2:$L$366)+_xlfn.XLOOKUP(A136,'Team Stats'!$B$2:$B$366,'Team Stats'!$Q$2:$Q$366))*100</f>
        <v>13.387297633872974</v>
      </c>
      <c r="D136" s="146">
        <f>_xlfn.XLOOKUP(A136,'Team Stats'!$B$2:$B$366,'Team Stats'!$N$2:$N$366)/(_xlfn.XLOOKUP(A136,'Team Stats'!$B$2:$B$366,'Team Stats'!$N$2:$N$366)+_xlfn.XLOOKUP(A136,'Opponents stats vs'!$B$2:$B$366,'Opponents stats vs'!$O$2:$O$366))*100</f>
        <v>28.152492668621697</v>
      </c>
      <c r="E136" s="146">
        <f>_xlfn.XLOOKUP(A136,'Team Stats'!$B$2:$B$366,'Team Stats'!$K$2:$K$366)/_xlfn.XLOOKUP(A136,'Team Stats'!$B$2:$B$366,'Team Stats'!$F$2:$F$366)*100</f>
        <v>31.46853146853147</v>
      </c>
      <c r="F136" s="146">
        <f>_xlfn.XLOOKUP(A136,'Team Stats'!$B$2:$B$366,'Team Stats'!$F$2:$F$366)+0.44*_xlfn.XLOOKUP(A136,'Team Stats'!$B$2:$B$366,'Team Stats'!$L$2:$L$366)+_xlfn.XLOOKUP(A136,'Team Stats'!$B$2:$B$366,'Team Stats'!$T$2:$T$366)-_xlfn.XLOOKUP(A136,'Team Stats'!$B$2:$B$366,'Team Stats'!$N$2:$N$366)</f>
        <v>71.060000000000016</v>
      </c>
      <c r="G136">
        <f>_xlfn.XLOOKUP(A136,'Team Stats'!$B$2:$B$366,'Team Stats'!$D$2:$D$366)/F136</f>
        <v>1.0990712074303401</v>
      </c>
      <c r="H136">
        <f>_xlfn.XLOOKUP(A136,'Team Stats'!$B$2:$B$366,'Team Stats'!$D$2:$D$366)</f>
        <v>78.099999999999994</v>
      </c>
    </row>
    <row r="137" spans="1:8" ht="15" customHeight="1" x14ac:dyDescent="0.25">
      <c r="A137" t="s">
        <v>80</v>
      </c>
      <c r="B137" s="146">
        <f t="array" ref="B137">_xlfn.XLOOKUP(A137,'Team Stats'!$B$2:$B$366,('Team Stats'!$E$2:$E$366+'Team Stats'!$H$2:$H$366/2)/'Team Stats'!$F$2:$F$366)*100</f>
        <v>52.096774193548377</v>
      </c>
      <c r="C137" s="146">
        <f>_xlfn.XLOOKUP(A137,'Team Stats'!$B$2:$B$366,'Team Stats'!$T$2:$T$366)/( _xlfn.XLOOKUP(A137,'Team Stats'!$B$2:$B$366,'Team Stats'!$T$2:$T$366)+_xlfn.XLOOKUP(A137,'Team Stats'!$B$2:$B$366,'Team Stats'!$F$2:$F$366)+0.44*_xlfn.XLOOKUP(A137,'Team Stats'!$B$2:$B$366,'Team Stats'!$L$2:$L$366)+_xlfn.XLOOKUP(A137,'Team Stats'!$B$2:$B$366,'Team Stats'!$Q$2:$Q$366))*100</f>
        <v>8.968319142499027</v>
      </c>
      <c r="D137" s="146">
        <f>_xlfn.XLOOKUP(A137,'Team Stats'!$B$2:$B$366,'Team Stats'!$N$2:$N$366)/(_xlfn.XLOOKUP(A137,'Team Stats'!$B$2:$B$366,'Team Stats'!$N$2:$N$366)+_xlfn.XLOOKUP(A137,'Opponents stats vs'!$B$2:$B$366,'Opponents stats vs'!$O$2:$O$366))*100</f>
        <v>36.312849162011176</v>
      </c>
      <c r="E137" s="146">
        <f>_xlfn.XLOOKUP(A137,'Team Stats'!$B$2:$B$366,'Team Stats'!$K$2:$K$366)/_xlfn.XLOOKUP(A137,'Team Stats'!$B$2:$B$366,'Team Stats'!$F$2:$F$366)*100</f>
        <v>20.967741935483872</v>
      </c>
      <c r="F137" s="146">
        <f>_xlfn.XLOOKUP(A137,'Team Stats'!$B$2:$B$366,'Team Stats'!$F$2:$F$366)+0.44*_xlfn.XLOOKUP(A137,'Team Stats'!$B$2:$B$366,'Team Stats'!$L$2:$L$366)+_xlfn.XLOOKUP(A137,'Team Stats'!$B$2:$B$366,'Team Stats'!$T$2:$T$366)-_xlfn.XLOOKUP(A137,'Team Stats'!$B$2:$B$366,'Team Stats'!$N$2:$N$366)</f>
        <v>64.647999999999996</v>
      </c>
      <c r="G137">
        <f>_xlfn.XLOOKUP(A137,'Team Stats'!$B$2:$B$366,'Team Stats'!$D$2:$D$366)/F137</f>
        <v>1.1987996535082293</v>
      </c>
      <c r="H137">
        <f>_xlfn.XLOOKUP(A137,'Team Stats'!$B$2:$B$366,'Team Stats'!$D$2:$D$366)</f>
        <v>77.5</v>
      </c>
    </row>
    <row r="138" spans="1:8" ht="15" customHeight="1" x14ac:dyDescent="0.25">
      <c r="A138" t="s">
        <v>385</v>
      </c>
      <c r="B138" s="146">
        <f t="array" ref="B138">_xlfn.XLOOKUP(A138,'Team Stats'!$B$2:$B$366,('Team Stats'!$E$2:$E$366+'Team Stats'!$H$2:$H$366/2)/'Team Stats'!$F$2:$F$366)*100</f>
        <v>51.975945017182127</v>
      </c>
      <c r="C138" s="146">
        <f>_xlfn.XLOOKUP(A138,'Team Stats'!$B$2:$B$366,'Team Stats'!$T$2:$T$366)/( _xlfn.XLOOKUP(A138,'Team Stats'!$B$2:$B$366,'Team Stats'!$T$2:$T$366)+_xlfn.XLOOKUP(A138,'Team Stats'!$B$2:$B$366,'Team Stats'!$F$2:$F$366)+0.44*_xlfn.XLOOKUP(A138,'Team Stats'!$B$2:$B$366,'Team Stats'!$L$2:$L$366)+_xlfn.XLOOKUP(A138,'Team Stats'!$B$2:$B$366,'Team Stats'!$Q$2:$Q$366))*100</f>
        <v>10.59044458031269</v>
      </c>
      <c r="D138" s="146">
        <f>_xlfn.XLOOKUP(A138,'Team Stats'!$B$2:$B$366,'Team Stats'!$N$2:$N$366)/(_xlfn.XLOOKUP(A138,'Team Stats'!$B$2:$B$366,'Team Stats'!$N$2:$N$366)+_xlfn.XLOOKUP(A138,'Opponents stats vs'!$B$2:$B$366,'Opponents stats vs'!$O$2:$O$366))*100</f>
        <v>25.722543352601157</v>
      </c>
      <c r="E138" s="146">
        <f>_xlfn.XLOOKUP(A138,'Team Stats'!$B$2:$B$366,'Team Stats'!$K$2:$K$366)/_xlfn.XLOOKUP(A138,'Team Stats'!$B$2:$B$366,'Team Stats'!$F$2:$F$366)*100</f>
        <v>28.350515463917525</v>
      </c>
      <c r="F138" s="146">
        <f>_xlfn.XLOOKUP(A138,'Team Stats'!$B$2:$B$366,'Team Stats'!$F$2:$F$366)+0.44*_xlfn.XLOOKUP(A138,'Team Stats'!$B$2:$B$366,'Team Stats'!$L$2:$L$366)+_xlfn.XLOOKUP(A138,'Team Stats'!$B$2:$B$366,'Team Stats'!$T$2:$T$366)-_xlfn.XLOOKUP(A138,'Team Stats'!$B$2:$B$366,'Team Stats'!$N$2:$N$366)</f>
        <v>68.591999999999999</v>
      </c>
      <c r="G138">
        <f>_xlfn.XLOOKUP(A138,'Team Stats'!$B$2:$B$366,'Team Stats'!$D$2:$D$366)/F138</f>
        <v>1.1225798926988571</v>
      </c>
      <c r="H138">
        <f>_xlfn.XLOOKUP(A138,'Team Stats'!$B$2:$B$366,'Team Stats'!$D$2:$D$366)</f>
        <v>77</v>
      </c>
    </row>
    <row r="139" spans="1:8" ht="15" customHeight="1" x14ac:dyDescent="0.25">
      <c r="A139" t="s">
        <v>330</v>
      </c>
      <c r="B139" s="146">
        <f t="array" ref="B139">_xlfn.XLOOKUP(A139,'Team Stats'!$B$2:$B$366,('Team Stats'!$E$2:$E$366+'Team Stats'!$H$2:$H$366/2)/'Team Stats'!$F$2:$F$366)*100</f>
        <v>55.204778156996589</v>
      </c>
      <c r="C139" s="146">
        <f>_xlfn.XLOOKUP(A139,'Team Stats'!$B$2:$B$366,'Team Stats'!$T$2:$T$366)/( _xlfn.XLOOKUP(A139,'Team Stats'!$B$2:$B$366,'Team Stats'!$T$2:$T$366)+_xlfn.XLOOKUP(A139,'Team Stats'!$B$2:$B$366,'Team Stats'!$F$2:$F$366)+0.44*_xlfn.XLOOKUP(A139,'Team Stats'!$B$2:$B$366,'Team Stats'!$L$2:$L$366)+_xlfn.XLOOKUP(A139,'Team Stats'!$B$2:$B$366,'Team Stats'!$Q$2:$Q$366))*100</f>
        <v>11.480403746476311</v>
      </c>
      <c r="D139" s="146">
        <f>_xlfn.XLOOKUP(A139,'Team Stats'!$B$2:$B$366,'Team Stats'!$N$2:$N$366)/(_xlfn.XLOOKUP(A139,'Team Stats'!$B$2:$B$366,'Team Stats'!$N$2:$N$366)+_xlfn.XLOOKUP(A139,'Opponents stats vs'!$B$2:$B$366,'Opponents stats vs'!$O$2:$O$366))*100</f>
        <v>28.571428571428577</v>
      </c>
      <c r="E139" s="146">
        <f>_xlfn.XLOOKUP(A139,'Team Stats'!$B$2:$B$366,'Team Stats'!$K$2:$K$366)/_xlfn.XLOOKUP(A139,'Team Stats'!$B$2:$B$366,'Team Stats'!$F$2:$F$366)*100</f>
        <v>22.866894197952217</v>
      </c>
      <c r="F139" s="146">
        <f>_xlfn.XLOOKUP(A139,'Team Stats'!$B$2:$B$366,'Team Stats'!$F$2:$F$366)+0.44*_xlfn.XLOOKUP(A139,'Team Stats'!$B$2:$B$366,'Team Stats'!$L$2:$L$366)+_xlfn.XLOOKUP(A139,'Team Stats'!$B$2:$B$366,'Team Stats'!$T$2:$T$366)-_xlfn.XLOOKUP(A139,'Team Stats'!$B$2:$B$366,'Team Stats'!$N$2:$N$366)</f>
        <v>67.175999999999988</v>
      </c>
      <c r="G139">
        <f>_xlfn.XLOOKUP(A139,'Team Stats'!$B$2:$B$366,'Team Stats'!$D$2:$D$366)/F139</f>
        <v>1.161128974633798</v>
      </c>
      <c r="H139">
        <f>_xlfn.XLOOKUP(A139,'Team Stats'!$B$2:$B$366,'Team Stats'!$D$2:$D$366)</f>
        <v>78</v>
      </c>
    </row>
    <row r="140" spans="1:8" ht="15" customHeight="1" x14ac:dyDescent="0.25">
      <c r="A140" t="s">
        <v>59</v>
      </c>
      <c r="B140" s="146">
        <f t="array" ref="B140">_xlfn.XLOOKUP(A140,'Team Stats'!$B$2:$B$366,('Team Stats'!$E$2:$E$366+'Team Stats'!$H$2:$H$366/2)/'Team Stats'!$F$2:$F$366)*100</f>
        <v>53.691275167785236</v>
      </c>
      <c r="C140" s="146">
        <f>_xlfn.XLOOKUP(A140,'Team Stats'!$B$2:$B$366,'Team Stats'!$T$2:$T$366)/( _xlfn.XLOOKUP(A140,'Team Stats'!$B$2:$B$366,'Team Stats'!$T$2:$T$366)+_xlfn.XLOOKUP(A140,'Team Stats'!$B$2:$B$366,'Team Stats'!$F$2:$F$366)+0.44*_xlfn.XLOOKUP(A140,'Team Stats'!$B$2:$B$366,'Team Stats'!$L$2:$L$366)+_xlfn.XLOOKUP(A140,'Team Stats'!$B$2:$B$366,'Team Stats'!$Q$2:$Q$366))*100</f>
        <v>10.915161373170106</v>
      </c>
      <c r="D140" s="146">
        <f>_xlfn.XLOOKUP(A140,'Team Stats'!$B$2:$B$366,'Team Stats'!$N$2:$N$366)/(_xlfn.XLOOKUP(A140,'Team Stats'!$B$2:$B$366,'Team Stats'!$N$2:$N$366)+_xlfn.XLOOKUP(A140,'Opponents stats vs'!$B$2:$B$366,'Opponents stats vs'!$O$2:$O$366))*100</f>
        <v>32.773109243697476</v>
      </c>
      <c r="E140" s="146">
        <f>_xlfn.XLOOKUP(A140,'Team Stats'!$B$2:$B$366,'Team Stats'!$K$2:$K$366)/_xlfn.XLOOKUP(A140,'Team Stats'!$B$2:$B$366,'Team Stats'!$F$2:$F$366)*100</f>
        <v>22.147651006711406</v>
      </c>
      <c r="F140" s="146">
        <f>_xlfn.XLOOKUP(A140,'Team Stats'!$B$2:$B$366,'Team Stats'!$F$2:$F$366)+0.44*_xlfn.XLOOKUP(A140,'Team Stats'!$B$2:$B$366,'Team Stats'!$L$2:$L$366)+_xlfn.XLOOKUP(A140,'Team Stats'!$B$2:$B$366,'Team Stats'!$T$2:$T$366)-_xlfn.XLOOKUP(A140,'Team Stats'!$B$2:$B$366,'Team Stats'!$N$2:$N$366)</f>
        <v>66.548000000000002</v>
      </c>
      <c r="G140">
        <f>_xlfn.XLOOKUP(A140,'Team Stats'!$B$2:$B$366,'Team Stats'!$D$2:$D$366)/F140</f>
        <v>1.1585622407886036</v>
      </c>
      <c r="H140">
        <f>_xlfn.XLOOKUP(A140,'Team Stats'!$B$2:$B$366,'Team Stats'!$D$2:$D$366)</f>
        <v>77.099999999999994</v>
      </c>
    </row>
    <row r="141" spans="1:8" ht="15" customHeight="1" x14ac:dyDescent="0.25">
      <c r="A141" t="s">
        <v>476</v>
      </c>
      <c r="B141" s="146">
        <f t="array" ref="B141">_xlfn.XLOOKUP(A141,'Team Stats'!$B$2:$B$366,('Team Stats'!$E$2:$E$366+'Team Stats'!$H$2:$H$366/2)/'Team Stats'!$F$2:$F$366)*100</f>
        <v>51.892744479495271</v>
      </c>
      <c r="C141" s="146">
        <f>_xlfn.XLOOKUP(A141,'Team Stats'!$B$2:$B$366,'Team Stats'!$T$2:$T$366)/( _xlfn.XLOOKUP(A141,'Team Stats'!$B$2:$B$366,'Team Stats'!$T$2:$T$366)+_xlfn.XLOOKUP(A141,'Team Stats'!$B$2:$B$366,'Team Stats'!$F$2:$F$366)+0.44*_xlfn.XLOOKUP(A141,'Team Stats'!$B$2:$B$366,'Team Stats'!$L$2:$L$366)+_xlfn.XLOOKUP(A141,'Team Stats'!$B$2:$B$366,'Team Stats'!$Q$2:$Q$366))*100</f>
        <v>10.216881120012946</v>
      </c>
      <c r="D141" s="146">
        <f>_xlfn.XLOOKUP(A141,'Team Stats'!$B$2:$B$366,'Team Stats'!$N$2:$N$366)/(_xlfn.XLOOKUP(A141,'Team Stats'!$B$2:$B$366,'Team Stats'!$N$2:$N$366)+_xlfn.XLOOKUP(A141,'Opponents stats vs'!$B$2:$B$366,'Opponents stats vs'!$O$2:$O$366))*100</f>
        <v>26.595744680851062</v>
      </c>
      <c r="E141" s="146">
        <f>_xlfn.XLOOKUP(A141,'Team Stats'!$B$2:$B$366,'Team Stats'!$K$2:$K$366)/_xlfn.XLOOKUP(A141,'Team Stats'!$B$2:$B$366,'Team Stats'!$F$2:$F$366)*100</f>
        <v>19.873817034700313</v>
      </c>
      <c r="F141" s="146">
        <f>_xlfn.XLOOKUP(A141,'Team Stats'!$B$2:$B$366,'Team Stats'!$F$2:$F$366)+0.44*_xlfn.XLOOKUP(A141,'Team Stats'!$B$2:$B$366,'Team Stats'!$L$2:$L$366)+_xlfn.XLOOKUP(A141,'Team Stats'!$B$2:$B$366,'Team Stats'!$T$2:$T$366)-_xlfn.XLOOKUP(A141,'Team Stats'!$B$2:$B$366,'Team Stats'!$N$2:$N$366)</f>
        <v>71.155999999999992</v>
      </c>
      <c r="G141">
        <f>_xlfn.XLOOKUP(A141,'Team Stats'!$B$2:$B$366,'Team Stats'!$D$2:$D$366)/F141</f>
        <v>1.1018044859182643</v>
      </c>
      <c r="H141">
        <f>_xlfn.XLOOKUP(A141,'Team Stats'!$B$2:$B$366,'Team Stats'!$D$2:$D$366)</f>
        <v>78.400000000000006</v>
      </c>
    </row>
    <row r="142" spans="1:8" ht="15" customHeight="1" x14ac:dyDescent="0.25">
      <c r="A142" t="s">
        <v>100</v>
      </c>
      <c r="B142" s="146">
        <f t="array" ref="B142">_xlfn.XLOOKUP(A142,'Team Stats'!$B$2:$B$366,('Team Stats'!$E$2:$E$366+'Team Stats'!$H$2:$H$366/2)/'Team Stats'!$F$2:$F$366)*100</f>
        <v>52.525252525252533</v>
      </c>
      <c r="C142" s="146">
        <f>_xlfn.XLOOKUP(A142,'Team Stats'!$B$2:$B$366,'Team Stats'!$T$2:$T$366)/( _xlfn.XLOOKUP(A142,'Team Stats'!$B$2:$B$366,'Team Stats'!$T$2:$T$366)+_xlfn.XLOOKUP(A142,'Team Stats'!$B$2:$B$366,'Team Stats'!$F$2:$F$366)+0.44*_xlfn.XLOOKUP(A142,'Team Stats'!$B$2:$B$366,'Team Stats'!$L$2:$L$366)+_xlfn.XLOOKUP(A142,'Team Stats'!$B$2:$B$366,'Team Stats'!$Q$2:$Q$366))*100</f>
        <v>12.698346066661067</v>
      </c>
      <c r="D142" s="146">
        <f>_xlfn.XLOOKUP(A142,'Team Stats'!$B$2:$B$366,'Team Stats'!$N$2:$N$366)/(_xlfn.XLOOKUP(A142,'Team Stats'!$B$2:$B$366,'Team Stats'!$N$2:$N$366)+_xlfn.XLOOKUP(A142,'Opponents stats vs'!$B$2:$B$366,'Opponents stats vs'!$O$2:$O$366))*100</f>
        <v>32.27665706051873</v>
      </c>
      <c r="E142" s="146">
        <f>_xlfn.XLOOKUP(A142,'Team Stats'!$B$2:$B$366,'Team Stats'!$K$2:$K$366)/_xlfn.XLOOKUP(A142,'Team Stats'!$B$2:$B$366,'Team Stats'!$F$2:$F$366)*100</f>
        <v>23.905723905723907</v>
      </c>
      <c r="F142" s="146">
        <f>_xlfn.XLOOKUP(A142,'Team Stats'!$B$2:$B$366,'Team Stats'!$F$2:$F$366)+0.44*_xlfn.XLOOKUP(A142,'Team Stats'!$B$2:$B$366,'Team Stats'!$L$2:$L$366)+_xlfn.XLOOKUP(A142,'Team Stats'!$B$2:$B$366,'Team Stats'!$T$2:$T$366)-_xlfn.XLOOKUP(A142,'Team Stats'!$B$2:$B$366,'Team Stats'!$N$2:$N$366)</f>
        <v>69.187999999999988</v>
      </c>
      <c r="G142">
        <f>_xlfn.XLOOKUP(A142,'Team Stats'!$B$2:$B$366,'Team Stats'!$D$2:$D$366)/F142</f>
        <v>1.1056830664277044</v>
      </c>
      <c r="H142">
        <f>_xlfn.XLOOKUP(A142,'Team Stats'!$B$2:$B$366,'Team Stats'!$D$2:$D$366)</f>
        <v>76.5</v>
      </c>
    </row>
    <row r="143" spans="1:8" ht="15" customHeight="1" x14ac:dyDescent="0.25">
      <c r="A143" t="s">
        <v>365</v>
      </c>
      <c r="B143" s="146">
        <f t="array" ref="B143">_xlfn.XLOOKUP(A143,'Team Stats'!$B$2:$B$366,('Team Stats'!$E$2:$E$366+'Team Stats'!$H$2:$H$366/2)/'Team Stats'!$F$2:$F$366)*100</f>
        <v>54.231433506044915</v>
      </c>
      <c r="C143" s="146">
        <f>_xlfn.XLOOKUP(A143,'Team Stats'!$B$2:$B$366,'Team Stats'!$T$2:$T$366)/( _xlfn.XLOOKUP(A143,'Team Stats'!$B$2:$B$366,'Team Stats'!$T$2:$T$366)+_xlfn.XLOOKUP(A143,'Team Stats'!$B$2:$B$366,'Team Stats'!$F$2:$F$366)+0.44*_xlfn.XLOOKUP(A143,'Team Stats'!$B$2:$B$366,'Team Stats'!$L$2:$L$366)+_xlfn.XLOOKUP(A143,'Team Stats'!$B$2:$B$366,'Team Stats'!$Q$2:$Q$366))*100</f>
        <v>12.314729295861369</v>
      </c>
      <c r="D143" s="146">
        <f>_xlfn.XLOOKUP(A143,'Team Stats'!$B$2:$B$366,'Team Stats'!$N$2:$N$366)/(_xlfn.XLOOKUP(A143,'Team Stats'!$B$2:$B$366,'Team Stats'!$N$2:$N$366)+_xlfn.XLOOKUP(A143,'Opponents stats vs'!$B$2:$B$366,'Opponents stats vs'!$O$2:$O$366))*100</f>
        <v>27.794561933534744</v>
      </c>
      <c r="E143" s="146">
        <f>_xlfn.XLOOKUP(A143,'Team Stats'!$B$2:$B$366,'Team Stats'!$K$2:$K$366)/_xlfn.XLOOKUP(A143,'Team Stats'!$B$2:$B$366,'Team Stats'!$F$2:$F$366)*100</f>
        <v>24.179620034542314</v>
      </c>
      <c r="F143" s="146">
        <f>_xlfn.XLOOKUP(A143,'Team Stats'!$B$2:$B$366,'Team Stats'!$F$2:$F$366)+0.44*_xlfn.XLOOKUP(A143,'Team Stats'!$B$2:$B$366,'Team Stats'!$L$2:$L$366)+_xlfn.XLOOKUP(A143,'Team Stats'!$B$2:$B$366,'Team Stats'!$T$2:$T$366)-_xlfn.XLOOKUP(A143,'Team Stats'!$B$2:$B$366,'Team Stats'!$N$2:$N$366)</f>
        <v>68.347999999999999</v>
      </c>
      <c r="G143">
        <f>_xlfn.XLOOKUP(A143,'Team Stats'!$B$2:$B$366,'Team Stats'!$D$2:$D$366)/F143</f>
        <v>1.1236612629484404</v>
      </c>
      <c r="H143">
        <f>_xlfn.XLOOKUP(A143,'Team Stats'!$B$2:$B$366,'Team Stats'!$D$2:$D$366)</f>
        <v>76.8</v>
      </c>
    </row>
    <row r="144" spans="1:8" ht="15" customHeight="1" x14ac:dyDescent="0.25">
      <c r="A144" t="s">
        <v>438</v>
      </c>
      <c r="B144" s="146">
        <f t="array" ref="B144">_xlfn.XLOOKUP(A144,'Team Stats'!$B$2:$B$366,('Team Stats'!$E$2:$E$366+'Team Stats'!$H$2:$H$366/2)/'Team Stats'!$F$2:$F$366)*100</f>
        <v>51.060358890701472</v>
      </c>
      <c r="C144" s="146">
        <f>_xlfn.XLOOKUP(A144,'Team Stats'!$B$2:$B$366,'Team Stats'!$T$2:$T$366)/( _xlfn.XLOOKUP(A144,'Team Stats'!$B$2:$B$366,'Team Stats'!$T$2:$T$366)+_xlfn.XLOOKUP(A144,'Team Stats'!$B$2:$B$366,'Team Stats'!$F$2:$F$366)+0.44*_xlfn.XLOOKUP(A144,'Team Stats'!$B$2:$B$366,'Team Stats'!$L$2:$L$366)+_xlfn.XLOOKUP(A144,'Team Stats'!$B$2:$B$366,'Team Stats'!$Q$2:$Q$366))*100</f>
        <v>12.467323547154637</v>
      </c>
      <c r="D144" s="146">
        <f>_xlfn.XLOOKUP(A144,'Team Stats'!$B$2:$B$366,'Team Stats'!$N$2:$N$366)/(_xlfn.XLOOKUP(A144,'Team Stats'!$B$2:$B$366,'Team Stats'!$N$2:$N$366)+_xlfn.XLOOKUP(A144,'Opponents stats vs'!$B$2:$B$366,'Opponents stats vs'!$O$2:$O$366))*100</f>
        <v>32.122905027932966</v>
      </c>
      <c r="E144" s="146">
        <f>_xlfn.XLOOKUP(A144,'Team Stats'!$B$2:$B$366,'Team Stats'!$K$2:$K$366)/_xlfn.XLOOKUP(A144,'Team Stats'!$B$2:$B$366,'Team Stats'!$F$2:$F$366)*100</f>
        <v>23.980424143556281</v>
      </c>
      <c r="F144" s="146">
        <f>_xlfn.XLOOKUP(A144,'Team Stats'!$B$2:$B$366,'Team Stats'!$F$2:$F$366)+0.44*_xlfn.XLOOKUP(A144,'Team Stats'!$B$2:$B$366,'Team Stats'!$L$2:$L$366)+_xlfn.XLOOKUP(A144,'Team Stats'!$B$2:$B$366,'Team Stats'!$T$2:$T$366)-_xlfn.XLOOKUP(A144,'Team Stats'!$B$2:$B$366,'Team Stats'!$N$2:$N$366)</f>
        <v>71.66</v>
      </c>
      <c r="G144">
        <f>_xlfn.XLOOKUP(A144,'Team Stats'!$B$2:$B$366,'Team Stats'!$D$2:$D$366)/F144</f>
        <v>1.0787049958135642</v>
      </c>
      <c r="H144">
        <f>_xlfn.XLOOKUP(A144,'Team Stats'!$B$2:$B$366,'Team Stats'!$D$2:$D$366)</f>
        <v>77.3</v>
      </c>
    </row>
    <row r="145" spans="1:8" ht="15" customHeight="1" x14ac:dyDescent="0.25">
      <c r="A145" t="s">
        <v>360</v>
      </c>
      <c r="B145" s="146">
        <f t="array" ref="B145">_xlfn.XLOOKUP(A145,'Team Stats'!$B$2:$B$366,('Team Stats'!$E$2:$E$366+'Team Stats'!$H$2:$H$366/2)/'Team Stats'!$F$2:$F$366)*100</f>
        <v>51.845637583892611</v>
      </c>
      <c r="C145" s="146">
        <f>_xlfn.XLOOKUP(A145,'Team Stats'!$B$2:$B$366,'Team Stats'!$T$2:$T$366)/( _xlfn.XLOOKUP(A145,'Team Stats'!$B$2:$B$366,'Team Stats'!$T$2:$T$366)+_xlfn.XLOOKUP(A145,'Team Stats'!$B$2:$B$366,'Team Stats'!$F$2:$F$366)+0.44*_xlfn.XLOOKUP(A145,'Team Stats'!$B$2:$B$366,'Team Stats'!$L$2:$L$366)+_xlfn.XLOOKUP(A145,'Team Stats'!$B$2:$B$366,'Team Stats'!$Q$2:$Q$366))*100</f>
        <v>11.733583649784531</v>
      </c>
      <c r="D145" s="146">
        <f>_xlfn.XLOOKUP(A145,'Team Stats'!$B$2:$B$366,'Team Stats'!$N$2:$N$366)/(_xlfn.XLOOKUP(A145,'Team Stats'!$B$2:$B$366,'Team Stats'!$N$2:$N$366)+_xlfn.XLOOKUP(A145,'Opponents stats vs'!$B$2:$B$366,'Opponents stats vs'!$O$2:$O$366))*100</f>
        <v>28.939828080229223</v>
      </c>
      <c r="E145" s="146">
        <f>_xlfn.XLOOKUP(A145,'Team Stats'!$B$2:$B$366,'Team Stats'!$K$2:$K$366)/_xlfn.XLOOKUP(A145,'Team Stats'!$B$2:$B$366,'Team Stats'!$F$2:$F$366)*100</f>
        <v>25.503355704697984</v>
      </c>
      <c r="F145" s="146">
        <f>_xlfn.XLOOKUP(A145,'Team Stats'!$B$2:$B$366,'Team Stats'!$F$2:$F$366)+0.44*_xlfn.XLOOKUP(A145,'Team Stats'!$B$2:$B$366,'Team Stats'!$L$2:$L$366)+_xlfn.XLOOKUP(A145,'Team Stats'!$B$2:$B$366,'Team Stats'!$T$2:$T$366)-_xlfn.XLOOKUP(A145,'Team Stats'!$B$2:$B$366,'Team Stats'!$N$2:$N$366)</f>
        <v>70.048000000000002</v>
      </c>
      <c r="G145">
        <f>_xlfn.XLOOKUP(A145,'Team Stats'!$B$2:$B$366,'Team Stats'!$D$2:$D$366)/F145</f>
        <v>1.0992462311557789</v>
      </c>
      <c r="H145">
        <f>_xlfn.XLOOKUP(A145,'Team Stats'!$B$2:$B$366,'Team Stats'!$D$2:$D$366)</f>
        <v>77</v>
      </c>
    </row>
    <row r="146" spans="1:8" ht="15" customHeight="1" x14ac:dyDescent="0.25">
      <c r="A146" t="s">
        <v>28</v>
      </c>
      <c r="B146" s="146">
        <f t="array" ref="B146">_xlfn.XLOOKUP(A146,'Team Stats'!$B$2:$B$366,('Team Stats'!$E$2:$E$366+'Team Stats'!$H$2:$H$366/2)/'Team Stats'!$F$2:$F$366)*100</f>
        <v>52.584814216478179</v>
      </c>
      <c r="C146" s="146">
        <f>_xlfn.XLOOKUP(A146,'Team Stats'!$B$2:$B$366,'Team Stats'!$T$2:$T$366)/( _xlfn.XLOOKUP(A146,'Team Stats'!$B$2:$B$366,'Team Stats'!$T$2:$T$366)+_xlfn.XLOOKUP(A146,'Team Stats'!$B$2:$B$366,'Team Stats'!$F$2:$F$366)+0.44*_xlfn.XLOOKUP(A146,'Team Stats'!$B$2:$B$366,'Team Stats'!$L$2:$L$366)+_xlfn.XLOOKUP(A146,'Team Stats'!$B$2:$B$366,'Team Stats'!$Q$2:$Q$366))*100</f>
        <v>9.8869449340153892</v>
      </c>
      <c r="D146" s="146">
        <f>_xlfn.XLOOKUP(A146,'Team Stats'!$B$2:$B$366,'Team Stats'!$N$2:$N$366)/(_xlfn.XLOOKUP(A146,'Team Stats'!$B$2:$B$366,'Team Stats'!$N$2:$N$366)+_xlfn.XLOOKUP(A146,'Opponents stats vs'!$B$2:$B$366,'Opponents stats vs'!$O$2:$O$366))*100</f>
        <v>35.833333333333336</v>
      </c>
      <c r="E146" s="146">
        <f>_xlfn.XLOOKUP(A146,'Team Stats'!$B$2:$B$366,'Team Stats'!$K$2:$K$366)/_xlfn.XLOOKUP(A146,'Team Stats'!$B$2:$B$366,'Team Stats'!$F$2:$F$366)*100</f>
        <v>20.032310177705977</v>
      </c>
      <c r="F146" s="146">
        <f>_xlfn.XLOOKUP(A146,'Team Stats'!$B$2:$B$366,'Team Stats'!$F$2:$F$366)+0.44*_xlfn.XLOOKUP(A146,'Team Stats'!$B$2:$B$366,'Team Stats'!$L$2:$L$366)+_xlfn.XLOOKUP(A146,'Team Stats'!$B$2:$B$366,'Team Stats'!$T$2:$T$366)-_xlfn.XLOOKUP(A146,'Team Stats'!$B$2:$B$366,'Team Stats'!$N$2:$N$366)</f>
        <v>66.251999999999995</v>
      </c>
      <c r="G146">
        <f>_xlfn.XLOOKUP(A146,'Team Stats'!$B$2:$B$366,'Team Stats'!$D$2:$D$366)/F146</f>
        <v>1.1697760067620602</v>
      </c>
      <c r="H146">
        <f>_xlfn.XLOOKUP(A146,'Team Stats'!$B$2:$B$366,'Team Stats'!$D$2:$D$366)</f>
        <v>77.5</v>
      </c>
    </row>
    <row r="147" spans="1:8" ht="15" customHeight="1" x14ac:dyDescent="0.25">
      <c r="A147" t="s">
        <v>469</v>
      </c>
      <c r="B147" s="146">
        <f t="array" ref="B147">_xlfn.XLOOKUP(A147,'Team Stats'!$B$2:$B$366,('Team Stats'!$E$2:$E$366+'Team Stats'!$H$2:$H$366/2)/'Team Stats'!$F$2:$F$366)*100</f>
        <v>48.07692307692308</v>
      </c>
      <c r="C147" s="146">
        <f>_xlfn.XLOOKUP(A147,'Team Stats'!$B$2:$B$366,'Team Stats'!$T$2:$T$366)/( _xlfn.XLOOKUP(A147,'Team Stats'!$B$2:$B$366,'Team Stats'!$T$2:$T$366)+_xlfn.XLOOKUP(A147,'Team Stats'!$B$2:$B$366,'Team Stats'!$F$2:$F$366)+0.44*_xlfn.XLOOKUP(A147,'Team Stats'!$B$2:$B$366,'Team Stats'!$L$2:$L$366)+_xlfn.XLOOKUP(A147,'Team Stats'!$B$2:$B$366,'Team Stats'!$Q$2:$Q$366))*100</f>
        <v>10.491668380991564</v>
      </c>
      <c r="D147" s="146">
        <f>_xlfn.XLOOKUP(A147,'Team Stats'!$B$2:$B$366,'Team Stats'!$N$2:$N$366)/(_xlfn.XLOOKUP(A147,'Team Stats'!$B$2:$B$366,'Team Stats'!$N$2:$N$366)+_xlfn.XLOOKUP(A147,'Opponents stats vs'!$B$2:$B$366,'Opponents stats vs'!$O$2:$O$366))*100</f>
        <v>32.997481108312336</v>
      </c>
      <c r="E147" s="146">
        <f>_xlfn.XLOOKUP(A147,'Team Stats'!$B$2:$B$366,'Team Stats'!$K$2:$K$366)/_xlfn.XLOOKUP(A147,'Team Stats'!$B$2:$B$366,'Team Stats'!$F$2:$F$366)*100</f>
        <v>31.089743589743591</v>
      </c>
      <c r="F147" s="146">
        <f>_xlfn.XLOOKUP(A147,'Team Stats'!$B$2:$B$366,'Team Stats'!$F$2:$F$366)+0.44*_xlfn.XLOOKUP(A147,'Team Stats'!$B$2:$B$366,'Team Stats'!$L$2:$L$366)+_xlfn.XLOOKUP(A147,'Team Stats'!$B$2:$B$366,'Team Stats'!$T$2:$T$366)-_xlfn.XLOOKUP(A147,'Team Stats'!$B$2:$B$366,'Team Stats'!$N$2:$N$366)</f>
        <v>70.720000000000013</v>
      </c>
      <c r="G147">
        <f>_xlfn.XLOOKUP(A147,'Team Stats'!$B$2:$B$366,'Team Stats'!$D$2:$D$366)/F147</f>
        <v>1.1227375565610858</v>
      </c>
      <c r="H147">
        <f>_xlfn.XLOOKUP(A147,'Team Stats'!$B$2:$B$366,'Team Stats'!$D$2:$D$366)</f>
        <v>79.400000000000006</v>
      </c>
    </row>
    <row r="148" spans="1:8" ht="15" customHeight="1" x14ac:dyDescent="0.25">
      <c r="A148" t="s">
        <v>475</v>
      </c>
      <c r="B148" s="146">
        <f t="array" ref="B148">_xlfn.XLOOKUP(A148,'Team Stats'!$B$2:$B$366,('Team Stats'!$E$2:$E$366+'Team Stats'!$H$2:$H$366/2)/'Team Stats'!$F$2:$F$366)*100</f>
        <v>52.393162393162399</v>
      </c>
      <c r="C148" s="146">
        <f>_xlfn.XLOOKUP(A148,'Team Stats'!$B$2:$B$366,'Team Stats'!$T$2:$T$366)/( _xlfn.XLOOKUP(A148,'Team Stats'!$B$2:$B$366,'Team Stats'!$T$2:$T$366)+_xlfn.XLOOKUP(A148,'Team Stats'!$B$2:$B$366,'Team Stats'!$F$2:$F$366)+0.44*_xlfn.XLOOKUP(A148,'Team Stats'!$B$2:$B$366,'Team Stats'!$L$2:$L$366)+_xlfn.XLOOKUP(A148,'Team Stats'!$B$2:$B$366,'Team Stats'!$Q$2:$Q$366))*100</f>
        <v>12.033694344163658</v>
      </c>
      <c r="D148" s="146">
        <f>_xlfn.XLOOKUP(A148,'Team Stats'!$B$2:$B$366,'Team Stats'!$N$2:$N$366)/(_xlfn.XLOOKUP(A148,'Team Stats'!$B$2:$B$366,'Team Stats'!$N$2:$N$366)+_xlfn.XLOOKUP(A148,'Opponents stats vs'!$B$2:$B$366,'Opponents stats vs'!$O$2:$O$366))*100</f>
        <v>34.110787172011662</v>
      </c>
      <c r="E148" s="146">
        <f>_xlfn.XLOOKUP(A148,'Team Stats'!$B$2:$B$366,'Team Stats'!$K$2:$K$366)/_xlfn.XLOOKUP(A148,'Team Stats'!$B$2:$B$366,'Team Stats'!$F$2:$F$366)*100</f>
        <v>26.837606837606838</v>
      </c>
      <c r="F148" s="146">
        <f>_xlfn.XLOOKUP(A148,'Team Stats'!$B$2:$B$366,'Team Stats'!$F$2:$F$366)+0.44*_xlfn.XLOOKUP(A148,'Team Stats'!$B$2:$B$366,'Team Stats'!$L$2:$L$366)+_xlfn.XLOOKUP(A148,'Team Stats'!$B$2:$B$366,'Team Stats'!$T$2:$T$366)-_xlfn.XLOOKUP(A148,'Team Stats'!$B$2:$B$366,'Team Stats'!$N$2:$N$366)</f>
        <v>67.372</v>
      </c>
      <c r="G148">
        <f>_xlfn.XLOOKUP(A148,'Team Stats'!$B$2:$B$366,'Team Stats'!$D$2:$D$366)/F148</f>
        <v>1.1429080330107464</v>
      </c>
      <c r="H148">
        <f>_xlfn.XLOOKUP(A148,'Team Stats'!$B$2:$B$366,'Team Stats'!$D$2:$D$366)</f>
        <v>77</v>
      </c>
    </row>
    <row r="149" spans="1:8" ht="15" customHeight="1" x14ac:dyDescent="0.25">
      <c r="A149" t="s">
        <v>192</v>
      </c>
      <c r="B149" s="146">
        <f t="array" ref="B149">_xlfn.XLOOKUP(A149,'Team Stats'!$B$2:$B$366,('Team Stats'!$E$2:$E$366+'Team Stats'!$H$2:$H$366/2)/'Team Stats'!$F$2:$F$366)*100</f>
        <v>51.262626262626263</v>
      </c>
      <c r="C149" s="146">
        <f>_xlfn.XLOOKUP(A149,'Team Stats'!$B$2:$B$366,'Team Stats'!$T$2:$T$366)/( _xlfn.XLOOKUP(A149,'Team Stats'!$B$2:$B$366,'Team Stats'!$T$2:$T$366)+_xlfn.XLOOKUP(A149,'Team Stats'!$B$2:$B$366,'Team Stats'!$F$2:$F$366)+0.44*_xlfn.XLOOKUP(A149,'Team Stats'!$B$2:$B$366,'Team Stats'!$L$2:$L$366)+_xlfn.XLOOKUP(A149,'Team Stats'!$B$2:$B$366,'Team Stats'!$Q$2:$Q$366))*100</f>
        <v>13.8752856676461</v>
      </c>
      <c r="D149" s="146">
        <f>_xlfn.XLOOKUP(A149,'Team Stats'!$B$2:$B$366,'Team Stats'!$N$2:$N$366)/(_xlfn.XLOOKUP(A149,'Team Stats'!$B$2:$B$366,'Team Stats'!$N$2:$N$366)+_xlfn.XLOOKUP(A149,'Opponents stats vs'!$B$2:$B$366,'Opponents stats vs'!$O$2:$O$366))*100</f>
        <v>29.17847025495751</v>
      </c>
      <c r="E149" s="146">
        <f>_xlfn.XLOOKUP(A149,'Team Stats'!$B$2:$B$366,'Team Stats'!$K$2:$K$366)/_xlfn.XLOOKUP(A149,'Team Stats'!$B$2:$B$366,'Team Stats'!$F$2:$F$366)*100</f>
        <v>27.27272727272727</v>
      </c>
      <c r="F149" s="146">
        <f>_xlfn.XLOOKUP(A149,'Team Stats'!$B$2:$B$366,'Team Stats'!$F$2:$F$366)+0.44*_xlfn.XLOOKUP(A149,'Team Stats'!$B$2:$B$366,'Team Stats'!$L$2:$L$366)+_xlfn.XLOOKUP(A149,'Team Stats'!$B$2:$B$366,'Team Stats'!$T$2:$T$366)-_xlfn.XLOOKUP(A149,'Team Stats'!$B$2:$B$366,'Team Stats'!$N$2:$N$366)</f>
        <v>72.116</v>
      </c>
      <c r="G149">
        <f>_xlfn.XLOOKUP(A149,'Team Stats'!$B$2:$B$366,'Team Stats'!$D$2:$D$366)/F149</f>
        <v>1.0691108769205169</v>
      </c>
      <c r="H149">
        <f>_xlfn.XLOOKUP(A149,'Team Stats'!$B$2:$B$366,'Team Stats'!$D$2:$D$366)</f>
        <v>77.099999999999994</v>
      </c>
    </row>
    <row r="150" spans="1:8" ht="15" customHeight="1" x14ac:dyDescent="0.25">
      <c r="A150" t="s">
        <v>325</v>
      </c>
      <c r="B150" s="146">
        <f t="array" ref="B150">_xlfn.XLOOKUP(A150,'Team Stats'!$B$2:$B$366,('Team Stats'!$E$2:$E$366+'Team Stats'!$H$2:$H$366/2)/'Team Stats'!$F$2:$F$366)*100</f>
        <v>51.192368839427672</v>
      </c>
      <c r="C150" s="146">
        <f>_xlfn.XLOOKUP(A150,'Team Stats'!$B$2:$B$366,'Team Stats'!$T$2:$T$366)/( _xlfn.XLOOKUP(A150,'Team Stats'!$B$2:$B$366,'Team Stats'!$T$2:$T$366)+_xlfn.XLOOKUP(A150,'Team Stats'!$B$2:$B$366,'Team Stats'!$F$2:$F$366)+0.44*_xlfn.XLOOKUP(A150,'Team Stats'!$B$2:$B$366,'Team Stats'!$L$2:$L$366)+_xlfn.XLOOKUP(A150,'Team Stats'!$B$2:$B$366,'Team Stats'!$Q$2:$Q$366))*100</f>
        <v>11.995660700129344</v>
      </c>
      <c r="D150" s="146">
        <f>_xlfn.XLOOKUP(A150,'Team Stats'!$B$2:$B$366,'Team Stats'!$N$2:$N$366)/(_xlfn.XLOOKUP(A150,'Team Stats'!$B$2:$B$366,'Team Stats'!$N$2:$N$366)+_xlfn.XLOOKUP(A150,'Opponents stats vs'!$B$2:$B$366,'Opponents stats vs'!$O$2:$O$366))*100</f>
        <v>30.104712041884813</v>
      </c>
      <c r="E150" s="146">
        <f>_xlfn.XLOOKUP(A150,'Team Stats'!$B$2:$B$366,'Team Stats'!$K$2:$K$366)/_xlfn.XLOOKUP(A150,'Team Stats'!$B$2:$B$366,'Team Stats'!$F$2:$F$366)*100</f>
        <v>20.826709062003179</v>
      </c>
      <c r="F150" s="146">
        <f>_xlfn.XLOOKUP(A150,'Team Stats'!$B$2:$B$366,'Team Stats'!$F$2:$F$366)+0.44*_xlfn.XLOOKUP(A150,'Team Stats'!$B$2:$B$366,'Team Stats'!$L$2:$L$366)+_xlfn.XLOOKUP(A150,'Team Stats'!$B$2:$B$366,'Team Stats'!$T$2:$T$366)-_xlfn.XLOOKUP(A150,'Team Stats'!$B$2:$B$366,'Team Stats'!$N$2:$N$366)</f>
        <v>71.567999999999998</v>
      </c>
      <c r="G150">
        <f>_xlfn.XLOOKUP(A150,'Team Stats'!$B$2:$B$366,'Team Stats'!$D$2:$D$366)/F150</f>
        <v>1.0842834786496758</v>
      </c>
      <c r="H150">
        <f>_xlfn.XLOOKUP(A150,'Team Stats'!$B$2:$B$366,'Team Stats'!$D$2:$D$366)</f>
        <v>77.599999999999994</v>
      </c>
    </row>
    <row r="151" spans="1:8" ht="15" customHeight="1" x14ac:dyDescent="0.25">
      <c r="A151" t="s">
        <v>242</v>
      </c>
      <c r="B151" s="146">
        <f t="array" ref="B151">_xlfn.XLOOKUP(A151,'Team Stats'!$B$2:$B$366,('Team Stats'!$E$2:$E$366+'Team Stats'!$H$2:$H$366/2)/'Team Stats'!$F$2:$F$366)*100</f>
        <v>50.326264274061991</v>
      </c>
      <c r="C151" s="146">
        <f>_xlfn.XLOOKUP(A151,'Team Stats'!$B$2:$B$366,'Team Stats'!$T$2:$T$366)/( _xlfn.XLOOKUP(A151,'Team Stats'!$B$2:$B$366,'Team Stats'!$T$2:$T$366)+_xlfn.XLOOKUP(A151,'Team Stats'!$B$2:$B$366,'Team Stats'!$F$2:$F$366)+0.44*_xlfn.XLOOKUP(A151,'Team Stats'!$B$2:$B$366,'Team Stats'!$L$2:$L$366)+_xlfn.XLOOKUP(A151,'Team Stats'!$B$2:$B$366,'Team Stats'!$Q$2:$Q$366))*100</f>
        <v>11.982341812066428</v>
      </c>
      <c r="D151" s="146">
        <f>_xlfn.XLOOKUP(A151,'Team Stats'!$B$2:$B$366,'Team Stats'!$N$2:$N$366)/(_xlfn.XLOOKUP(A151,'Team Stats'!$B$2:$B$366,'Team Stats'!$N$2:$N$366)+_xlfn.XLOOKUP(A151,'Opponents stats vs'!$B$2:$B$366,'Opponents stats vs'!$O$2:$O$366))*100</f>
        <v>33.983286908077993</v>
      </c>
      <c r="E151" s="146">
        <f>_xlfn.XLOOKUP(A151,'Team Stats'!$B$2:$B$366,'Team Stats'!$K$2:$K$366)/_xlfn.XLOOKUP(A151,'Team Stats'!$B$2:$B$366,'Team Stats'!$F$2:$F$366)*100</f>
        <v>26.42740619902121</v>
      </c>
      <c r="F151" s="146">
        <f>_xlfn.XLOOKUP(A151,'Team Stats'!$B$2:$B$366,'Team Stats'!$F$2:$F$366)+0.44*_xlfn.XLOOKUP(A151,'Team Stats'!$B$2:$B$366,'Team Stats'!$L$2:$L$366)+_xlfn.XLOOKUP(A151,'Team Stats'!$B$2:$B$366,'Team Stats'!$T$2:$T$366)-_xlfn.XLOOKUP(A151,'Team Stats'!$B$2:$B$366,'Team Stats'!$N$2:$N$366)</f>
        <v>69.739999999999995</v>
      </c>
      <c r="G151">
        <f>_xlfn.XLOOKUP(A151,'Team Stats'!$B$2:$B$366,'Team Stats'!$D$2:$D$366)/F151</f>
        <v>1.1170060223687985</v>
      </c>
      <c r="H151">
        <f>_xlfn.XLOOKUP(A151,'Team Stats'!$B$2:$B$366,'Team Stats'!$D$2:$D$366)</f>
        <v>77.900000000000006</v>
      </c>
    </row>
    <row r="152" spans="1:8" ht="15" customHeight="1" x14ac:dyDescent="0.25">
      <c r="A152" t="s">
        <v>347</v>
      </c>
      <c r="B152" s="146">
        <f t="array" ref="B152">_xlfn.XLOOKUP(A152,'Team Stats'!$B$2:$B$366,('Team Stats'!$E$2:$E$366+'Team Stats'!$H$2:$H$366/2)/'Team Stats'!$F$2:$F$366)*100</f>
        <v>50.245098039215684</v>
      </c>
      <c r="C152" s="146">
        <f>_xlfn.XLOOKUP(A152,'Team Stats'!$B$2:$B$366,'Team Stats'!$T$2:$T$366)/( _xlfn.XLOOKUP(A152,'Team Stats'!$B$2:$B$366,'Team Stats'!$T$2:$T$366)+_xlfn.XLOOKUP(A152,'Team Stats'!$B$2:$B$366,'Team Stats'!$F$2:$F$366)+0.44*_xlfn.XLOOKUP(A152,'Team Stats'!$B$2:$B$366,'Team Stats'!$L$2:$L$366)+_xlfn.XLOOKUP(A152,'Team Stats'!$B$2:$B$366,'Team Stats'!$Q$2:$Q$366))*100</f>
        <v>10.734732824427478</v>
      </c>
      <c r="D152" s="146">
        <f>_xlfn.XLOOKUP(A152,'Team Stats'!$B$2:$B$366,'Team Stats'!$N$2:$N$366)/(_xlfn.XLOOKUP(A152,'Team Stats'!$B$2:$B$366,'Team Stats'!$N$2:$N$366)+_xlfn.XLOOKUP(A152,'Opponents stats vs'!$B$2:$B$366,'Opponents stats vs'!$O$2:$O$366))*100</f>
        <v>30.02680965147453</v>
      </c>
      <c r="E152" s="146">
        <f>_xlfn.XLOOKUP(A152,'Team Stats'!$B$2:$B$366,'Team Stats'!$K$2:$K$366)/_xlfn.XLOOKUP(A152,'Team Stats'!$B$2:$B$366,'Team Stats'!$F$2:$F$366)*100</f>
        <v>25.653594771241828</v>
      </c>
      <c r="F152" s="146">
        <f>_xlfn.XLOOKUP(A152,'Team Stats'!$B$2:$B$366,'Team Stats'!$F$2:$F$366)+0.44*_xlfn.XLOOKUP(A152,'Team Stats'!$B$2:$B$366,'Team Stats'!$L$2:$L$366)+_xlfn.XLOOKUP(A152,'Team Stats'!$B$2:$B$366,'Team Stats'!$T$2:$T$366)-_xlfn.XLOOKUP(A152,'Team Stats'!$B$2:$B$366,'Team Stats'!$N$2:$N$366)</f>
        <v>69.624000000000009</v>
      </c>
      <c r="G152">
        <f>_xlfn.XLOOKUP(A152,'Team Stats'!$B$2:$B$366,'Team Stats'!$D$2:$D$366)/F152</f>
        <v>1.1073767666321956</v>
      </c>
      <c r="H152">
        <f>_xlfn.XLOOKUP(A152,'Team Stats'!$B$2:$B$366,'Team Stats'!$D$2:$D$366)</f>
        <v>77.099999999999994</v>
      </c>
    </row>
    <row r="153" spans="1:8" ht="15" customHeight="1" x14ac:dyDescent="0.25">
      <c r="A153" t="s">
        <v>53</v>
      </c>
      <c r="B153" s="146">
        <f t="array" ref="B153">_xlfn.XLOOKUP(A153,'Team Stats'!$B$2:$B$366,('Team Stats'!$E$2:$E$366+'Team Stats'!$H$2:$H$366/2)/'Team Stats'!$F$2:$F$366)*100</f>
        <v>51.959114139693355</v>
      </c>
      <c r="C153" s="146">
        <f>_xlfn.XLOOKUP(A153,'Team Stats'!$B$2:$B$366,'Team Stats'!$T$2:$T$366)/( _xlfn.XLOOKUP(A153,'Team Stats'!$B$2:$B$366,'Team Stats'!$T$2:$T$366)+_xlfn.XLOOKUP(A153,'Team Stats'!$B$2:$B$366,'Team Stats'!$F$2:$F$366)+0.44*_xlfn.XLOOKUP(A153,'Team Stats'!$B$2:$B$366,'Team Stats'!$L$2:$L$366)+_xlfn.XLOOKUP(A153,'Team Stats'!$B$2:$B$366,'Team Stats'!$Q$2:$Q$366))*100</f>
        <v>11.621339821009641</v>
      </c>
      <c r="D153" s="146">
        <f>_xlfn.XLOOKUP(A153,'Team Stats'!$B$2:$B$366,'Team Stats'!$N$2:$N$366)/(_xlfn.XLOOKUP(A153,'Team Stats'!$B$2:$B$366,'Team Stats'!$N$2:$N$366)+_xlfn.XLOOKUP(A153,'Opponents stats vs'!$B$2:$B$366,'Opponents stats vs'!$O$2:$O$366))*100</f>
        <v>29.289940828402372</v>
      </c>
      <c r="E153" s="146">
        <f>_xlfn.XLOOKUP(A153,'Team Stats'!$B$2:$B$366,'Team Stats'!$K$2:$K$366)/_xlfn.XLOOKUP(A153,'Team Stats'!$B$2:$B$366,'Team Stats'!$F$2:$F$366)*100</f>
        <v>24.701873935264054</v>
      </c>
      <c r="F153" s="146">
        <f>_xlfn.XLOOKUP(A153,'Team Stats'!$B$2:$B$366,'Team Stats'!$F$2:$F$366)+0.44*_xlfn.XLOOKUP(A153,'Team Stats'!$B$2:$B$366,'Team Stats'!$L$2:$L$366)+_xlfn.XLOOKUP(A153,'Team Stats'!$B$2:$B$366,'Team Stats'!$T$2:$T$366)-_xlfn.XLOOKUP(A153,'Team Stats'!$B$2:$B$366,'Team Stats'!$N$2:$N$366)</f>
        <v>67.772000000000006</v>
      </c>
      <c r="G153">
        <f>_xlfn.XLOOKUP(A153,'Team Stats'!$B$2:$B$366,'Team Stats'!$D$2:$D$366)/F153</f>
        <v>1.1155049282889686</v>
      </c>
      <c r="H153">
        <f>_xlfn.XLOOKUP(A153,'Team Stats'!$B$2:$B$366,'Team Stats'!$D$2:$D$366)</f>
        <v>75.599999999999994</v>
      </c>
    </row>
    <row r="154" spans="1:8" ht="15" customHeight="1" x14ac:dyDescent="0.25">
      <c r="A154" t="s">
        <v>471</v>
      </c>
      <c r="B154" s="146">
        <f t="array" ref="B154">_xlfn.XLOOKUP(A154,'Team Stats'!$B$2:$B$366,('Team Stats'!$E$2:$E$366+'Team Stats'!$H$2:$H$366/2)/'Team Stats'!$F$2:$F$366)*100</f>
        <v>50</v>
      </c>
      <c r="C154" s="146">
        <f>_xlfn.XLOOKUP(A154,'Team Stats'!$B$2:$B$366,'Team Stats'!$T$2:$T$366)/( _xlfn.XLOOKUP(A154,'Team Stats'!$B$2:$B$366,'Team Stats'!$T$2:$T$366)+_xlfn.XLOOKUP(A154,'Team Stats'!$B$2:$B$366,'Team Stats'!$F$2:$F$366)+0.44*_xlfn.XLOOKUP(A154,'Team Stats'!$B$2:$B$366,'Team Stats'!$L$2:$L$366)+_xlfn.XLOOKUP(A154,'Team Stats'!$B$2:$B$366,'Team Stats'!$Q$2:$Q$366))*100</f>
        <v>10.948594753178282</v>
      </c>
      <c r="D154" s="146">
        <f>_xlfn.XLOOKUP(A154,'Team Stats'!$B$2:$B$366,'Team Stats'!$N$2:$N$366)/(_xlfn.XLOOKUP(A154,'Team Stats'!$B$2:$B$366,'Team Stats'!$N$2:$N$366)+_xlfn.XLOOKUP(A154,'Opponents stats vs'!$B$2:$B$366,'Opponents stats vs'!$O$2:$O$366))*100</f>
        <v>39.210526315789473</v>
      </c>
      <c r="E154" s="146">
        <f>_xlfn.XLOOKUP(A154,'Team Stats'!$B$2:$B$366,'Team Stats'!$K$2:$K$366)/_xlfn.XLOOKUP(A154,'Team Stats'!$B$2:$B$366,'Team Stats'!$F$2:$F$366)*100</f>
        <v>25.241157556270092</v>
      </c>
      <c r="F154" s="146">
        <f>_xlfn.XLOOKUP(A154,'Team Stats'!$B$2:$B$366,'Team Stats'!$F$2:$F$366)+0.44*_xlfn.XLOOKUP(A154,'Team Stats'!$B$2:$B$366,'Team Stats'!$L$2:$L$366)+_xlfn.XLOOKUP(A154,'Team Stats'!$B$2:$B$366,'Team Stats'!$T$2:$T$366)-_xlfn.XLOOKUP(A154,'Team Stats'!$B$2:$B$366,'Team Stats'!$N$2:$N$366)</f>
        <v>67.675999999999988</v>
      </c>
      <c r="G154">
        <f>_xlfn.XLOOKUP(A154,'Team Stats'!$B$2:$B$366,'Team Stats'!$D$2:$D$366)/F154</f>
        <v>1.1510727584372602</v>
      </c>
      <c r="H154">
        <f>_xlfn.XLOOKUP(A154,'Team Stats'!$B$2:$B$366,'Team Stats'!$D$2:$D$366)</f>
        <v>77.900000000000006</v>
      </c>
    </row>
    <row r="155" spans="1:8" ht="15" customHeight="1" x14ac:dyDescent="0.25">
      <c r="A155" t="s">
        <v>203</v>
      </c>
      <c r="B155" s="146">
        <f t="array" ref="B155">_xlfn.XLOOKUP(A155,'Team Stats'!$B$2:$B$366,('Team Stats'!$E$2:$E$366+'Team Stats'!$H$2:$H$366/2)/'Team Stats'!$F$2:$F$366)*100</f>
        <v>51.252086811352257</v>
      </c>
      <c r="C155" s="146">
        <f>_xlfn.XLOOKUP(A155,'Team Stats'!$B$2:$B$366,'Team Stats'!$T$2:$T$366)/( _xlfn.XLOOKUP(A155,'Team Stats'!$B$2:$B$366,'Team Stats'!$T$2:$T$366)+_xlfn.XLOOKUP(A155,'Team Stats'!$B$2:$B$366,'Team Stats'!$F$2:$F$366)+0.44*_xlfn.XLOOKUP(A155,'Team Stats'!$B$2:$B$366,'Team Stats'!$L$2:$L$366)+_xlfn.XLOOKUP(A155,'Team Stats'!$B$2:$B$366,'Team Stats'!$Q$2:$Q$366))*100</f>
        <v>10.493747024968627</v>
      </c>
      <c r="D155" s="146">
        <f>_xlfn.XLOOKUP(A155,'Team Stats'!$B$2:$B$366,'Team Stats'!$N$2:$N$366)/(_xlfn.XLOOKUP(A155,'Team Stats'!$B$2:$B$366,'Team Stats'!$N$2:$N$366)+_xlfn.XLOOKUP(A155,'Opponents stats vs'!$B$2:$B$366,'Opponents stats vs'!$O$2:$O$366))*100</f>
        <v>27.792915531335144</v>
      </c>
      <c r="E155" s="146">
        <f>_xlfn.XLOOKUP(A155,'Team Stats'!$B$2:$B$366,'Team Stats'!$K$2:$K$366)/_xlfn.XLOOKUP(A155,'Team Stats'!$B$2:$B$366,'Team Stats'!$F$2:$F$366)*100</f>
        <v>26.71118530884808</v>
      </c>
      <c r="F155" s="146">
        <f>_xlfn.XLOOKUP(A155,'Team Stats'!$B$2:$B$366,'Team Stats'!$F$2:$F$366)+0.44*_xlfn.XLOOKUP(A155,'Team Stats'!$B$2:$B$366,'Team Stats'!$L$2:$L$366)+_xlfn.XLOOKUP(A155,'Team Stats'!$B$2:$B$366,'Team Stats'!$T$2:$T$366)-_xlfn.XLOOKUP(A155,'Team Stats'!$B$2:$B$366,'Team Stats'!$N$2:$N$366)</f>
        <v>69.036000000000001</v>
      </c>
      <c r="G155">
        <f>_xlfn.XLOOKUP(A155,'Team Stats'!$B$2:$B$366,'Team Stats'!$D$2:$D$366)/F155</f>
        <v>1.1226027000405585</v>
      </c>
      <c r="H155">
        <f>_xlfn.XLOOKUP(A155,'Team Stats'!$B$2:$B$366,'Team Stats'!$D$2:$D$366)</f>
        <v>77.5</v>
      </c>
    </row>
    <row r="156" spans="1:8" ht="15" customHeight="1" x14ac:dyDescent="0.25">
      <c r="A156" t="s">
        <v>251</v>
      </c>
      <c r="B156" s="146">
        <f t="array" ref="B156">_xlfn.XLOOKUP(A156,'Team Stats'!$B$2:$B$366,('Team Stats'!$E$2:$E$366+'Team Stats'!$H$2:$H$366/2)/'Team Stats'!$F$2:$F$366)*100</f>
        <v>54.130808950086049</v>
      </c>
      <c r="C156" s="146">
        <f>_xlfn.XLOOKUP(A156,'Team Stats'!$B$2:$B$366,'Team Stats'!$T$2:$T$366)/( _xlfn.XLOOKUP(A156,'Team Stats'!$B$2:$B$366,'Team Stats'!$T$2:$T$366)+_xlfn.XLOOKUP(A156,'Team Stats'!$B$2:$B$366,'Team Stats'!$F$2:$F$366)+0.44*_xlfn.XLOOKUP(A156,'Team Stats'!$B$2:$B$366,'Team Stats'!$L$2:$L$366)+_xlfn.XLOOKUP(A156,'Team Stats'!$B$2:$B$366,'Team Stats'!$Q$2:$Q$366))*100</f>
        <v>13.343089570869024</v>
      </c>
      <c r="D156" s="146">
        <f>_xlfn.XLOOKUP(A156,'Team Stats'!$B$2:$B$366,'Team Stats'!$N$2:$N$366)/(_xlfn.XLOOKUP(A156,'Team Stats'!$B$2:$B$366,'Team Stats'!$N$2:$N$366)+_xlfn.XLOOKUP(A156,'Opponents stats vs'!$B$2:$B$366,'Opponents stats vs'!$O$2:$O$366))*100</f>
        <v>31.677018633540367</v>
      </c>
      <c r="E156" s="146">
        <f>_xlfn.XLOOKUP(A156,'Team Stats'!$B$2:$B$366,'Team Stats'!$K$2:$K$366)/_xlfn.XLOOKUP(A156,'Team Stats'!$B$2:$B$366,'Team Stats'!$F$2:$F$366)*100</f>
        <v>26.1617900172117</v>
      </c>
      <c r="F156" s="146">
        <f>_xlfn.XLOOKUP(A156,'Team Stats'!$B$2:$B$366,'Team Stats'!$F$2:$F$366)+0.44*_xlfn.XLOOKUP(A156,'Team Stats'!$B$2:$B$366,'Team Stats'!$L$2:$L$366)+_xlfn.XLOOKUP(A156,'Team Stats'!$B$2:$B$366,'Team Stats'!$T$2:$T$366)-_xlfn.XLOOKUP(A156,'Team Stats'!$B$2:$B$366,'Team Stats'!$N$2:$N$366)</f>
        <v>69.231999999999999</v>
      </c>
      <c r="G156">
        <f>_xlfn.XLOOKUP(A156,'Team Stats'!$B$2:$B$366,'Team Stats'!$D$2:$D$366)/F156</f>
        <v>1.1295354749248903</v>
      </c>
      <c r="H156">
        <f>_xlfn.XLOOKUP(A156,'Team Stats'!$B$2:$B$366,'Team Stats'!$D$2:$D$366)</f>
        <v>78.2</v>
      </c>
    </row>
    <row r="157" spans="1:8" ht="15" customHeight="1" x14ac:dyDescent="0.25">
      <c r="A157" t="s">
        <v>91</v>
      </c>
      <c r="B157" s="146">
        <f t="array" ref="B157">_xlfn.XLOOKUP(A157,'Team Stats'!$B$2:$B$366,('Team Stats'!$E$2:$E$366+'Team Stats'!$H$2:$H$366/2)/'Team Stats'!$F$2:$F$366)*100</f>
        <v>51.712328767123296</v>
      </c>
      <c r="C157" s="146">
        <f>_xlfn.XLOOKUP(A157,'Team Stats'!$B$2:$B$366,'Team Stats'!$T$2:$T$366)/( _xlfn.XLOOKUP(A157,'Team Stats'!$B$2:$B$366,'Team Stats'!$T$2:$T$366)+_xlfn.XLOOKUP(A157,'Team Stats'!$B$2:$B$366,'Team Stats'!$F$2:$F$366)+0.44*_xlfn.XLOOKUP(A157,'Team Stats'!$B$2:$B$366,'Team Stats'!$L$2:$L$366)+_xlfn.XLOOKUP(A157,'Team Stats'!$B$2:$B$366,'Team Stats'!$Q$2:$Q$366))*100</f>
        <v>10.778184953653804</v>
      </c>
      <c r="D157" s="146">
        <f>_xlfn.XLOOKUP(A157,'Team Stats'!$B$2:$B$366,'Team Stats'!$N$2:$N$366)/(_xlfn.XLOOKUP(A157,'Team Stats'!$B$2:$B$366,'Team Stats'!$N$2:$N$366)+_xlfn.XLOOKUP(A157,'Opponents stats vs'!$B$2:$B$366,'Opponents stats vs'!$O$2:$O$366))*100</f>
        <v>36.088154269972456</v>
      </c>
      <c r="E157" s="146">
        <f>_xlfn.XLOOKUP(A157,'Team Stats'!$B$2:$B$366,'Team Stats'!$K$2:$K$366)/_xlfn.XLOOKUP(A157,'Team Stats'!$B$2:$B$366,'Team Stats'!$F$2:$F$366)*100</f>
        <v>28.767123287671236</v>
      </c>
      <c r="F157" s="146">
        <f>_xlfn.XLOOKUP(A157,'Team Stats'!$B$2:$B$366,'Team Stats'!$F$2:$F$366)+0.44*_xlfn.XLOOKUP(A157,'Team Stats'!$B$2:$B$366,'Team Stats'!$L$2:$L$366)+_xlfn.XLOOKUP(A157,'Team Stats'!$B$2:$B$366,'Team Stats'!$T$2:$T$366)-_xlfn.XLOOKUP(A157,'Team Stats'!$B$2:$B$366,'Team Stats'!$N$2:$N$366)</f>
        <v>66.08</v>
      </c>
      <c r="G157">
        <f>_xlfn.XLOOKUP(A157,'Team Stats'!$B$2:$B$366,'Team Stats'!$D$2:$D$366)/F157</f>
        <v>1.1697941888619854</v>
      </c>
      <c r="H157">
        <f>_xlfn.XLOOKUP(A157,'Team Stats'!$B$2:$B$366,'Team Stats'!$D$2:$D$366)</f>
        <v>77.3</v>
      </c>
    </row>
    <row r="158" spans="1:8" ht="15" customHeight="1" x14ac:dyDescent="0.25">
      <c r="A158" t="s">
        <v>69</v>
      </c>
      <c r="B158" s="146">
        <f t="array" ref="B158">_xlfn.XLOOKUP(A158,'Team Stats'!$B$2:$B$366,('Team Stats'!$E$2:$E$366+'Team Stats'!$H$2:$H$366/2)/'Team Stats'!$F$2:$F$366)*100</f>
        <v>56.377079482439932</v>
      </c>
      <c r="C158" s="146">
        <f>_xlfn.XLOOKUP(A158,'Team Stats'!$B$2:$B$366,'Team Stats'!$T$2:$T$366)/( _xlfn.XLOOKUP(A158,'Team Stats'!$B$2:$B$366,'Team Stats'!$T$2:$T$366)+_xlfn.XLOOKUP(A158,'Team Stats'!$B$2:$B$366,'Team Stats'!$F$2:$F$366)+0.44*_xlfn.XLOOKUP(A158,'Team Stats'!$B$2:$B$366,'Team Stats'!$L$2:$L$366)+_xlfn.XLOOKUP(A158,'Team Stats'!$B$2:$B$366,'Team Stats'!$Q$2:$Q$366))*100</f>
        <v>10.728623506068018</v>
      </c>
      <c r="D158" s="146">
        <f>_xlfn.XLOOKUP(A158,'Team Stats'!$B$2:$B$366,'Team Stats'!$N$2:$N$366)/(_xlfn.XLOOKUP(A158,'Team Stats'!$B$2:$B$366,'Team Stats'!$N$2:$N$366)+_xlfn.XLOOKUP(A158,'Opponents stats vs'!$B$2:$B$366,'Opponents stats vs'!$O$2:$O$366))*100</f>
        <v>30.508474576271187</v>
      </c>
      <c r="E158" s="146">
        <f>_xlfn.XLOOKUP(A158,'Team Stats'!$B$2:$B$366,'Team Stats'!$K$2:$K$366)/_xlfn.XLOOKUP(A158,'Team Stats'!$B$2:$B$366,'Team Stats'!$F$2:$F$366)*100</f>
        <v>26.802218114602589</v>
      </c>
      <c r="F158" s="146">
        <f>_xlfn.XLOOKUP(A158,'Team Stats'!$B$2:$B$366,'Team Stats'!$F$2:$F$366)+0.44*_xlfn.XLOOKUP(A158,'Team Stats'!$B$2:$B$366,'Team Stats'!$L$2:$L$366)+_xlfn.XLOOKUP(A158,'Team Stats'!$B$2:$B$366,'Team Stats'!$T$2:$T$366)-_xlfn.XLOOKUP(A158,'Team Stats'!$B$2:$B$366,'Team Stats'!$N$2:$N$366)</f>
        <v>62.584000000000003</v>
      </c>
      <c r="G158">
        <f>_xlfn.XLOOKUP(A158,'Team Stats'!$B$2:$B$366,'Team Stats'!$D$2:$D$366)/F158</f>
        <v>1.2047807746388854</v>
      </c>
      <c r="H158">
        <f>_xlfn.XLOOKUP(A158,'Team Stats'!$B$2:$B$366,'Team Stats'!$D$2:$D$366)</f>
        <v>75.400000000000006</v>
      </c>
    </row>
    <row r="159" spans="1:8" ht="15" customHeight="1" x14ac:dyDescent="0.25">
      <c r="A159" t="s">
        <v>453</v>
      </c>
      <c r="B159" s="146">
        <f t="array" ref="B159">_xlfn.XLOOKUP(A159,'Team Stats'!$B$2:$B$366,('Team Stats'!$E$2:$E$366+'Team Stats'!$H$2:$H$366/2)/'Team Stats'!$F$2:$F$366)*100</f>
        <v>53.754266211604097</v>
      </c>
      <c r="C159" s="146">
        <f>_xlfn.XLOOKUP(A159,'Team Stats'!$B$2:$B$366,'Team Stats'!$T$2:$T$366)/( _xlfn.XLOOKUP(A159,'Team Stats'!$B$2:$B$366,'Team Stats'!$T$2:$T$366)+_xlfn.XLOOKUP(A159,'Team Stats'!$B$2:$B$366,'Team Stats'!$F$2:$F$366)+0.44*_xlfn.XLOOKUP(A159,'Team Stats'!$B$2:$B$366,'Team Stats'!$L$2:$L$366)+_xlfn.XLOOKUP(A159,'Team Stats'!$B$2:$B$366,'Team Stats'!$Q$2:$Q$366))*100</f>
        <v>13.121665806229563</v>
      </c>
      <c r="D159" s="146">
        <f>_xlfn.XLOOKUP(A159,'Team Stats'!$B$2:$B$366,'Team Stats'!$N$2:$N$366)/(_xlfn.XLOOKUP(A159,'Team Stats'!$B$2:$B$366,'Team Stats'!$N$2:$N$366)+_xlfn.XLOOKUP(A159,'Opponents stats vs'!$B$2:$B$366,'Opponents stats vs'!$O$2:$O$366))*100</f>
        <v>28.656716417910449</v>
      </c>
      <c r="E159" s="146">
        <f>_xlfn.XLOOKUP(A159,'Team Stats'!$B$2:$B$366,'Team Stats'!$K$2:$K$366)/_xlfn.XLOOKUP(A159,'Team Stats'!$B$2:$B$366,'Team Stats'!$F$2:$F$366)*100</f>
        <v>22.184300341296929</v>
      </c>
      <c r="F159" s="146">
        <f>_xlfn.XLOOKUP(A159,'Team Stats'!$B$2:$B$366,'Team Stats'!$F$2:$F$366)+0.44*_xlfn.XLOOKUP(A159,'Team Stats'!$B$2:$B$366,'Team Stats'!$L$2:$L$366)+_xlfn.XLOOKUP(A159,'Team Stats'!$B$2:$B$366,'Team Stats'!$T$2:$T$366)-_xlfn.XLOOKUP(A159,'Team Stats'!$B$2:$B$366,'Team Stats'!$N$2:$N$366)</f>
        <v>69.076000000000008</v>
      </c>
      <c r="G159">
        <f>_xlfn.XLOOKUP(A159,'Team Stats'!$B$2:$B$366,'Team Stats'!$D$2:$D$366)/F159</f>
        <v>1.1016851004690484</v>
      </c>
      <c r="H159">
        <f>_xlfn.XLOOKUP(A159,'Team Stats'!$B$2:$B$366,'Team Stats'!$D$2:$D$366)</f>
        <v>76.099999999999994</v>
      </c>
    </row>
    <row r="160" spans="1:8" ht="15" customHeight="1" x14ac:dyDescent="0.25">
      <c r="A160" t="s">
        <v>462</v>
      </c>
      <c r="B160" s="146">
        <f t="array" ref="B160">_xlfn.XLOOKUP(A160,'Team Stats'!$B$2:$B$366,('Team Stats'!$E$2:$E$366+'Team Stats'!$H$2:$H$366/2)/'Team Stats'!$F$2:$F$366)*100</f>
        <v>51.309328968903436</v>
      </c>
      <c r="C160" s="146">
        <f>_xlfn.XLOOKUP(A160,'Team Stats'!$B$2:$B$366,'Team Stats'!$T$2:$T$366)/( _xlfn.XLOOKUP(A160,'Team Stats'!$B$2:$B$366,'Team Stats'!$T$2:$T$366)+_xlfn.XLOOKUP(A160,'Team Stats'!$B$2:$B$366,'Team Stats'!$F$2:$F$366)+0.44*_xlfn.XLOOKUP(A160,'Team Stats'!$B$2:$B$366,'Team Stats'!$L$2:$L$366)+_xlfn.XLOOKUP(A160,'Team Stats'!$B$2:$B$366,'Team Stats'!$Q$2:$Q$366))*100</f>
        <v>11.356331690593528</v>
      </c>
      <c r="D160" s="146">
        <f>_xlfn.XLOOKUP(A160,'Team Stats'!$B$2:$B$366,'Team Stats'!$N$2:$N$366)/(_xlfn.XLOOKUP(A160,'Team Stats'!$B$2:$B$366,'Team Stats'!$N$2:$N$366)+_xlfn.XLOOKUP(A160,'Opponents stats vs'!$B$2:$B$366,'Opponents stats vs'!$O$2:$O$366))*100</f>
        <v>34.310850439882699</v>
      </c>
      <c r="E160" s="146">
        <f>_xlfn.XLOOKUP(A160,'Team Stats'!$B$2:$B$366,'Team Stats'!$K$2:$K$366)/_xlfn.XLOOKUP(A160,'Team Stats'!$B$2:$B$366,'Team Stats'!$F$2:$F$366)*100</f>
        <v>22.913256955810148</v>
      </c>
      <c r="F160" s="146">
        <f>_xlfn.XLOOKUP(A160,'Team Stats'!$B$2:$B$366,'Team Stats'!$F$2:$F$366)+0.44*_xlfn.XLOOKUP(A160,'Team Stats'!$B$2:$B$366,'Team Stats'!$L$2:$L$366)+_xlfn.XLOOKUP(A160,'Team Stats'!$B$2:$B$366,'Team Stats'!$T$2:$T$366)-_xlfn.XLOOKUP(A160,'Team Stats'!$B$2:$B$366,'Team Stats'!$N$2:$N$366)</f>
        <v>68.14</v>
      </c>
      <c r="G160">
        <f>_xlfn.XLOOKUP(A160,'Team Stats'!$B$2:$B$366,'Team Stats'!$D$2:$D$366)/F160</f>
        <v>1.1256237158790725</v>
      </c>
      <c r="H160">
        <f>_xlfn.XLOOKUP(A160,'Team Stats'!$B$2:$B$366,'Team Stats'!$D$2:$D$366)</f>
        <v>76.7</v>
      </c>
    </row>
    <row r="161" spans="1:8" ht="15" customHeight="1" x14ac:dyDescent="0.25">
      <c r="A161" t="s">
        <v>263</v>
      </c>
      <c r="B161" s="146">
        <f t="array" ref="B161">_xlfn.XLOOKUP(A161,'Team Stats'!$B$2:$B$366,('Team Stats'!$E$2:$E$366+'Team Stats'!$H$2:$H$366/2)/'Team Stats'!$F$2:$F$366)*100</f>
        <v>54.905335628227192</v>
      </c>
      <c r="C161" s="146">
        <f>_xlfn.XLOOKUP(A161,'Team Stats'!$B$2:$B$366,'Team Stats'!$T$2:$T$366)/( _xlfn.XLOOKUP(A161,'Team Stats'!$B$2:$B$366,'Team Stats'!$T$2:$T$366)+_xlfn.XLOOKUP(A161,'Team Stats'!$B$2:$B$366,'Team Stats'!$F$2:$F$366)+0.44*_xlfn.XLOOKUP(A161,'Team Stats'!$B$2:$B$366,'Team Stats'!$L$2:$L$366)+_xlfn.XLOOKUP(A161,'Team Stats'!$B$2:$B$366,'Team Stats'!$Q$2:$Q$366))*100</f>
        <v>12.863582241877868</v>
      </c>
      <c r="D161" s="146">
        <f>_xlfn.XLOOKUP(A161,'Team Stats'!$B$2:$B$366,'Team Stats'!$N$2:$N$366)/(_xlfn.XLOOKUP(A161,'Team Stats'!$B$2:$B$366,'Team Stats'!$N$2:$N$366)+_xlfn.XLOOKUP(A161,'Opponents stats vs'!$B$2:$B$366,'Opponents stats vs'!$O$2:$O$366))*100</f>
        <v>32.937685459940646</v>
      </c>
      <c r="E161" s="146">
        <f>_xlfn.XLOOKUP(A161,'Team Stats'!$B$2:$B$366,'Team Stats'!$K$2:$K$366)/_xlfn.XLOOKUP(A161,'Team Stats'!$B$2:$B$366,'Team Stats'!$F$2:$F$366)*100</f>
        <v>20.998278829604129</v>
      </c>
      <c r="F161" s="146">
        <f>_xlfn.XLOOKUP(A161,'Team Stats'!$B$2:$B$366,'Team Stats'!$F$2:$F$366)+0.44*_xlfn.XLOOKUP(A161,'Team Stats'!$B$2:$B$366,'Team Stats'!$L$2:$L$366)+_xlfn.XLOOKUP(A161,'Team Stats'!$B$2:$B$366,'Team Stats'!$T$2:$T$366)-_xlfn.XLOOKUP(A161,'Team Stats'!$B$2:$B$366,'Team Stats'!$N$2:$N$366)</f>
        <v>67.064000000000007</v>
      </c>
      <c r="G161">
        <f>_xlfn.XLOOKUP(A161,'Team Stats'!$B$2:$B$366,'Team Stats'!$D$2:$D$366)/F161</f>
        <v>1.1332458547059523</v>
      </c>
      <c r="H161">
        <f>_xlfn.XLOOKUP(A161,'Team Stats'!$B$2:$B$366,'Team Stats'!$D$2:$D$366)</f>
        <v>76</v>
      </c>
    </row>
    <row r="162" spans="1:8" ht="15" customHeight="1" x14ac:dyDescent="0.25">
      <c r="A162" t="s">
        <v>243</v>
      </c>
      <c r="B162" s="146">
        <f t="array" ref="B162">_xlfn.XLOOKUP(A162,'Team Stats'!$B$2:$B$366,('Team Stats'!$E$2:$E$366+'Team Stats'!$H$2:$H$366/2)/'Team Stats'!$F$2:$F$366)*100</f>
        <v>52.040816326530617</v>
      </c>
      <c r="C162" s="146">
        <f>_xlfn.XLOOKUP(A162,'Team Stats'!$B$2:$B$366,'Team Stats'!$T$2:$T$366)/( _xlfn.XLOOKUP(A162,'Team Stats'!$B$2:$B$366,'Team Stats'!$T$2:$T$366)+_xlfn.XLOOKUP(A162,'Team Stats'!$B$2:$B$366,'Team Stats'!$F$2:$F$366)+0.44*_xlfn.XLOOKUP(A162,'Team Stats'!$B$2:$B$366,'Team Stats'!$L$2:$L$366)+_xlfn.XLOOKUP(A162,'Team Stats'!$B$2:$B$366,'Team Stats'!$Q$2:$Q$366))*100</f>
        <v>11.321169487799517</v>
      </c>
      <c r="D162" s="146">
        <f>_xlfn.XLOOKUP(A162,'Team Stats'!$B$2:$B$366,'Team Stats'!$N$2:$N$366)/(_xlfn.XLOOKUP(A162,'Team Stats'!$B$2:$B$366,'Team Stats'!$N$2:$N$366)+_xlfn.XLOOKUP(A162,'Opponents stats vs'!$B$2:$B$366,'Opponents stats vs'!$O$2:$O$366))*100</f>
        <v>27.374301675977659</v>
      </c>
      <c r="E162" s="146">
        <f>_xlfn.XLOOKUP(A162,'Team Stats'!$B$2:$B$366,'Team Stats'!$K$2:$K$366)/_xlfn.XLOOKUP(A162,'Team Stats'!$B$2:$B$366,'Team Stats'!$F$2:$F$366)*100</f>
        <v>23.639455782312925</v>
      </c>
      <c r="F162" s="146">
        <f>_xlfn.XLOOKUP(A162,'Team Stats'!$B$2:$B$366,'Team Stats'!$F$2:$F$366)+0.44*_xlfn.XLOOKUP(A162,'Team Stats'!$B$2:$B$366,'Team Stats'!$L$2:$L$366)+_xlfn.XLOOKUP(A162,'Team Stats'!$B$2:$B$366,'Team Stats'!$T$2:$T$366)-_xlfn.XLOOKUP(A162,'Team Stats'!$B$2:$B$366,'Team Stats'!$N$2:$N$366)</f>
        <v>67.88</v>
      </c>
      <c r="G162">
        <f>_xlfn.XLOOKUP(A162,'Team Stats'!$B$2:$B$366,'Team Stats'!$D$2:$D$366)/F162</f>
        <v>1.10489098408957</v>
      </c>
      <c r="H162">
        <f>_xlfn.XLOOKUP(A162,'Team Stats'!$B$2:$B$366,'Team Stats'!$D$2:$D$366)</f>
        <v>75</v>
      </c>
    </row>
    <row r="163" spans="1:8" ht="15" customHeight="1" x14ac:dyDescent="0.25">
      <c r="A163" t="s">
        <v>201</v>
      </c>
      <c r="B163" s="146">
        <f t="array" ref="B163">_xlfn.XLOOKUP(A163,'Team Stats'!$B$2:$B$366,('Team Stats'!$E$2:$E$366+'Team Stats'!$H$2:$H$366/2)/'Team Stats'!$F$2:$F$366)*100</f>
        <v>58.455882352941181</v>
      </c>
      <c r="C163" s="146">
        <f>_xlfn.XLOOKUP(A163,'Team Stats'!$B$2:$B$366,'Team Stats'!$T$2:$T$366)/( _xlfn.XLOOKUP(A163,'Team Stats'!$B$2:$B$366,'Team Stats'!$T$2:$T$366)+_xlfn.XLOOKUP(A163,'Team Stats'!$B$2:$B$366,'Team Stats'!$F$2:$F$366)+0.44*_xlfn.XLOOKUP(A163,'Team Stats'!$B$2:$B$366,'Team Stats'!$L$2:$L$366)+_xlfn.XLOOKUP(A163,'Team Stats'!$B$2:$B$366,'Team Stats'!$Q$2:$Q$366))*100</f>
        <v>13.154910410523927</v>
      </c>
      <c r="D163" s="146">
        <f>_xlfn.XLOOKUP(A163,'Team Stats'!$B$2:$B$366,'Team Stats'!$N$2:$N$366)/(_xlfn.XLOOKUP(A163,'Team Stats'!$B$2:$B$366,'Team Stats'!$N$2:$N$366)+_xlfn.XLOOKUP(A163,'Opponents stats vs'!$B$2:$B$366,'Opponents stats vs'!$O$2:$O$366))*100</f>
        <v>28.040540540540544</v>
      </c>
      <c r="E163" s="146">
        <f>_xlfn.XLOOKUP(A163,'Team Stats'!$B$2:$B$366,'Team Stats'!$K$2:$K$366)/_xlfn.XLOOKUP(A163,'Team Stats'!$B$2:$B$366,'Team Stats'!$F$2:$F$366)*100</f>
        <v>22.610294117647062</v>
      </c>
      <c r="F163" s="146">
        <f>_xlfn.XLOOKUP(A163,'Team Stats'!$B$2:$B$366,'Team Stats'!$F$2:$F$366)+0.44*_xlfn.XLOOKUP(A163,'Team Stats'!$B$2:$B$366,'Team Stats'!$L$2:$L$366)+_xlfn.XLOOKUP(A163,'Team Stats'!$B$2:$B$366,'Team Stats'!$T$2:$T$366)-_xlfn.XLOOKUP(A163,'Team Stats'!$B$2:$B$366,'Team Stats'!$N$2:$N$366)</f>
        <v>65.179999999999993</v>
      </c>
      <c r="G163">
        <f>_xlfn.XLOOKUP(A163,'Team Stats'!$B$2:$B$366,'Team Stats'!$D$2:$D$366)/F163</f>
        <v>1.1660018410555386</v>
      </c>
      <c r="H163">
        <f>_xlfn.XLOOKUP(A163,'Team Stats'!$B$2:$B$366,'Team Stats'!$D$2:$D$366)</f>
        <v>76</v>
      </c>
    </row>
    <row r="164" spans="1:8" ht="15" customHeight="1" x14ac:dyDescent="0.25">
      <c r="A164" t="s">
        <v>417</v>
      </c>
      <c r="B164" s="146">
        <f t="array" ref="B164">_xlfn.XLOOKUP(A164,'Team Stats'!$B$2:$B$366,('Team Stats'!$E$2:$E$366+'Team Stats'!$H$2:$H$366/2)/'Team Stats'!$F$2:$F$366)*100</f>
        <v>52.718286655683691</v>
      </c>
      <c r="C164" s="146">
        <f>_xlfn.XLOOKUP(A164,'Team Stats'!$B$2:$B$366,'Team Stats'!$T$2:$T$366)/( _xlfn.XLOOKUP(A164,'Team Stats'!$B$2:$B$366,'Team Stats'!$T$2:$T$366)+_xlfn.XLOOKUP(A164,'Team Stats'!$B$2:$B$366,'Team Stats'!$F$2:$F$366)+0.44*_xlfn.XLOOKUP(A164,'Team Stats'!$B$2:$B$366,'Team Stats'!$L$2:$L$366)+_xlfn.XLOOKUP(A164,'Team Stats'!$B$2:$B$366,'Team Stats'!$Q$2:$Q$366))*100</f>
        <v>12.008186450588923</v>
      </c>
      <c r="D164" s="146">
        <f>_xlfn.XLOOKUP(A164,'Team Stats'!$B$2:$B$366,'Team Stats'!$N$2:$N$366)/(_xlfn.XLOOKUP(A164,'Team Stats'!$B$2:$B$366,'Team Stats'!$N$2:$N$366)+_xlfn.XLOOKUP(A164,'Opponents stats vs'!$B$2:$B$366,'Opponents stats vs'!$O$2:$O$366))*100</f>
        <v>35</v>
      </c>
      <c r="E164" s="146">
        <f>_xlfn.XLOOKUP(A164,'Team Stats'!$B$2:$B$366,'Team Stats'!$K$2:$K$366)/_xlfn.XLOOKUP(A164,'Team Stats'!$B$2:$B$366,'Team Stats'!$F$2:$F$366)*100</f>
        <v>21.252059308072489</v>
      </c>
      <c r="F164" s="146">
        <f>_xlfn.XLOOKUP(A164,'Team Stats'!$B$2:$B$366,'Team Stats'!$F$2:$F$366)+0.44*_xlfn.XLOOKUP(A164,'Team Stats'!$B$2:$B$366,'Team Stats'!$L$2:$L$366)+_xlfn.XLOOKUP(A164,'Team Stats'!$B$2:$B$366,'Team Stats'!$T$2:$T$366)-_xlfn.XLOOKUP(A164,'Team Stats'!$B$2:$B$366,'Team Stats'!$N$2:$N$366)</f>
        <v>67.867999999999995</v>
      </c>
      <c r="G164">
        <f>_xlfn.XLOOKUP(A164,'Team Stats'!$B$2:$B$366,'Team Stats'!$D$2:$D$366)/F164</f>
        <v>1.1330818647963696</v>
      </c>
      <c r="H164">
        <f>_xlfn.XLOOKUP(A164,'Team Stats'!$B$2:$B$366,'Team Stats'!$D$2:$D$366)</f>
        <v>76.900000000000006</v>
      </c>
    </row>
    <row r="165" spans="1:8" ht="15" customHeight="1" x14ac:dyDescent="0.25">
      <c r="A165" t="s">
        <v>463</v>
      </c>
      <c r="B165" s="146">
        <f t="array" ref="B165">_xlfn.XLOOKUP(A165,'Team Stats'!$B$2:$B$366,('Team Stats'!$E$2:$E$366+'Team Stats'!$H$2:$H$366/2)/'Team Stats'!$F$2:$F$366)*100</f>
        <v>55.253940455341507</v>
      </c>
      <c r="C165" s="146">
        <f>_xlfn.XLOOKUP(A165,'Team Stats'!$B$2:$B$366,'Team Stats'!$T$2:$T$366)/( _xlfn.XLOOKUP(A165,'Team Stats'!$B$2:$B$366,'Team Stats'!$T$2:$T$366)+_xlfn.XLOOKUP(A165,'Team Stats'!$B$2:$B$366,'Team Stats'!$F$2:$F$366)+0.44*_xlfn.XLOOKUP(A165,'Team Stats'!$B$2:$B$366,'Team Stats'!$L$2:$L$366)+_xlfn.XLOOKUP(A165,'Team Stats'!$B$2:$B$366,'Team Stats'!$Q$2:$Q$366))*100</f>
        <v>14.38974403697728</v>
      </c>
      <c r="D165" s="146">
        <f>_xlfn.XLOOKUP(A165,'Team Stats'!$B$2:$B$366,'Team Stats'!$N$2:$N$366)/(_xlfn.XLOOKUP(A165,'Team Stats'!$B$2:$B$366,'Team Stats'!$N$2:$N$366)+_xlfn.XLOOKUP(A165,'Opponents stats vs'!$B$2:$B$366,'Opponents stats vs'!$O$2:$O$366))*100</f>
        <v>30.555555555555557</v>
      </c>
      <c r="E165" s="146">
        <f>_xlfn.XLOOKUP(A165,'Team Stats'!$B$2:$B$366,'Team Stats'!$K$2:$K$366)/_xlfn.XLOOKUP(A165,'Team Stats'!$B$2:$B$366,'Team Stats'!$F$2:$F$366)*100</f>
        <v>23.117338003502624</v>
      </c>
      <c r="F165" s="146">
        <f>_xlfn.XLOOKUP(A165,'Team Stats'!$B$2:$B$366,'Team Stats'!$F$2:$F$366)+0.44*_xlfn.XLOOKUP(A165,'Team Stats'!$B$2:$B$366,'Team Stats'!$L$2:$L$366)+_xlfn.XLOOKUP(A165,'Team Stats'!$B$2:$B$366,'Team Stats'!$T$2:$T$366)-_xlfn.XLOOKUP(A165,'Team Stats'!$B$2:$B$366,'Team Stats'!$N$2:$N$366)</f>
        <v>68.231999999999999</v>
      </c>
      <c r="G165">
        <f>_xlfn.XLOOKUP(A165,'Team Stats'!$B$2:$B$366,'Team Stats'!$D$2:$D$366)/F165</f>
        <v>1.1197092273420097</v>
      </c>
      <c r="H165">
        <f>_xlfn.XLOOKUP(A165,'Team Stats'!$B$2:$B$366,'Team Stats'!$D$2:$D$366)</f>
        <v>76.400000000000006</v>
      </c>
    </row>
    <row r="166" spans="1:8" ht="15" customHeight="1" x14ac:dyDescent="0.25">
      <c r="A166" t="s">
        <v>235</v>
      </c>
      <c r="B166" s="146">
        <f t="array" ref="B166">_xlfn.XLOOKUP(A166,'Team Stats'!$B$2:$B$366,('Team Stats'!$E$2:$E$366+'Team Stats'!$H$2:$H$366/2)/'Team Stats'!$F$2:$F$366)*100</f>
        <v>53.086419753086425</v>
      </c>
      <c r="C166" s="146">
        <f>_xlfn.XLOOKUP(A166,'Team Stats'!$B$2:$B$366,'Team Stats'!$T$2:$T$366)/( _xlfn.XLOOKUP(A166,'Team Stats'!$B$2:$B$366,'Team Stats'!$T$2:$T$366)+_xlfn.XLOOKUP(A166,'Team Stats'!$B$2:$B$366,'Team Stats'!$F$2:$F$366)+0.44*_xlfn.XLOOKUP(A166,'Team Stats'!$B$2:$B$366,'Team Stats'!$L$2:$L$366)+_xlfn.XLOOKUP(A166,'Team Stats'!$B$2:$B$366,'Team Stats'!$Q$2:$Q$366))*100</f>
        <v>13.294974063903057</v>
      </c>
      <c r="D166" s="146">
        <f>_xlfn.XLOOKUP(A166,'Team Stats'!$B$2:$B$366,'Team Stats'!$N$2:$N$366)/(_xlfn.XLOOKUP(A166,'Team Stats'!$B$2:$B$366,'Team Stats'!$N$2:$N$366)+_xlfn.XLOOKUP(A166,'Opponents stats vs'!$B$2:$B$366,'Opponents stats vs'!$O$2:$O$366))*100</f>
        <v>25.806451612903224</v>
      </c>
      <c r="E166" s="146">
        <f>_xlfn.XLOOKUP(A166,'Team Stats'!$B$2:$B$366,'Team Stats'!$K$2:$K$366)/_xlfn.XLOOKUP(A166,'Team Stats'!$B$2:$B$366,'Team Stats'!$F$2:$F$366)*100</f>
        <v>26.631393298059962</v>
      </c>
      <c r="F166" s="146">
        <f>_xlfn.XLOOKUP(A166,'Team Stats'!$B$2:$B$366,'Team Stats'!$F$2:$F$366)+0.44*_xlfn.XLOOKUP(A166,'Team Stats'!$B$2:$B$366,'Team Stats'!$L$2:$L$366)+_xlfn.XLOOKUP(A166,'Team Stats'!$B$2:$B$366,'Team Stats'!$T$2:$T$366)-_xlfn.XLOOKUP(A166,'Team Stats'!$B$2:$B$366,'Team Stats'!$N$2:$N$366)</f>
        <v>69.164000000000016</v>
      </c>
      <c r="G166">
        <f>_xlfn.XLOOKUP(A166,'Team Stats'!$B$2:$B$366,'Team Stats'!$D$2:$D$366)/F166</f>
        <v>1.0887166734139144</v>
      </c>
      <c r="H166">
        <f>_xlfn.XLOOKUP(A166,'Team Stats'!$B$2:$B$366,'Team Stats'!$D$2:$D$366)</f>
        <v>75.3</v>
      </c>
    </row>
    <row r="167" spans="1:8" ht="15" customHeight="1" x14ac:dyDescent="0.25">
      <c r="A167" t="s">
        <v>371</v>
      </c>
      <c r="B167" s="146">
        <f t="array" ref="B167">_xlfn.XLOOKUP(A167,'Team Stats'!$B$2:$B$366,('Team Stats'!$E$2:$E$366+'Team Stats'!$H$2:$H$366/2)/'Team Stats'!$F$2:$F$366)*100</f>
        <v>50.756302521008401</v>
      </c>
      <c r="C167" s="146">
        <f>_xlfn.XLOOKUP(A167,'Team Stats'!$B$2:$B$366,'Team Stats'!$T$2:$T$366)/( _xlfn.XLOOKUP(A167,'Team Stats'!$B$2:$B$366,'Team Stats'!$T$2:$T$366)+_xlfn.XLOOKUP(A167,'Team Stats'!$B$2:$B$366,'Team Stats'!$F$2:$F$366)+0.44*_xlfn.XLOOKUP(A167,'Team Stats'!$B$2:$B$366,'Team Stats'!$L$2:$L$366)+_xlfn.XLOOKUP(A167,'Team Stats'!$B$2:$B$366,'Team Stats'!$Q$2:$Q$366))*100</f>
        <v>11.461074794125139</v>
      </c>
      <c r="D167" s="146">
        <f>_xlfn.XLOOKUP(A167,'Team Stats'!$B$2:$B$366,'Team Stats'!$N$2:$N$366)/(_xlfn.XLOOKUP(A167,'Team Stats'!$B$2:$B$366,'Team Stats'!$N$2:$N$366)+_xlfn.XLOOKUP(A167,'Opponents stats vs'!$B$2:$B$366,'Opponents stats vs'!$O$2:$O$366))*100</f>
        <v>31.793478260869566</v>
      </c>
      <c r="E167" s="146">
        <f>_xlfn.XLOOKUP(A167,'Team Stats'!$B$2:$B$366,'Team Stats'!$K$2:$K$366)/_xlfn.XLOOKUP(A167,'Team Stats'!$B$2:$B$366,'Team Stats'!$F$2:$F$366)*100</f>
        <v>26.218487394957986</v>
      </c>
      <c r="F167" s="146">
        <f>_xlfn.XLOOKUP(A167,'Team Stats'!$B$2:$B$366,'Team Stats'!$F$2:$F$366)+0.44*_xlfn.XLOOKUP(A167,'Team Stats'!$B$2:$B$366,'Team Stats'!$L$2:$L$366)+_xlfn.XLOOKUP(A167,'Team Stats'!$B$2:$B$366,'Team Stats'!$T$2:$T$366)-_xlfn.XLOOKUP(A167,'Team Stats'!$B$2:$B$366,'Team Stats'!$N$2:$N$366)</f>
        <v>68.631999999999991</v>
      </c>
      <c r="G167">
        <f>_xlfn.XLOOKUP(A167,'Team Stats'!$B$2:$B$366,'Team Stats'!$D$2:$D$366)/F167</f>
        <v>1.1073551696001867</v>
      </c>
      <c r="H167">
        <f>_xlfn.XLOOKUP(A167,'Team Stats'!$B$2:$B$366,'Team Stats'!$D$2:$D$366)</f>
        <v>76</v>
      </c>
    </row>
    <row r="168" spans="1:8" ht="15" customHeight="1" x14ac:dyDescent="0.25">
      <c r="A168" t="s">
        <v>323</v>
      </c>
      <c r="B168" s="146">
        <f t="array" ref="B168">_xlfn.XLOOKUP(A168,'Team Stats'!$B$2:$B$366,('Team Stats'!$E$2:$E$366+'Team Stats'!$H$2:$H$366/2)/'Team Stats'!$F$2:$F$366)*100</f>
        <v>50.484652665589657</v>
      </c>
      <c r="C168" s="146">
        <f>_xlfn.XLOOKUP(A168,'Team Stats'!$B$2:$B$366,'Team Stats'!$T$2:$T$366)/( _xlfn.XLOOKUP(A168,'Team Stats'!$B$2:$B$366,'Team Stats'!$T$2:$T$366)+_xlfn.XLOOKUP(A168,'Team Stats'!$B$2:$B$366,'Team Stats'!$F$2:$F$366)+0.44*_xlfn.XLOOKUP(A168,'Team Stats'!$B$2:$B$366,'Team Stats'!$L$2:$L$366)+_xlfn.XLOOKUP(A168,'Team Stats'!$B$2:$B$366,'Team Stats'!$Q$2:$Q$366))*100</f>
        <v>11.022086565772184</v>
      </c>
      <c r="D168" s="146">
        <f>_xlfn.XLOOKUP(A168,'Team Stats'!$B$2:$B$366,'Team Stats'!$N$2:$N$366)/(_xlfn.XLOOKUP(A168,'Team Stats'!$B$2:$B$366,'Team Stats'!$N$2:$N$366)+_xlfn.XLOOKUP(A168,'Opponents stats vs'!$B$2:$B$366,'Opponents stats vs'!$O$2:$O$366))*100</f>
        <v>33.599999999999994</v>
      </c>
      <c r="E168" s="146">
        <f>_xlfn.XLOOKUP(A168,'Team Stats'!$B$2:$B$366,'Team Stats'!$K$2:$K$366)/_xlfn.XLOOKUP(A168,'Team Stats'!$B$2:$B$366,'Team Stats'!$F$2:$F$366)*100</f>
        <v>22.294022617124394</v>
      </c>
      <c r="F168" s="146">
        <f>_xlfn.XLOOKUP(A168,'Team Stats'!$B$2:$B$366,'Team Stats'!$F$2:$F$366)+0.44*_xlfn.XLOOKUP(A168,'Team Stats'!$B$2:$B$366,'Team Stats'!$L$2:$L$366)+_xlfn.XLOOKUP(A168,'Team Stats'!$B$2:$B$366,'Team Stats'!$T$2:$T$366)-_xlfn.XLOOKUP(A168,'Team Stats'!$B$2:$B$366,'Team Stats'!$N$2:$N$366)</f>
        <v>68.456000000000017</v>
      </c>
      <c r="G168">
        <f>_xlfn.XLOOKUP(A168,'Team Stats'!$B$2:$B$366,'Team Stats'!$D$2:$D$366)/F168</f>
        <v>1.1145845506602778</v>
      </c>
      <c r="H168">
        <f>_xlfn.XLOOKUP(A168,'Team Stats'!$B$2:$B$366,'Team Stats'!$D$2:$D$366)</f>
        <v>76.3</v>
      </c>
    </row>
    <row r="169" spans="1:8" ht="15" customHeight="1" x14ac:dyDescent="0.25">
      <c r="A169" t="s">
        <v>304</v>
      </c>
      <c r="B169" s="146">
        <f t="array" ref="B169">_xlfn.XLOOKUP(A169,'Team Stats'!$B$2:$B$366,('Team Stats'!$E$2:$E$366+'Team Stats'!$H$2:$H$366/2)/'Team Stats'!$F$2:$F$366)*100</f>
        <v>51.54373927958833</v>
      </c>
      <c r="C169" s="146">
        <f>_xlfn.XLOOKUP(A169,'Team Stats'!$B$2:$B$366,'Team Stats'!$T$2:$T$366)/( _xlfn.XLOOKUP(A169,'Team Stats'!$B$2:$B$366,'Team Stats'!$T$2:$T$366)+_xlfn.XLOOKUP(A169,'Team Stats'!$B$2:$B$366,'Team Stats'!$F$2:$F$366)+0.44*_xlfn.XLOOKUP(A169,'Team Stats'!$B$2:$B$366,'Team Stats'!$L$2:$L$366)+_xlfn.XLOOKUP(A169,'Team Stats'!$B$2:$B$366,'Team Stats'!$Q$2:$Q$366))*100</f>
        <v>14.668901927912826</v>
      </c>
      <c r="D169" s="146">
        <f>_xlfn.XLOOKUP(A169,'Team Stats'!$B$2:$B$366,'Team Stats'!$N$2:$N$366)/(_xlfn.XLOOKUP(A169,'Team Stats'!$B$2:$B$366,'Team Stats'!$N$2:$N$366)+_xlfn.XLOOKUP(A169,'Opponents stats vs'!$B$2:$B$366,'Opponents stats vs'!$O$2:$O$366))*100</f>
        <v>34.985422740524783</v>
      </c>
      <c r="E169" s="146">
        <f>_xlfn.XLOOKUP(A169,'Team Stats'!$B$2:$B$366,'Team Stats'!$K$2:$K$366)/_xlfn.XLOOKUP(A169,'Team Stats'!$B$2:$B$366,'Team Stats'!$F$2:$F$366)*100</f>
        <v>30.017152658662095</v>
      </c>
      <c r="F169" s="146">
        <f>_xlfn.XLOOKUP(A169,'Team Stats'!$B$2:$B$366,'Team Stats'!$F$2:$F$366)+0.44*_xlfn.XLOOKUP(A169,'Team Stats'!$B$2:$B$366,'Team Stats'!$L$2:$L$366)+_xlfn.XLOOKUP(A169,'Team Stats'!$B$2:$B$366,'Team Stats'!$T$2:$T$366)-_xlfn.XLOOKUP(A169,'Team Stats'!$B$2:$B$366,'Team Stats'!$N$2:$N$366)</f>
        <v>70.64</v>
      </c>
      <c r="G169">
        <f>_xlfn.XLOOKUP(A169,'Team Stats'!$B$2:$B$366,'Team Stats'!$D$2:$D$366)/F169</f>
        <v>1.0971121177802945</v>
      </c>
      <c r="H169">
        <f>_xlfn.XLOOKUP(A169,'Team Stats'!$B$2:$B$366,'Team Stats'!$D$2:$D$366)</f>
        <v>77.5</v>
      </c>
    </row>
    <row r="170" spans="1:8" ht="15" customHeight="1" x14ac:dyDescent="0.25">
      <c r="A170" t="s">
        <v>406</v>
      </c>
      <c r="B170" s="146">
        <f t="array" ref="B170">_xlfn.XLOOKUP(A170,'Team Stats'!$B$2:$B$366,('Team Stats'!$E$2:$E$366+'Team Stats'!$H$2:$H$366/2)/'Team Stats'!$F$2:$F$366)*100</f>
        <v>50.431034482758619</v>
      </c>
      <c r="C170" s="146">
        <f>_xlfn.XLOOKUP(A170,'Team Stats'!$B$2:$B$366,'Team Stats'!$T$2:$T$366)/( _xlfn.XLOOKUP(A170,'Team Stats'!$B$2:$B$366,'Team Stats'!$T$2:$T$366)+_xlfn.XLOOKUP(A170,'Team Stats'!$B$2:$B$366,'Team Stats'!$F$2:$F$366)+0.44*_xlfn.XLOOKUP(A170,'Team Stats'!$B$2:$B$366,'Team Stats'!$L$2:$L$366)+_xlfn.XLOOKUP(A170,'Team Stats'!$B$2:$B$366,'Team Stats'!$Q$2:$Q$366))*100</f>
        <v>10.821554770318023</v>
      </c>
      <c r="D170" s="146">
        <f>_xlfn.XLOOKUP(A170,'Team Stats'!$B$2:$B$366,'Team Stats'!$N$2:$N$366)/(_xlfn.XLOOKUP(A170,'Team Stats'!$B$2:$B$366,'Team Stats'!$N$2:$N$366)+_xlfn.XLOOKUP(A170,'Opponents stats vs'!$B$2:$B$366,'Opponents stats vs'!$O$2:$O$366))*100</f>
        <v>26.686217008797652</v>
      </c>
      <c r="E170" s="146">
        <f>_xlfn.XLOOKUP(A170,'Team Stats'!$B$2:$B$366,'Team Stats'!$K$2:$K$366)/_xlfn.XLOOKUP(A170,'Team Stats'!$B$2:$B$366,'Team Stats'!$F$2:$F$366)*100</f>
        <v>29.137931034482754</v>
      </c>
      <c r="F170" s="146">
        <f>_xlfn.XLOOKUP(A170,'Team Stats'!$B$2:$B$366,'Team Stats'!$F$2:$F$366)+0.44*_xlfn.XLOOKUP(A170,'Team Stats'!$B$2:$B$366,'Team Stats'!$L$2:$L$366)+_xlfn.XLOOKUP(A170,'Team Stats'!$B$2:$B$366,'Team Stats'!$T$2:$T$366)-_xlfn.XLOOKUP(A170,'Team Stats'!$B$2:$B$366,'Team Stats'!$N$2:$N$366)</f>
        <v>68.160000000000011</v>
      </c>
      <c r="G170">
        <f>_xlfn.XLOOKUP(A170,'Team Stats'!$B$2:$B$366,'Team Stats'!$D$2:$D$366)/F170</f>
        <v>1.1047535211267603</v>
      </c>
      <c r="H170">
        <f>_xlfn.XLOOKUP(A170,'Team Stats'!$B$2:$B$366,'Team Stats'!$D$2:$D$366)</f>
        <v>75.3</v>
      </c>
    </row>
    <row r="171" spans="1:8" ht="15" customHeight="1" x14ac:dyDescent="0.25">
      <c r="A171" t="s">
        <v>282</v>
      </c>
      <c r="B171" s="146">
        <f t="array" ref="B171">_xlfn.XLOOKUP(A171,'Team Stats'!$B$2:$B$366,('Team Stats'!$E$2:$E$366+'Team Stats'!$H$2:$H$366/2)/'Team Stats'!$F$2:$F$366)*100</f>
        <v>54.65517241379311</v>
      </c>
      <c r="C171" s="146">
        <f>_xlfn.XLOOKUP(A171,'Team Stats'!$B$2:$B$366,'Team Stats'!$T$2:$T$366)/( _xlfn.XLOOKUP(A171,'Team Stats'!$B$2:$B$366,'Team Stats'!$T$2:$T$366)+_xlfn.XLOOKUP(A171,'Team Stats'!$B$2:$B$366,'Team Stats'!$F$2:$F$366)+0.44*_xlfn.XLOOKUP(A171,'Team Stats'!$B$2:$B$366,'Team Stats'!$L$2:$L$366)+_xlfn.XLOOKUP(A171,'Team Stats'!$B$2:$B$366,'Team Stats'!$Q$2:$Q$366))*100</f>
        <v>12.536840716139533</v>
      </c>
      <c r="D171" s="146">
        <f>_xlfn.XLOOKUP(A171,'Team Stats'!$B$2:$B$366,'Team Stats'!$N$2:$N$366)/(_xlfn.XLOOKUP(A171,'Team Stats'!$B$2:$B$366,'Team Stats'!$N$2:$N$366)+_xlfn.XLOOKUP(A171,'Opponents stats vs'!$B$2:$B$366,'Opponents stats vs'!$O$2:$O$366))*100</f>
        <v>29.607250755287012</v>
      </c>
      <c r="E171" s="146">
        <f>_xlfn.XLOOKUP(A171,'Team Stats'!$B$2:$B$366,'Team Stats'!$K$2:$K$366)/_xlfn.XLOOKUP(A171,'Team Stats'!$B$2:$B$366,'Team Stats'!$F$2:$F$366)*100</f>
        <v>21.551724137931032</v>
      </c>
      <c r="F171" s="146">
        <f>_xlfn.XLOOKUP(A171,'Team Stats'!$B$2:$B$366,'Team Stats'!$F$2:$F$366)+0.44*_xlfn.XLOOKUP(A171,'Team Stats'!$B$2:$B$366,'Team Stats'!$L$2:$L$366)+_xlfn.XLOOKUP(A171,'Team Stats'!$B$2:$B$366,'Team Stats'!$T$2:$T$366)-_xlfn.XLOOKUP(A171,'Team Stats'!$B$2:$B$366,'Team Stats'!$N$2:$N$366)</f>
        <v>67.432000000000002</v>
      </c>
      <c r="G171">
        <f>_xlfn.XLOOKUP(A171,'Team Stats'!$B$2:$B$366,'Team Stats'!$D$2:$D$366)/F171</f>
        <v>1.1255783604223515</v>
      </c>
      <c r="H171">
        <f>_xlfn.XLOOKUP(A171,'Team Stats'!$B$2:$B$366,'Team Stats'!$D$2:$D$366)</f>
        <v>75.900000000000006</v>
      </c>
    </row>
    <row r="172" spans="1:8" ht="15" customHeight="1" x14ac:dyDescent="0.25">
      <c r="A172" t="s">
        <v>454</v>
      </c>
      <c r="B172" s="146">
        <f t="array" ref="B172">_xlfn.XLOOKUP(A172,'Team Stats'!$B$2:$B$366,('Team Stats'!$E$2:$E$366+'Team Stats'!$H$2:$H$366/2)/'Team Stats'!$F$2:$F$366)*100</f>
        <v>51.877133105802045</v>
      </c>
      <c r="C172" s="146">
        <f>_xlfn.XLOOKUP(A172,'Team Stats'!$B$2:$B$366,'Team Stats'!$T$2:$T$366)/( _xlfn.XLOOKUP(A172,'Team Stats'!$B$2:$B$366,'Team Stats'!$T$2:$T$366)+_xlfn.XLOOKUP(A172,'Team Stats'!$B$2:$B$366,'Team Stats'!$F$2:$F$366)+0.44*_xlfn.XLOOKUP(A172,'Team Stats'!$B$2:$B$366,'Team Stats'!$L$2:$L$366)+_xlfn.XLOOKUP(A172,'Team Stats'!$B$2:$B$366,'Team Stats'!$Q$2:$Q$366))*100</f>
        <v>12.381614388739248</v>
      </c>
      <c r="D172" s="146">
        <f>_xlfn.XLOOKUP(A172,'Team Stats'!$B$2:$B$366,'Team Stats'!$N$2:$N$366)/(_xlfn.XLOOKUP(A172,'Team Stats'!$B$2:$B$366,'Team Stats'!$N$2:$N$366)+_xlfn.XLOOKUP(A172,'Opponents stats vs'!$B$2:$B$366,'Opponents stats vs'!$O$2:$O$366))*100</f>
        <v>29.360465116279073</v>
      </c>
      <c r="E172" s="146">
        <f>_xlfn.XLOOKUP(A172,'Team Stats'!$B$2:$B$366,'Team Stats'!$K$2:$K$366)/_xlfn.XLOOKUP(A172,'Team Stats'!$B$2:$B$366,'Team Stats'!$F$2:$F$366)*100</f>
        <v>23.378839590443683</v>
      </c>
      <c r="F172" s="146">
        <f>_xlfn.XLOOKUP(A172,'Team Stats'!$B$2:$B$366,'Team Stats'!$F$2:$F$366)+0.44*_xlfn.XLOOKUP(A172,'Team Stats'!$B$2:$B$366,'Team Stats'!$L$2:$L$366)+_xlfn.XLOOKUP(A172,'Team Stats'!$B$2:$B$366,'Team Stats'!$T$2:$T$366)-_xlfn.XLOOKUP(A172,'Team Stats'!$B$2:$B$366,'Team Stats'!$N$2:$N$366)</f>
        <v>68.172000000000011</v>
      </c>
      <c r="G172">
        <f>_xlfn.XLOOKUP(A172,'Team Stats'!$B$2:$B$366,'Team Stats'!$D$2:$D$366)/F172</f>
        <v>1.0942909112245494</v>
      </c>
      <c r="H172">
        <f>_xlfn.XLOOKUP(A172,'Team Stats'!$B$2:$B$366,'Team Stats'!$D$2:$D$366)</f>
        <v>74.599999999999994</v>
      </c>
    </row>
    <row r="173" spans="1:8" ht="15" customHeight="1" x14ac:dyDescent="0.25">
      <c r="A173" t="s">
        <v>439</v>
      </c>
      <c r="B173" s="146">
        <f t="array" ref="B173">_xlfn.XLOOKUP(A173,'Team Stats'!$B$2:$B$366,('Team Stats'!$E$2:$E$366+'Team Stats'!$H$2:$H$366/2)/'Team Stats'!$F$2:$F$366)*100</f>
        <v>53.288364249578422</v>
      </c>
      <c r="C173" s="146">
        <f>_xlfn.XLOOKUP(A173,'Team Stats'!$B$2:$B$366,'Team Stats'!$T$2:$T$366)/( _xlfn.XLOOKUP(A173,'Team Stats'!$B$2:$B$366,'Team Stats'!$T$2:$T$366)+_xlfn.XLOOKUP(A173,'Team Stats'!$B$2:$B$366,'Team Stats'!$F$2:$F$366)+0.44*_xlfn.XLOOKUP(A173,'Team Stats'!$B$2:$B$366,'Team Stats'!$L$2:$L$366)+_xlfn.XLOOKUP(A173,'Team Stats'!$B$2:$B$366,'Team Stats'!$Q$2:$Q$366))*100</f>
        <v>12.094207511139402</v>
      </c>
      <c r="D173" s="146">
        <f>_xlfn.XLOOKUP(A173,'Team Stats'!$B$2:$B$366,'Team Stats'!$N$2:$N$366)/(_xlfn.XLOOKUP(A173,'Team Stats'!$B$2:$B$366,'Team Stats'!$N$2:$N$366)+_xlfn.XLOOKUP(A173,'Opponents stats vs'!$B$2:$B$366,'Opponents stats vs'!$O$2:$O$366))*100</f>
        <v>27.762039660056658</v>
      </c>
      <c r="E173" s="146">
        <f>_xlfn.XLOOKUP(A173,'Team Stats'!$B$2:$B$366,'Team Stats'!$K$2:$K$366)/_xlfn.XLOOKUP(A173,'Team Stats'!$B$2:$B$366,'Team Stats'!$F$2:$F$366)*100</f>
        <v>22.091062394603711</v>
      </c>
      <c r="F173" s="146">
        <f>_xlfn.XLOOKUP(A173,'Team Stats'!$B$2:$B$366,'Team Stats'!$F$2:$F$366)+0.44*_xlfn.XLOOKUP(A173,'Team Stats'!$B$2:$B$366,'Team Stats'!$L$2:$L$366)+_xlfn.XLOOKUP(A173,'Team Stats'!$B$2:$B$366,'Team Stats'!$T$2:$T$366)-_xlfn.XLOOKUP(A173,'Team Stats'!$B$2:$B$366,'Team Stats'!$N$2:$N$366)</f>
        <v>69.260000000000005</v>
      </c>
      <c r="G173">
        <f>_xlfn.XLOOKUP(A173,'Team Stats'!$B$2:$B$366,'Team Stats'!$D$2:$D$366)/F173</f>
        <v>1.1030898065261334</v>
      </c>
      <c r="H173">
        <f>_xlfn.XLOOKUP(A173,'Team Stats'!$B$2:$B$366,'Team Stats'!$D$2:$D$366)</f>
        <v>76.400000000000006</v>
      </c>
    </row>
    <row r="174" spans="1:8" ht="15" customHeight="1" x14ac:dyDescent="0.25">
      <c r="A174" t="s">
        <v>392</v>
      </c>
      <c r="B174" s="146">
        <f t="array" ref="B174">_xlfn.XLOOKUP(A174,'Team Stats'!$B$2:$B$366,('Team Stats'!$E$2:$E$366+'Team Stats'!$H$2:$H$366/2)/'Team Stats'!$F$2:$F$366)*100</f>
        <v>52.801358234295414</v>
      </c>
      <c r="C174" s="146">
        <f>_xlfn.XLOOKUP(A174,'Team Stats'!$B$2:$B$366,'Team Stats'!$T$2:$T$366)/( _xlfn.XLOOKUP(A174,'Team Stats'!$B$2:$B$366,'Team Stats'!$T$2:$T$366)+_xlfn.XLOOKUP(A174,'Team Stats'!$B$2:$B$366,'Team Stats'!$F$2:$F$366)+0.44*_xlfn.XLOOKUP(A174,'Team Stats'!$B$2:$B$366,'Team Stats'!$L$2:$L$366)+_xlfn.XLOOKUP(A174,'Team Stats'!$B$2:$B$366,'Team Stats'!$Q$2:$Q$366))*100</f>
        <v>12.804097311139561</v>
      </c>
      <c r="D174" s="146">
        <f>_xlfn.XLOOKUP(A174,'Team Stats'!$B$2:$B$366,'Team Stats'!$N$2:$N$366)/(_xlfn.XLOOKUP(A174,'Team Stats'!$B$2:$B$366,'Team Stats'!$N$2:$N$366)+_xlfn.XLOOKUP(A174,'Opponents stats vs'!$B$2:$B$366,'Opponents stats vs'!$O$2:$O$366))*100</f>
        <v>29.799426934097422</v>
      </c>
      <c r="E174" s="146">
        <f>_xlfn.XLOOKUP(A174,'Team Stats'!$B$2:$B$366,'Team Stats'!$K$2:$K$366)/_xlfn.XLOOKUP(A174,'Team Stats'!$B$2:$B$366,'Team Stats'!$F$2:$F$366)*100</f>
        <v>23.599320882852293</v>
      </c>
      <c r="F174" s="146">
        <f>_xlfn.XLOOKUP(A174,'Team Stats'!$B$2:$B$366,'Team Stats'!$F$2:$F$366)+0.44*_xlfn.XLOOKUP(A174,'Team Stats'!$B$2:$B$366,'Team Stats'!$L$2:$L$366)+_xlfn.XLOOKUP(A174,'Team Stats'!$B$2:$B$366,'Team Stats'!$T$2:$T$366)-_xlfn.XLOOKUP(A174,'Team Stats'!$B$2:$B$366,'Team Stats'!$N$2:$N$366)</f>
        <v>68.419999999999987</v>
      </c>
      <c r="G174">
        <f>_xlfn.XLOOKUP(A174,'Team Stats'!$B$2:$B$366,'Team Stats'!$D$2:$D$366)/F174</f>
        <v>1.1122478807366269</v>
      </c>
      <c r="H174">
        <f>_xlfn.XLOOKUP(A174,'Team Stats'!$B$2:$B$366,'Team Stats'!$D$2:$D$366)</f>
        <v>76.099999999999994</v>
      </c>
    </row>
    <row r="175" spans="1:8" ht="15" customHeight="1" x14ac:dyDescent="0.25">
      <c r="A175" t="s">
        <v>331</v>
      </c>
      <c r="B175" s="146">
        <f t="array" ref="B175">_xlfn.XLOOKUP(A175,'Team Stats'!$B$2:$B$366,('Team Stats'!$E$2:$E$366+'Team Stats'!$H$2:$H$366/2)/'Team Stats'!$F$2:$F$366)*100</f>
        <v>51.807228915662648</v>
      </c>
      <c r="C175" s="146">
        <f>_xlfn.XLOOKUP(A175,'Team Stats'!$B$2:$B$366,'Team Stats'!$T$2:$T$366)/( _xlfn.XLOOKUP(A175,'Team Stats'!$B$2:$B$366,'Team Stats'!$T$2:$T$366)+_xlfn.XLOOKUP(A175,'Team Stats'!$B$2:$B$366,'Team Stats'!$F$2:$F$366)+0.44*_xlfn.XLOOKUP(A175,'Team Stats'!$B$2:$B$366,'Team Stats'!$L$2:$L$366)+_xlfn.XLOOKUP(A175,'Team Stats'!$B$2:$B$366,'Team Stats'!$Q$2:$Q$366))*100</f>
        <v>12.772077448160394</v>
      </c>
      <c r="D175" s="146">
        <f>_xlfn.XLOOKUP(A175,'Team Stats'!$B$2:$B$366,'Team Stats'!$N$2:$N$366)/(_xlfn.XLOOKUP(A175,'Team Stats'!$B$2:$B$366,'Team Stats'!$N$2:$N$366)+_xlfn.XLOOKUP(A175,'Opponents stats vs'!$B$2:$B$366,'Opponents stats vs'!$O$2:$O$366))*100</f>
        <v>37.125748502994014</v>
      </c>
      <c r="E175" s="146">
        <f>_xlfn.XLOOKUP(A175,'Team Stats'!$B$2:$B$366,'Team Stats'!$K$2:$K$366)/_xlfn.XLOOKUP(A175,'Team Stats'!$B$2:$B$366,'Team Stats'!$F$2:$F$366)*100</f>
        <v>26.850258175559379</v>
      </c>
      <c r="F175" s="146">
        <f>_xlfn.XLOOKUP(A175,'Team Stats'!$B$2:$B$366,'Team Stats'!$F$2:$F$366)+0.44*_xlfn.XLOOKUP(A175,'Team Stats'!$B$2:$B$366,'Team Stats'!$L$2:$L$366)+_xlfn.XLOOKUP(A175,'Team Stats'!$B$2:$B$366,'Team Stats'!$T$2:$T$366)-_xlfn.XLOOKUP(A175,'Team Stats'!$B$2:$B$366,'Team Stats'!$N$2:$N$366)</f>
        <v>66.972000000000008</v>
      </c>
      <c r="G175">
        <f>_xlfn.XLOOKUP(A175,'Team Stats'!$B$2:$B$366,'Team Stats'!$D$2:$D$366)/F175</f>
        <v>1.1318162814310457</v>
      </c>
      <c r="H175">
        <f>_xlfn.XLOOKUP(A175,'Team Stats'!$B$2:$B$366,'Team Stats'!$D$2:$D$366)</f>
        <v>75.8</v>
      </c>
    </row>
    <row r="176" spans="1:8" ht="15" customHeight="1" x14ac:dyDescent="0.25">
      <c r="A176" t="s">
        <v>336</v>
      </c>
      <c r="B176" s="146">
        <f t="array" ref="B176">_xlfn.XLOOKUP(A176,'Team Stats'!$B$2:$B$366,('Team Stats'!$E$2:$E$366+'Team Stats'!$H$2:$H$366/2)/'Team Stats'!$F$2:$F$366)*100</f>
        <v>49.735915492957751</v>
      </c>
      <c r="C176" s="146">
        <f>_xlfn.XLOOKUP(A176,'Team Stats'!$B$2:$B$366,'Team Stats'!$T$2:$T$366)/( _xlfn.XLOOKUP(A176,'Team Stats'!$B$2:$B$366,'Team Stats'!$T$2:$T$366)+_xlfn.XLOOKUP(A176,'Team Stats'!$B$2:$B$366,'Team Stats'!$F$2:$F$366)+0.44*_xlfn.XLOOKUP(A176,'Team Stats'!$B$2:$B$366,'Team Stats'!$L$2:$L$366)+_xlfn.XLOOKUP(A176,'Team Stats'!$B$2:$B$366,'Team Stats'!$Q$2:$Q$366))*100</f>
        <v>10.624457935819603</v>
      </c>
      <c r="D176" s="146">
        <f>_xlfn.XLOOKUP(A176,'Team Stats'!$B$2:$B$366,'Team Stats'!$N$2:$N$366)/(_xlfn.XLOOKUP(A176,'Team Stats'!$B$2:$B$366,'Team Stats'!$N$2:$N$366)+_xlfn.XLOOKUP(A176,'Opponents stats vs'!$B$2:$B$366,'Opponents stats vs'!$O$2:$O$366))*100</f>
        <v>32.303370786516858</v>
      </c>
      <c r="E176" s="146">
        <f>_xlfn.XLOOKUP(A176,'Team Stats'!$B$2:$B$366,'Team Stats'!$K$2:$K$366)/_xlfn.XLOOKUP(A176,'Team Stats'!$B$2:$B$366,'Team Stats'!$F$2:$F$366)*100</f>
        <v>34.33098591549296</v>
      </c>
      <c r="F176" s="146">
        <f>_xlfn.XLOOKUP(A176,'Team Stats'!$B$2:$B$366,'Team Stats'!$F$2:$F$366)+0.44*_xlfn.XLOOKUP(A176,'Team Stats'!$B$2:$B$366,'Team Stats'!$L$2:$L$366)+_xlfn.XLOOKUP(A176,'Team Stats'!$B$2:$B$366,'Team Stats'!$T$2:$T$366)-_xlfn.XLOOKUP(A176,'Team Stats'!$B$2:$B$366,'Team Stats'!$N$2:$N$366)</f>
        <v>66.539999999999992</v>
      </c>
      <c r="G176">
        <f>_xlfn.XLOOKUP(A176,'Team Stats'!$B$2:$B$366,'Team Stats'!$D$2:$D$366)/F176</f>
        <v>1.140667267808837</v>
      </c>
      <c r="H176">
        <f>_xlfn.XLOOKUP(A176,'Team Stats'!$B$2:$B$366,'Team Stats'!$D$2:$D$366)</f>
        <v>75.900000000000006</v>
      </c>
    </row>
    <row r="177" spans="1:8" ht="15" customHeight="1" x14ac:dyDescent="0.25">
      <c r="A177" t="s">
        <v>416</v>
      </c>
      <c r="B177" s="146">
        <f t="array" ref="B177">_xlfn.XLOOKUP(A177,'Team Stats'!$B$2:$B$366,('Team Stats'!$E$2:$E$366+'Team Stats'!$H$2:$H$366/2)/'Team Stats'!$F$2:$F$366)*100</f>
        <v>52.871621621621621</v>
      </c>
      <c r="C177" s="146">
        <f>_xlfn.XLOOKUP(A177,'Team Stats'!$B$2:$B$366,'Team Stats'!$T$2:$T$366)/( _xlfn.XLOOKUP(A177,'Team Stats'!$B$2:$B$366,'Team Stats'!$T$2:$T$366)+_xlfn.XLOOKUP(A177,'Team Stats'!$B$2:$B$366,'Team Stats'!$F$2:$F$366)+0.44*_xlfn.XLOOKUP(A177,'Team Stats'!$B$2:$B$366,'Team Stats'!$L$2:$L$366)+_xlfn.XLOOKUP(A177,'Team Stats'!$B$2:$B$366,'Team Stats'!$Q$2:$Q$366))*100</f>
        <v>14.810058411698911</v>
      </c>
      <c r="D177" s="146">
        <f>_xlfn.XLOOKUP(A177,'Team Stats'!$B$2:$B$366,'Team Stats'!$N$2:$N$366)/(_xlfn.XLOOKUP(A177,'Team Stats'!$B$2:$B$366,'Team Stats'!$N$2:$N$366)+_xlfn.XLOOKUP(A177,'Opponents stats vs'!$B$2:$B$366,'Opponents stats vs'!$O$2:$O$366))*100</f>
        <v>30.346820809248555</v>
      </c>
      <c r="E177" s="146">
        <f>_xlfn.XLOOKUP(A177,'Team Stats'!$B$2:$B$366,'Team Stats'!$K$2:$K$366)/_xlfn.XLOOKUP(A177,'Team Stats'!$B$2:$B$366,'Team Stats'!$F$2:$F$366)*100</f>
        <v>24.155405405405407</v>
      </c>
      <c r="F177" s="146">
        <f>_xlfn.XLOOKUP(A177,'Team Stats'!$B$2:$B$366,'Team Stats'!$F$2:$F$366)+0.44*_xlfn.XLOOKUP(A177,'Team Stats'!$B$2:$B$366,'Team Stats'!$L$2:$L$366)+_xlfn.XLOOKUP(A177,'Team Stats'!$B$2:$B$366,'Team Stats'!$T$2:$T$366)-_xlfn.XLOOKUP(A177,'Team Stats'!$B$2:$B$366,'Team Stats'!$N$2:$N$366)</f>
        <v>71.756</v>
      </c>
      <c r="G177">
        <f>_xlfn.XLOOKUP(A177,'Team Stats'!$B$2:$B$366,'Team Stats'!$D$2:$D$366)/F177</f>
        <v>1.0702937733429956</v>
      </c>
      <c r="H177">
        <f>_xlfn.XLOOKUP(A177,'Team Stats'!$B$2:$B$366,'Team Stats'!$D$2:$D$366)</f>
        <v>76.8</v>
      </c>
    </row>
    <row r="178" spans="1:8" ht="15" customHeight="1" x14ac:dyDescent="0.25">
      <c r="A178" t="s">
        <v>234</v>
      </c>
      <c r="B178" s="146">
        <f t="array" ref="B178">_xlfn.XLOOKUP(A178,'Team Stats'!$B$2:$B$366,('Team Stats'!$E$2:$E$366+'Team Stats'!$H$2:$H$366/2)/'Team Stats'!$F$2:$F$366)*100</f>
        <v>53.55329949238579</v>
      </c>
      <c r="C178" s="146">
        <f>_xlfn.XLOOKUP(A178,'Team Stats'!$B$2:$B$366,'Team Stats'!$T$2:$T$366)/( _xlfn.XLOOKUP(A178,'Team Stats'!$B$2:$B$366,'Team Stats'!$T$2:$T$366)+_xlfn.XLOOKUP(A178,'Team Stats'!$B$2:$B$366,'Team Stats'!$F$2:$F$366)+0.44*_xlfn.XLOOKUP(A178,'Team Stats'!$B$2:$B$366,'Team Stats'!$L$2:$L$366)+_xlfn.XLOOKUP(A178,'Team Stats'!$B$2:$B$366,'Team Stats'!$Q$2:$Q$366))*100</f>
        <v>12.241216390344473</v>
      </c>
      <c r="D178" s="146">
        <f>_xlfn.XLOOKUP(A178,'Team Stats'!$B$2:$B$366,'Team Stats'!$N$2:$N$366)/(_xlfn.XLOOKUP(A178,'Team Stats'!$B$2:$B$366,'Team Stats'!$N$2:$N$366)+_xlfn.XLOOKUP(A178,'Opponents stats vs'!$B$2:$B$366,'Opponents stats vs'!$O$2:$O$366))*100</f>
        <v>27.777777777777775</v>
      </c>
      <c r="E178" s="146">
        <f>_xlfn.XLOOKUP(A178,'Team Stats'!$B$2:$B$366,'Team Stats'!$K$2:$K$366)/_xlfn.XLOOKUP(A178,'Team Stats'!$B$2:$B$366,'Team Stats'!$F$2:$F$366)*100</f>
        <v>20.812182741116754</v>
      </c>
      <c r="F178" s="146">
        <f>_xlfn.XLOOKUP(A178,'Team Stats'!$B$2:$B$366,'Team Stats'!$F$2:$F$366)+0.44*_xlfn.XLOOKUP(A178,'Team Stats'!$B$2:$B$366,'Team Stats'!$L$2:$L$366)+_xlfn.XLOOKUP(A178,'Team Stats'!$B$2:$B$366,'Team Stats'!$T$2:$T$366)-_xlfn.XLOOKUP(A178,'Team Stats'!$B$2:$B$366,'Team Stats'!$N$2:$N$366)</f>
        <v>68.128000000000014</v>
      </c>
      <c r="G178">
        <f>_xlfn.XLOOKUP(A178,'Team Stats'!$B$2:$B$366,'Team Stats'!$D$2:$D$366)/F178</f>
        <v>1.1096759041803661</v>
      </c>
      <c r="H178">
        <f>_xlfn.XLOOKUP(A178,'Team Stats'!$B$2:$B$366,'Team Stats'!$D$2:$D$366)</f>
        <v>75.599999999999994</v>
      </c>
    </row>
    <row r="179" spans="1:8" ht="15" customHeight="1" x14ac:dyDescent="0.25">
      <c r="A179" t="s">
        <v>423</v>
      </c>
      <c r="B179" s="146">
        <f t="array" ref="B179">_xlfn.XLOOKUP(A179,'Team Stats'!$B$2:$B$366,('Team Stats'!$E$2:$E$366+'Team Stats'!$H$2:$H$366/2)/'Team Stats'!$F$2:$F$366)*100</f>
        <v>52.996575342465761</v>
      </c>
      <c r="C179" s="146">
        <f>_xlfn.XLOOKUP(A179,'Team Stats'!$B$2:$B$366,'Team Stats'!$T$2:$T$366)/( _xlfn.XLOOKUP(A179,'Team Stats'!$B$2:$B$366,'Team Stats'!$T$2:$T$366)+_xlfn.XLOOKUP(A179,'Team Stats'!$B$2:$B$366,'Team Stats'!$F$2:$F$366)+0.44*_xlfn.XLOOKUP(A179,'Team Stats'!$B$2:$B$366,'Team Stats'!$L$2:$L$366)+_xlfn.XLOOKUP(A179,'Team Stats'!$B$2:$B$366,'Team Stats'!$Q$2:$Q$366))*100</f>
        <v>12.114200899288427</v>
      </c>
      <c r="D179" s="146">
        <f>_xlfn.XLOOKUP(A179,'Team Stats'!$B$2:$B$366,'Team Stats'!$N$2:$N$366)/(_xlfn.XLOOKUP(A179,'Team Stats'!$B$2:$B$366,'Team Stats'!$N$2:$N$366)+_xlfn.XLOOKUP(A179,'Opponents stats vs'!$B$2:$B$366,'Opponents stats vs'!$O$2:$O$366))*100</f>
        <v>29.344729344729348</v>
      </c>
      <c r="E179" s="146">
        <f>_xlfn.XLOOKUP(A179,'Team Stats'!$B$2:$B$366,'Team Stats'!$K$2:$K$366)/_xlfn.XLOOKUP(A179,'Team Stats'!$B$2:$B$366,'Team Stats'!$F$2:$F$366)*100</f>
        <v>23.287671232876711</v>
      </c>
      <c r="F179" s="146">
        <f>_xlfn.XLOOKUP(A179,'Team Stats'!$B$2:$B$366,'Team Stats'!$F$2:$F$366)+0.44*_xlfn.XLOOKUP(A179,'Team Stats'!$B$2:$B$366,'Team Stats'!$L$2:$L$366)+_xlfn.XLOOKUP(A179,'Team Stats'!$B$2:$B$366,'Team Stats'!$T$2:$T$366)-_xlfn.XLOOKUP(A179,'Team Stats'!$B$2:$B$366,'Team Stats'!$N$2:$N$366)</f>
        <v>68.527999999999992</v>
      </c>
      <c r="G179">
        <f>_xlfn.XLOOKUP(A179,'Team Stats'!$B$2:$B$366,'Team Stats'!$D$2:$D$366)/F179</f>
        <v>1.1002801774457158</v>
      </c>
      <c r="H179">
        <f>_xlfn.XLOOKUP(A179,'Team Stats'!$B$2:$B$366,'Team Stats'!$D$2:$D$366)</f>
        <v>75.400000000000006</v>
      </c>
    </row>
    <row r="180" spans="1:8" ht="15" customHeight="1" x14ac:dyDescent="0.25">
      <c r="A180" t="s">
        <v>313</v>
      </c>
      <c r="B180" s="146">
        <f t="array" ref="B180">_xlfn.XLOOKUP(A180,'Team Stats'!$B$2:$B$366,('Team Stats'!$E$2:$E$366+'Team Stats'!$H$2:$H$366/2)/'Team Stats'!$F$2:$F$366)*100</f>
        <v>50.32733224222585</v>
      </c>
      <c r="C180" s="146">
        <f>_xlfn.XLOOKUP(A180,'Team Stats'!$B$2:$B$366,'Team Stats'!$T$2:$T$366)/( _xlfn.XLOOKUP(A180,'Team Stats'!$B$2:$B$366,'Team Stats'!$T$2:$T$366)+_xlfn.XLOOKUP(A180,'Team Stats'!$B$2:$B$366,'Team Stats'!$F$2:$F$366)+0.44*_xlfn.XLOOKUP(A180,'Team Stats'!$B$2:$B$366,'Team Stats'!$L$2:$L$366)+_xlfn.XLOOKUP(A180,'Team Stats'!$B$2:$B$366,'Team Stats'!$Q$2:$Q$366))*100</f>
        <v>11.806619992543189</v>
      </c>
      <c r="D180" s="146">
        <f>_xlfn.XLOOKUP(A180,'Team Stats'!$B$2:$B$366,'Team Stats'!$N$2:$N$366)/(_xlfn.XLOOKUP(A180,'Team Stats'!$B$2:$B$366,'Team Stats'!$N$2:$N$366)+_xlfn.XLOOKUP(A180,'Opponents stats vs'!$B$2:$B$366,'Opponents stats vs'!$O$2:$O$366))*100</f>
        <v>29.946524064171122</v>
      </c>
      <c r="E180" s="146">
        <f>_xlfn.XLOOKUP(A180,'Team Stats'!$B$2:$B$366,'Team Stats'!$K$2:$K$366)/_xlfn.XLOOKUP(A180,'Team Stats'!$B$2:$B$366,'Team Stats'!$F$2:$F$366)*100</f>
        <v>22.094926350245498</v>
      </c>
      <c r="F180" s="146">
        <f>_xlfn.XLOOKUP(A180,'Team Stats'!$B$2:$B$366,'Team Stats'!$F$2:$F$366)+0.44*_xlfn.XLOOKUP(A180,'Team Stats'!$B$2:$B$366,'Team Stats'!$L$2:$L$366)+_xlfn.XLOOKUP(A180,'Team Stats'!$B$2:$B$366,'Team Stats'!$T$2:$T$366)-_xlfn.XLOOKUP(A180,'Team Stats'!$B$2:$B$366,'Team Stats'!$N$2:$N$366)</f>
        <v>70.055999999999997</v>
      </c>
      <c r="G180">
        <f>_xlfn.XLOOKUP(A180,'Team Stats'!$B$2:$B$366,'Team Stats'!$D$2:$D$366)/F180</f>
        <v>1.0705721137375814</v>
      </c>
      <c r="H180">
        <f>_xlfn.XLOOKUP(A180,'Team Stats'!$B$2:$B$366,'Team Stats'!$D$2:$D$366)</f>
        <v>75</v>
      </c>
    </row>
    <row r="181" spans="1:8" ht="15" customHeight="1" x14ac:dyDescent="0.25">
      <c r="A181" t="s">
        <v>230</v>
      </c>
      <c r="B181" s="146">
        <f t="array" ref="B181">_xlfn.XLOOKUP(A181,'Team Stats'!$B$2:$B$366,('Team Stats'!$E$2:$E$366+'Team Stats'!$H$2:$H$366/2)/'Team Stats'!$F$2:$F$366)*100</f>
        <v>59.47265625</v>
      </c>
      <c r="C181" s="146">
        <f>_xlfn.XLOOKUP(A181,'Team Stats'!$B$2:$B$366,'Team Stats'!$T$2:$T$366)/( _xlfn.XLOOKUP(A181,'Team Stats'!$B$2:$B$366,'Team Stats'!$T$2:$T$366)+_xlfn.XLOOKUP(A181,'Team Stats'!$B$2:$B$366,'Team Stats'!$F$2:$F$366)+0.44*_xlfn.XLOOKUP(A181,'Team Stats'!$B$2:$B$366,'Team Stats'!$L$2:$L$366)+_xlfn.XLOOKUP(A181,'Team Stats'!$B$2:$B$366,'Team Stats'!$Q$2:$Q$366))*100</f>
        <v>13.47068145800317</v>
      </c>
      <c r="D181" s="146">
        <f>_xlfn.XLOOKUP(A181,'Team Stats'!$B$2:$B$366,'Team Stats'!$N$2:$N$366)/(_xlfn.XLOOKUP(A181,'Team Stats'!$B$2:$B$366,'Team Stats'!$N$2:$N$366)+_xlfn.XLOOKUP(A181,'Opponents stats vs'!$B$2:$B$366,'Opponents stats vs'!$O$2:$O$366))*100</f>
        <v>30.60498220640569</v>
      </c>
      <c r="E181" s="146">
        <f>_xlfn.XLOOKUP(A181,'Team Stats'!$B$2:$B$366,'Team Stats'!$K$2:$K$366)/_xlfn.XLOOKUP(A181,'Team Stats'!$B$2:$B$366,'Team Stats'!$F$2:$F$366)*100</f>
        <v>31.640624999999993</v>
      </c>
      <c r="F181" s="146">
        <f>_xlfn.XLOOKUP(A181,'Team Stats'!$B$2:$B$366,'Team Stats'!$F$2:$F$366)+0.44*_xlfn.XLOOKUP(A181,'Team Stats'!$B$2:$B$366,'Team Stats'!$L$2:$L$366)+_xlfn.XLOOKUP(A181,'Team Stats'!$B$2:$B$366,'Team Stats'!$T$2:$T$366)-_xlfn.XLOOKUP(A181,'Team Stats'!$B$2:$B$366,'Team Stats'!$N$2:$N$366)</f>
        <v>63.74</v>
      </c>
      <c r="G181">
        <f>_xlfn.XLOOKUP(A181,'Team Stats'!$B$2:$B$366,'Team Stats'!$D$2:$D$366)/F181</f>
        <v>1.2096015061186067</v>
      </c>
      <c r="H181">
        <f>_xlfn.XLOOKUP(A181,'Team Stats'!$B$2:$B$366,'Team Stats'!$D$2:$D$366)</f>
        <v>77.099999999999994</v>
      </c>
    </row>
    <row r="182" spans="1:8" ht="15" customHeight="1" x14ac:dyDescent="0.25">
      <c r="A182" t="s">
        <v>12</v>
      </c>
      <c r="B182" s="146">
        <f t="array" ref="B182">_xlfn.XLOOKUP(A182,'Team Stats'!$B$2:$B$366,('Team Stats'!$E$2:$E$366+'Team Stats'!$H$2:$H$366/2)/'Team Stats'!$F$2:$F$366)*100</f>
        <v>52.189141856392283</v>
      </c>
      <c r="C182" s="146">
        <f>_xlfn.XLOOKUP(A182,'Team Stats'!$B$2:$B$366,'Team Stats'!$T$2:$T$366)/( _xlfn.XLOOKUP(A182,'Team Stats'!$B$2:$B$366,'Team Stats'!$T$2:$T$366)+_xlfn.XLOOKUP(A182,'Team Stats'!$B$2:$B$366,'Team Stats'!$F$2:$F$366)+0.44*_xlfn.XLOOKUP(A182,'Team Stats'!$B$2:$B$366,'Team Stats'!$L$2:$L$366)+_xlfn.XLOOKUP(A182,'Team Stats'!$B$2:$B$366,'Team Stats'!$Q$2:$Q$366))*100</f>
        <v>13.861709067188519</v>
      </c>
      <c r="D182" s="146">
        <f>_xlfn.XLOOKUP(A182,'Team Stats'!$B$2:$B$366,'Team Stats'!$N$2:$N$366)/(_xlfn.XLOOKUP(A182,'Team Stats'!$B$2:$B$366,'Team Stats'!$N$2:$N$366)+_xlfn.XLOOKUP(A182,'Opponents stats vs'!$B$2:$B$366,'Opponents stats vs'!$O$2:$O$366))*100</f>
        <v>36.936936936936945</v>
      </c>
      <c r="E182" s="146">
        <f>_xlfn.XLOOKUP(A182,'Team Stats'!$B$2:$B$366,'Team Stats'!$K$2:$K$366)/_xlfn.XLOOKUP(A182,'Team Stats'!$B$2:$B$366,'Team Stats'!$F$2:$F$366)*100</f>
        <v>31.698774080560423</v>
      </c>
      <c r="F182" s="146">
        <f>_xlfn.XLOOKUP(A182,'Team Stats'!$B$2:$B$366,'Team Stats'!$F$2:$F$366)+0.44*_xlfn.XLOOKUP(A182,'Team Stats'!$B$2:$B$366,'Team Stats'!$L$2:$L$366)+_xlfn.XLOOKUP(A182,'Team Stats'!$B$2:$B$366,'Team Stats'!$T$2:$T$366)-_xlfn.XLOOKUP(A182,'Team Stats'!$B$2:$B$366,'Team Stats'!$N$2:$N$366)</f>
        <v>69.311999999999998</v>
      </c>
      <c r="G182">
        <f>_xlfn.XLOOKUP(A182,'Team Stats'!$B$2:$B$366,'Team Stats'!$D$2:$D$366)/F182</f>
        <v>1.1210180055401664</v>
      </c>
      <c r="H182">
        <f>_xlfn.XLOOKUP(A182,'Team Stats'!$B$2:$B$366,'Team Stats'!$D$2:$D$366)</f>
        <v>77.7</v>
      </c>
    </row>
    <row r="183" spans="1:8" ht="15" customHeight="1" x14ac:dyDescent="0.25">
      <c r="A183" t="s">
        <v>228</v>
      </c>
      <c r="B183" s="146">
        <f t="array" ref="B183">_xlfn.XLOOKUP(A183,'Team Stats'!$B$2:$B$366,('Team Stats'!$E$2:$E$366+'Team Stats'!$H$2:$H$366/2)/'Team Stats'!$F$2:$F$366)*100</f>
        <v>54.436860068259385</v>
      </c>
      <c r="C183" s="146">
        <f>_xlfn.XLOOKUP(A183,'Team Stats'!$B$2:$B$366,'Team Stats'!$T$2:$T$366)/( _xlfn.XLOOKUP(A183,'Team Stats'!$B$2:$B$366,'Team Stats'!$T$2:$T$366)+_xlfn.XLOOKUP(A183,'Team Stats'!$B$2:$B$366,'Team Stats'!$F$2:$F$366)+0.44*_xlfn.XLOOKUP(A183,'Team Stats'!$B$2:$B$366,'Team Stats'!$L$2:$L$366)+_xlfn.XLOOKUP(A183,'Team Stats'!$B$2:$B$366,'Team Stats'!$Q$2:$Q$366))*100</f>
        <v>11.200421662933193</v>
      </c>
      <c r="D183" s="146">
        <f>_xlfn.XLOOKUP(A183,'Team Stats'!$B$2:$B$366,'Team Stats'!$N$2:$N$366)/(_xlfn.XLOOKUP(A183,'Team Stats'!$B$2:$B$366,'Team Stats'!$N$2:$N$366)+_xlfn.XLOOKUP(A183,'Opponents stats vs'!$B$2:$B$366,'Opponents stats vs'!$O$2:$O$366))*100</f>
        <v>27.300613496932513</v>
      </c>
      <c r="E183" s="146">
        <f>_xlfn.XLOOKUP(A183,'Team Stats'!$B$2:$B$366,'Team Stats'!$K$2:$K$366)/_xlfn.XLOOKUP(A183,'Team Stats'!$B$2:$B$366,'Team Stats'!$F$2:$F$366)*100</f>
        <v>21.843003412969285</v>
      </c>
      <c r="F183" s="146">
        <f>_xlfn.XLOOKUP(A183,'Team Stats'!$B$2:$B$366,'Team Stats'!$F$2:$F$366)+0.44*_xlfn.XLOOKUP(A183,'Team Stats'!$B$2:$B$366,'Team Stats'!$L$2:$L$366)+_xlfn.XLOOKUP(A183,'Team Stats'!$B$2:$B$366,'Team Stats'!$T$2:$T$366)-_xlfn.XLOOKUP(A183,'Team Stats'!$B$2:$B$366,'Team Stats'!$N$2:$N$366)</f>
        <v>67.468000000000004</v>
      </c>
      <c r="G183">
        <f>_xlfn.XLOOKUP(A183,'Team Stats'!$B$2:$B$366,'Team Stats'!$D$2:$D$366)/F183</f>
        <v>1.1368352404102686</v>
      </c>
      <c r="H183">
        <f>_xlfn.XLOOKUP(A183,'Team Stats'!$B$2:$B$366,'Team Stats'!$D$2:$D$366)</f>
        <v>76.7</v>
      </c>
    </row>
    <row r="184" spans="1:8" ht="15" customHeight="1" x14ac:dyDescent="0.25">
      <c r="A184" t="s">
        <v>339</v>
      </c>
      <c r="B184" s="146">
        <f t="array" ref="B184">_xlfn.XLOOKUP(A184,'Team Stats'!$B$2:$B$366,('Team Stats'!$E$2:$E$366+'Team Stats'!$H$2:$H$366/2)/'Team Stats'!$F$2:$F$366)*100</f>
        <v>49.589490968801314</v>
      </c>
      <c r="C184" s="146">
        <f>_xlfn.XLOOKUP(A184,'Team Stats'!$B$2:$B$366,'Team Stats'!$T$2:$T$366)/( _xlfn.XLOOKUP(A184,'Team Stats'!$B$2:$B$366,'Team Stats'!$T$2:$T$366)+_xlfn.XLOOKUP(A184,'Team Stats'!$B$2:$B$366,'Team Stats'!$F$2:$F$366)+0.44*_xlfn.XLOOKUP(A184,'Team Stats'!$B$2:$B$366,'Team Stats'!$L$2:$L$366)+_xlfn.XLOOKUP(A184,'Team Stats'!$B$2:$B$366,'Team Stats'!$Q$2:$Q$366))*100</f>
        <v>11.070896316797956</v>
      </c>
      <c r="D184" s="146">
        <f>_xlfn.XLOOKUP(A184,'Team Stats'!$B$2:$B$366,'Team Stats'!$N$2:$N$366)/(_xlfn.XLOOKUP(A184,'Team Stats'!$B$2:$B$366,'Team Stats'!$N$2:$N$366)+_xlfn.XLOOKUP(A184,'Opponents stats vs'!$B$2:$B$366,'Opponents stats vs'!$O$2:$O$366))*100</f>
        <v>32.972972972972968</v>
      </c>
      <c r="E184" s="146">
        <f>_xlfn.XLOOKUP(A184,'Team Stats'!$B$2:$B$366,'Team Stats'!$K$2:$K$366)/_xlfn.XLOOKUP(A184,'Team Stats'!$B$2:$B$366,'Team Stats'!$F$2:$F$366)*100</f>
        <v>24.958949096880133</v>
      </c>
      <c r="F184" s="146">
        <f>_xlfn.XLOOKUP(A184,'Team Stats'!$B$2:$B$366,'Team Stats'!$F$2:$F$366)+0.44*_xlfn.XLOOKUP(A184,'Team Stats'!$B$2:$B$366,'Team Stats'!$L$2:$L$366)+_xlfn.XLOOKUP(A184,'Team Stats'!$B$2:$B$366,'Team Stats'!$T$2:$T$366)-_xlfn.XLOOKUP(A184,'Team Stats'!$B$2:$B$366,'Team Stats'!$N$2:$N$366)</f>
        <v>68.34</v>
      </c>
      <c r="G184">
        <f>_xlfn.XLOOKUP(A184,'Team Stats'!$B$2:$B$366,'Team Stats'!$D$2:$D$366)/F184</f>
        <v>1.1076968100673106</v>
      </c>
      <c r="H184">
        <f>_xlfn.XLOOKUP(A184,'Team Stats'!$B$2:$B$366,'Team Stats'!$D$2:$D$366)</f>
        <v>75.7</v>
      </c>
    </row>
    <row r="185" spans="1:8" ht="15" customHeight="1" x14ac:dyDescent="0.25">
      <c r="A185" t="s">
        <v>237</v>
      </c>
      <c r="B185" s="146">
        <f t="array" ref="B185">_xlfn.XLOOKUP(A185,'Team Stats'!$B$2:$B$366,('Team Stats'!$E$2:$E$366+'Team Stats'!$H$2:$H$366/2)/'Team Stats'!$F$2:$F$366)*100</f>
        <v>52.425373134328353</v>
      </c>
      <c r="C185" s="146">
        <f>_xlfn.XLOOKUP(A185,'Team Stats'!$B$2:$B$366,'Team Stats'!$T$2:$T$366)/( _xlfn.XLOOKUP(A185,'Team Stats'!$B$2:$B$366,'Team Stats'!$T$2:$T$366)+_xlfn.XLOOKUP(A185,'Team Stats'!$B$2:$B$366,'Team Stats'!$F$2:$F$366)+0.44*_xlfn.XLOOKUP(A185,'Team Stats'!$B$2:$B$366,'Team Stats'!$L$2:$L$366)+_xlfn.XLOOKUP(A185,'Team Stats'!$B$2:$B$366,'Team Stats'!$Q$2:$Q$366))*100</f>
        <v>13.324013804552006</v>
      </c>
      <c r="D185" s="146">
        <f>_xlfn.XLOOKUP(A185,'Team Stats'!$B$2:$B$366,'Team Stats'!$N$2:$N$366)/(_xlfn.XLOOKUP(A185,'Team Stats'!$B$2:$B$366,'Team Stats'!$N$2:$N$366)+_xlfn.XLOOKUP(A185,'Opponents stats vs'!$B$2:$B$366,'Opponents stats vs'!$O$2:$O$366))*100</f>
        <v>26.934984520123841</v>
      </c>
      <c r="E185" s="146">
        <f>_xlfn.XLOOKUP(A185,'Team Stats'!$B$2:$B$366,'Team Stats'!$K$2:$K$366)/_xlfn.XLOOKUP(A185,'Team Stats'!$B$2:$B$366,'Team Stats'!$F$2:$F$366)*100</f>
        <v>36.194029850746269</v>
      </c>
      <c r="F185" s="146">
        <f>_xlfn.XLOOKUP(A185,'Team Stats'!$B$2:$B$366,'Team Stats'!$F$2:$F$366)+0.44*_xlfn.XLOOKUP(A185,'Team Stats'!$B$2:$B$366,'Team Stats'!$L$2:$L$366)+_xlfn.XLOOKUP(A185,'Team Stats'!$B$2:$B$366,'Team Stats'!$T$2:$T$366)-_xlfn.XLOOKUP(A185,'Team Stats'!$B$2:$B$366,'Team Stats'!$N$2:$N$366)</f>
        <v>68.364000000000004</v>
      </c>
      <c r="G185">
        <f>_xlfn.XLOOKUP(A185,'Team Stats'!$B$2:$B$366,'Team Stats'!$D$2:$D$366)/F185</f>
        <v>1.1043824234977473</v>
      </c>
      <c r="H185">
        <f>_xlfn.XLOOKUP(A185,'Team Stats'!$B$2:$B$366,'Team Stats'!$D$2:$D$366)</f>
        <v>75.5</v>
      </c>
    </row>
    <row r="186" spans="1:8" ht="15" customHeight="1" x14ac:dyDescent="0.25">
      <c r="A186" t="s">
        <v>465</v>
      </c>
      <c r="B186" s="146">
        <f t="array" ref="B186">_xlfn.XLOOKUP(A186,'Team Stats'!$B$2:$B$366,('Team Stats'!$E$2:$E$366+'Team Stats'!$H$2:$H$366/2)/'Team Stats'!$F$2:$F$366)*100</f>
        <v>50.793650793650791</v>
      </c>
      <c r="C186" s="146">
        <f>_xlfn.XLOOKUP(A186,'Team Stats'!$B$2:$B$366,'Team Stats'!$T$2:$T$366)/( _xlfn.XLOOKUP(A186,'Team Stats'!$B$2:$B$366,'Team Stats'!$T$2:$T$366)+_xlfn.XLOOKUP(A186,'Team Stats'!$B$2:$B$366,'Team Stats'!$F$2:$F$366)+0.44*_xlfn.XLOOKUP(A186,'Team Stats'!$B$2:$B$366,'Team Stats'!$L$2:$L$366)+_xlfn.XLOOKUP(A186,'Team Stats'!$B$2:$B$366,'Team Stats'!$Q$2:$Q$366))*100</f>
        <v>11.742011238782185</v>
      </c>
      <c r="D186" s="146">
        <f>_xlfn.XLOOKUP(A186,'Team Stats'!$B$2:$B$366,'Team Stats'!$N$2:$N$366)/(_xlfn.XLOOKUP(A186,'Team Stats'!$B$2:$B$366,'Team Stats'!$N$2:$N$366)+_xlfn.XLOOKUP(A186,'Opponents stats vs'!$B$2:$B$366,'Opponents stats vs'!$O$2:$O$366))*100</f>
        <v>31.635388739946386</v>
      </c>
      <c r="E186" s="146">
        <f>_xlfn.XLOOKUP(A186,'Team Stats'!$B$2:$B$366,'Team Stats'!$K$2:$K$366)/_xlfn.XLOOKUP(A186,'Team Stats'!$B$2:$B$366,'Team Stats'!$F$2:$F$366)*100</f>
        <v>20.634920634920633</v>
      </c>
      <c r="F186" s="146">
        <f>_xlfn.XLOOKUP(A186,'Team Stats'!$B$2:$B$366,'Team Stats'!$F$2:$F$366)+0.44*_xlfn.XLOOKUP(A186,'Team Stats'!$B$2:$B$366,'Team Stats'!$L$2:$L$366)+_xlfn.XLOOKUP(A186,'Team Stats'!$B$2:$B$366,'Team Stats'!$T$2:$T$366)-_xlfn.XLOOKUP(A186,'Team Stats'!$B$2:$B$366,'Team Stats'!$N$2:$N$366)</f>
        <v>70.584000000000003</v>
      </c>
      <c r="G186">
        <f>_xlfn.XLOOKUP(A186,'Team Stats'!$B$2:$B$366,'Team Stats'!$D$2:$D$366)/F186</f>
        <v>1.0908987872605689</v>
      </c>
      <c r="H186">
        <f>_xlfn.XLOOKUP(A186,'Team Stats'!$B$2:$B$366,'Team Stats'!$D$2:$D$366)</f>
        <v>77</v>
      </c>
    </row>
    <row r="187" spans="1:8" ht="15" customHeight="1" x14ac:dyDescent="0.25">
      <c r="A187" t="s">
        <v>276</v>
      </c>
      <c r="B187" s="146">
        <f t="array" ref="B187">_xlfn.XLOOKUP(A187,'Team Stats'!$B$2:$B$366,('Team Stats'!$E$2:$E$366+'Team Stats'!$H$2:$H$366/2)/'Team Stats'!$F$2:$F$366)*100</f>
        <v>52.551020408163261</v>
      </c>
      <c r="C187" s="146">
        <f>_xlfn.XLOOKUP(A187,'Team Stats'!$B$2:$B$366,'Team Stats'!$T$2:$T$366)/( _xlfn.XLOOKUP(A187,'Team Stats'!$B$2:$B$366,'Team Stats'!$T$2:$T$366)+_xlfn.XLOOKUP(A187,'Team Stats'!$B$2:$B$366,'Team Stats'!$F$2:$F$366)+0.44*_xlfn.XLOOKUP(A187,'Team Stats'!$B$2:$B$366,'Team Stats'!$L$2:$L$366)+_xlfn.XLOOKUP(A187,'Team Stats'!$B$2:$B$366,'Team Stats'!$Q$2:$Q$366))*100</f>
        <v>11.907912146070391</v>
      </c>
      <c r="D187" s="146">
        <f>_xlfn.XLOOKUP(A187,'Team Stats'!$B$2:$B$366,'Team Stats'!$N$2:$N$366)/(_xlfn.XLOOKUP(A187,'Team Stats'!$B$2:$B$366,'Team Stats'!$N$2:$N$366)+_xlfn.XLOOKUP(A187,'Opponents stats vs'!$B$2:$B$366,'Opponents stats vs'!$O$2:$O$366))*100</f>
        <v>34.870317002881841</v>
      </c>
      <c r="E187" s="146">
        <f>_xlfn.XLOOKUP(A187,'Team Stats'!$B$2:$B$366,'Team Stats'!$K$2:$K$366)/_xlfn.XLOOKUP(A187,'Team Stats'!$B$2:$B$366,'Team Stats'!$F$2:$F$366)*100</f>
        <v>23.129251700680271</v>
      </c>
      <c r="F187" s="146">
        <f>_xlfn.XLOOKUP(A187,'Team Stats'!$B$2:$B$366,'Team Stats'!$F$2:$F$366)+0.44*_xlfn.XLOOKUP(A187,'Team Stats'!$B$2:$B$366,'Team Stats'!$L$2:$L$366)+_xlfn.XLOOKUP(A187,'Team Stats'!$B$2:$B$366,'Team Stats'!$T$2:$T$366)-_xlfn.XLOOKUP(A187,'Team Stats'!$B$2:$B$366,'Team Stats'!$N$2:$N$366)</f>
        <v>65.596000000000004</v>
      </c>
      <c r="G187">
        <f>_xlfn.XLOOKUP(A187,'Team Stats'!$B$2:$B$366,'Team Stats'!$D$2:$D$366)/F187</f>
        <v>1.1494603329471309</v>
      </c>
      <c r="H187">
        <f>_xlfn.XLOOKUP(A187,'Team Stats'!$B$2:$B$366,'Team Stats'!$D$2:$D$366)</f>
        <v>75.400000000000006</v>
      </c>
    </row>
    <row r="188" spans="1:8" ht="15" customHeight="1" x14ac:dyDescent="0.25">
      <c r="A188" t="s">
        <v>410</v>
      </c>
      <c r="B188" s="146">
        <f t="array" ref="B188">_xlfn.XLOOKUP(A188,'Team Stats'!$B$2:$B$366,('Team Stats'!$E$2:$E$366+'Team Stats'!$H$2:$H$366/2)/'Team Stats'!$F$2:$F$366)*100</f>
        <v>52.693602693602692</v>
      </c>
      <c r="C188" s="146">
        <f>_xlfn.XLOOKUP(A188,'Team Stats'!$B$2:$B$366,'Team Stats'!$T$2:$T$366)/( _xlfn.XLOOKUP(A188,'Team Stats'!$B$2:$B$366,'Team Stats'!$T$2:$T$366)+_xlfn.XLOOKUP(A188,'Team Stats'!$B$2:$B$366,'Team Stats'!$F$2:$F$366)+0.44*_xlfn.XLOOKUP(A188,'Team Stats'!$B$2:$B$366,'Team Stats'!$L$2:$L$366)+_xlfn.XLOOKUP(A188,'Team Stats'!$B$2:$B$366,'Team Stats'!$Q$2:$Q$366))*100</f>
        <v>11.982900077726919</v>
      </c>
      <c r="D188" s="146">
        <f>_xlfn.XLOOKUP(A188,'Team Stats'!$B$2:$B$366,'Team Stats'!$N$2:$N$366)/(_xlfn.XLOOKUP(A188,'Team Stats'!$B$2:$B$366,'Team Stats'!$N$2:$N$366)+_xlfn.XLOOKUP(A188,'Opponents stats vs'!$B$2:$B$366,'Opponents stats vs'!$O$2:$O$366))*100</f>
        <v>31.321839080459775</v>
      </c>
      <c r="E188" s="146">
        <f>_xlfn.XLOOKUP(A188,'Team Stats'!$B$2:$B$366,'Team Stats'!$K$2:$K$366)/_xlfn.XLOOKUP(A188,'Team Stats'!$B$2:$B$366,'Team Stats'!$F$2:$F$366)*100</f>
        <v>21.380471380471381</v>
      </c>
      <c r="F188" s="146">
        <f>_xlfn.XLOOKUP(A188,'Team Stats'!$B$2:$B$366,'Team Stats'!$F$2:$F$366)+0.44*_xlfn.XLOOKUP(A188,'Team Stats'!$B$2:$B$366,'Team Stats'!$L$2:$L$366)+_xlfn.XLOOKUP(A188,'Team Stats'!$B$2:$B$366,'Team Stats'!$T$2:$T$366)-_xlfn.XLOOKUP(A188,'Team Stats'!$B$2:$B$366,'Team Stats'!$N$2:$N$366)</f>
        <v>67.431999999999988</v>
      </c>
      <c r="G188">
        <f>_xlfn.XLOOKUP(A188,'Team Stats'!$B$2:$B$366,'Team Stats'!$D$2:$D$366)/F188</f>
        <v>1.1181634832127183</v>
      </c>
      <c r="H188">
        <f>_xlfn.XLOOKUP(A188,'Team Stats'!$B$2:$B$366,'Team Stats'!$D$2:$D$366)</f>
        <v>75.400000000000006</v>
      </c>
    </row>
    <row r="189" spans="1:8" ht="15" customHeight="1" x14ac:dyDescent="0.25">
      <c r="A189" t="s">
        <v>220</v>
      </c>
      <c r="B189" s="146">
        <f t="array" ref="B189">_xlfn.XLOOKUP(A189,'Team Stats'!$B$2:$B$366,('Team Stats'!$E$2:$E$366+'Team Stats'!$H$2:$H$366/2)/'Team Stats'!$F$2:$F$366)*100</f>
        <v>50.344827586206897</v>
      </c>
      <c r="C189" s="146">
        <f>_xlfn.XLOOKUP(A189,'Team Stats'!$B$2:$B$366,'Team Stats'!$T$2:$T$366)/( _xlfn.XLOOKUP(A189,'Team Stats'!$B$2:$B$366,'Team Stats'!$T$2:$T$366)+_xlfn.XLOOKUP(A189,'Team Stats'!$B$2:$B$366,'Team Stats'!$F$2:$F$366)+0.44*_xlfn.XLOOKUP(A189,'Team Stats'!$B$2:$B$366,'Team Stats'!$L$2:$L$366)+_xlfn.XLOOKUP(A189,'Team Stats'!$B$2:$B$366,'Team Stats'!$Q$2:$Q$366))*100</f>
        <v>11.540618663445358</v>
      </c>
      <c r="D189" s="146">
        <f>_xlfn.XLOOKUP(A189,'Team Stats'!$B$2:$B$366,'Team Stats'!$N$2:$N$366)/(_xlfn.XLOOKUP(A189,'Team Stats'!$B$2:$B$366,'Team Stats'!$N$2:$N$366)+_xlfn.XLOOKUP(A189,'Opponents stats vs'!$B$2:$B$366,'Opponents stats vs'!$O$2:$O$366))*100</f>
        <v>30.1994301994302</v>
      </c>
      <c r="E189" s="146">
        <f>_xlfn.XLOOKUP(A189,'Team Stats'!$B$2:$B$366,'Team Stats'!$K$2:$K$366)/_xlfn.XLOOKUP(A189,'Team Stats'!$B$2:$B$366,'Team Stats'!$F$2:$F$366)*100</f>
        <v>30.3448275862069</v>
      </c>
      <c r="F189" s="146">
        <f>_xlfn.XLOOKUP(A189,'Team Stats'!$B$2:$B$366,'Team Stats'!$F$2:$F$366)+0.44*_xlfn.XLOOKUP(A189,'Team Stats'!$B$2:$B$366,'Team Stats'!$L$2:$L$366)+_xlfn.XLOOKUP(A189,'Team Stats'!$B$2:$B$366,'Team Stats'!$T$2:$T$366)-_xlfn.XLOOKUP(A189,'Team Stats'!$B$2:$B$366,'Team Stats'!$N$2:$N$366)</f>
        <v>68.616000000000014</v>
      </c>
      <c r="G189">
        <f>_xlfn.XLOOKUP(A189,'Team Stats'!$B$2:$B$366,'Team Stats'!$D$2:$D$366)/F189</f>
        <v>1.1076133846333214</v>
      </c>
      <c r="H189">
        <f>_xlfn.XLOOKUP(A189,'Team Stats'!$B$2:$B$366,'Team Stats'!$D$2:$D$366)</f>
        <v>76</v>
      </c>
    </row>
    <row r="190" spans="1:8" ht="15" customHeight="1" x14ac:dyDescent="0.25">
      <c r="A190" t="s">
        <v>411</v>
      </c>
      <c r="B190" s="146">
        <f t="array" ref="B190">_xlfn.XLOOKUP(A190,'Team Stats'!$B$2:$B$366,('Team Stats'!$E$2:$E$366+'Team Stats'!$H$2:$H$366/2)/'Team Stats'!$F$2:$F$366)*100</f>
        <v>50.941780821917817</v>
      </c>
      <c r="C190" s="146">
        <f>_xlfn.XLOOKUP(A190,'Team Stats'!$B$2:$B$366,'Team Stats'!$T$2:$T$366)/( _xlfn.XLOOKUP(A190,'Team Stats'!$B$2:$B$366,'Team Stats'!$T$2:$T$366)+_xlfn.XLOOKUP(A190,'Team Stats'!$B$2:$B$366,'Team Stats'!$F$2:$F$366)+0.44*_xlfn.XLOOKUP(A190,'Team Stats'!$B$2:$B$366,'Team Stats'!$L$2:$L$366)+_xlfn.XLOOKUP(A190,'Team Stats'!$B$2:$B$366,'Team Stats'!$Q$2:$Q$366))*100</f>
        <v>12.735278881022277</v>
      </c>
      <c r="D190" s="146">
        <f>_xlfn.XLOOKUP(A190,'Team Stats'!$B$2:$B$366,'Team Stats'!$N$2:$N$366)/(_xlfn.XLOOKUP(A190,'Team Stats'!$B$2:$B$366,'Team Stats'!$N$2:$N$366)+_xlfn.XLOOKUP(A190,'Opponents stats vs'!$B$2:$B$366,'Opponents stats vs'!$O$2:$O$366))*100</f>
        <v>29.518072289156628</v>
      </c>
      <c r="E190" s="146">
        <f>_xlfn.XLOOKUP(A190,'Team Stats'!$B$2:$B$366,'Team Stats'!$K$2:$K$366)/_xlfn.XLOOKUP(A190,'Team Stats'!$B$2:$B$366,'Team Stats'!$F$2:$F$366)*100</f>
        <v>26.541095890410958</v>
      </c>
      <c r="F190" s="146">
        <f>_xlfn.XLOOKUP(A190,'Team Stats'!$B$2:$B$366,'Team Stats'!$F$2:$F$366)+0.44*_xlfn.XLOOKUP(A190,'Team Stats'!$B$2:$B$366,'Team Stats'!$L$2:$L$366)+_xlfn.XLOOKUP(A190,'Team Stats'!$B$2:$B$366,'Team Stats'!$T$2:$T$366)-_xlfn.XLOOKUP(A190,'Team Stats'!$B$2:$B$366,'Team Stats'!$N$2:$N$366)</f>
        <v>70.256</v>
      </c>
      <c r="G190">
        <f>_xlfn.XLOOKUP(A190,'Team Stats'!$B$2:$B$366,'Team Stats'!$D$2:$D$366)/F190</f>
        <v>1.0675244818947849</v>
      </c>
      <c r="H190">
        <f>_xlfn.XLOOKUP(A190,'Team Stats'!$B$2:$B$366,'Team Stats'!$D$2:$D$366)</f>
        <v>75</v>
      </c>
    </row>
    <row r="191" spans="1:8" ht="15" customHeight="1" x14ac:dyDescent="0.25">
      <c r="A191" t="s">
        <v>408</v>
      </c>
      <c r="B191" s="146">
        <f t="array" ref="B191">_xlfn.XLOOKUP(A191,'Team Stats'!$B$2:$B$366,('Team Stats'!$E$2:$E$366+'Team Stats'!$H$2:$H$366/2)/'Team Stats'!$F$2:$F$366)*100</f>
        <v>49.917627677100498</v>
      </c>
      <c r="C191" s="146">
        <f>_xlfn.XLOOKUP(A191,'Team Stats'!$B$2:$B$366,'Team Stats'!$T$2:$T$366)/( _xlfn.XLOOKUP(A191,'Team Stats'!$B$2:$B$366,'Team Stats'!$T$2:$T$366)+_xlfn.XLOOKUP(A191,'Team Stats'!$B$2:$B$366,'Team Stats'!$F$2:$F$366)+0.44*_xlfn.XLOOKUP(A191,'Team Stats'!$B$2:$B$366,'Team Stats'!$L$2:$L$366)+_xlfn.XLOOKUP(A191,'Team Stats'!$B$2:$B$366,'Team Stats'!$Q$2:$Q$366))*100</f>
        <v>13.197905228482135</v>
      </c>
      <c r="D191" s="146">
        <f>_xlfn.XLOOKUP(A191,'Team Stats'!$B$2:$B$366,'Team Stats'!$N$2:$N$366)/(_xlfn.XLOOKUP(A191,'Team Stats'!$B$2:$B$366,'Team Stats'!$N$2:$N$366)+_xlfn.XLOOKUP(A191,'Opponents stats vs'!$B$2:$B$366,'Opponents stats vs'!$O$2:$O$366))*100</f>
        <v>30</v>
      </c>
      <c r="E191" s="146">
        <f>_xlfn.XLOOKUP(A191,'Team Stats'!$B$2:$B$366,'Team Stats'!$K$2:$K$366)/_xlfn.XLOOKUP(A191,'Team Stats'!$B$2:$B$366,'Team Stats'!$F$2:$F$366)*100</f>
        <v>22.405271828665565</v>
      </c>
      <c r="F191" s="146">
        <f>_xlfn.XLOOKUP(A191,'Team Stats'!$B$2:$B$366,'Team Stats'!$F$2:$F$366)+0.44*_xlfn.XLOOKUP(A191,'Team Stats'!$B$2:$B$366,'Team Stats'!$L$2:$L$366)+_xlfn.XLOOKUP(A191,'Team Stats'!$B$2:$B$366,'Team Stats'!$T$2:$T$366)-_xlfn.XLOOKUP(A191,'Team Stats'!$B$2:$B$366,'Team Stats'!$N$2:$N$366)</f>
        <v>70.812000000000012</v>
      </c>
      <c r="G191">
        <f>_xlfn.XLOOKUP(A191,'Team Stats'!$B$2:$B$366,'Team Stats'!$D$2:$D$366)/F191</f>
        <v>1.0492571880472235</v>
      </c>
      <c r="H191">
        <f>_xlfn.XLOOKUP(A191,'Team Stats'!$B$2:$B$366,'Team Stats'!$D$2:$D$366)</f>
        <v>74.3</v>
      </c>
    </row>
    <row r="192" spans="1:8" ht="15" customHeight="1" x14ac:dyDescent="0.25">
      <c r="A192" t="s">
        <v>254</v>
      </c>
      <c r="B192" s="146">
        <f t="array" ref="B192">_xlfn.XLOOKUP(A192,'Team Stats'!$B$2:$B$366,('Team Stats'!$E$2:$E$366+'Team Stats'!$H$2:$H$366/2)/'Team Stats'!$F$2:$F$366)*100</f>
        <v>49.52305246422894</v>
      </c>
      <c r="C192" s="146">
        <f>_xlfn.XLOOKUP(A192,'Team Stats'!$B$2:$B$366,'Team Stats'!$T$2:$T$366)/( _xlfn.XLOOKUP(A192,'Team Stats'!$B$2:$B$366,'Team Stats'!$T$2:$T$366)+_xlfn.XLOOKUP(A192,'Team Stats'!$B$2:$B$366,'Team Stats'!$F$2:$F$366)+0.44*_xlfn.XLOOKUP(A192,'Team Stats'!$B$2:$B$366,'Team Stats'!$L$2:$L$366)+_xlfn.XLOOKUP(A192,'Team Stats'!$B$2:$B$366,'Team Stats'!$Q$2:$Q$366))*100</f>
        <v>11.064798899965625</v>
      </c>
      <c r="D192" s="146">
        <f>_xlfn.XLOOKUP(A192,'Team Stats'!$B$2:$B$366,'Team Stats'!$N$2:$N$366)/(_xlfn.XLOOKUP(A192,'Team Stats'!$B$2:$B$366,'Team Stats'!$N$2:$N$366)+_xlfn.XLOOKUP(A192,'Opponents stats vs'!$B$2:$B$366,'Opponents stats vs'!$O$2:$O$366))*100</f>
        <v>35.937499999999993</v>
      </c>
      <c r="E192" s="146">
        <f>_xlfn.XLOOKUP(A192,'Team Stats'!$B$2:$B$366,'Team Stats'!$K$2:$K$366)/_xlfn.XLOOKUP(A192,'Team Stats'!$B$2:$B$366,'Team Stats'!$F$2:$F$366)*100</f>
        <v>20.03179650238474</v>
      </c>
      <c r="F192" s="146">
        <f>_xlfn.XLOOKUP(A192,'Team Stats'!$B$2:$B$366,'Team Stats'!$F$2:$F$366)+0.44*_xlfn.XLOOKUP(A192,'Team Stats'!$B$2:$B$366,'Team Stats'!$L$2:$L$366)+_xlfn.XLOOKUP(A192,'Team Stats'!$B$2:$B$366,'Team Stats'!$T$2:$T$366)-_xlfn.XLOOKUP(A192,'Team Stats'!$B$2:$B$366,'Team Stats'!$N$2:$N$366)</f>
        <v>67.188000000000002</v>
      </c>
      <c r="G192">
        <f>_xlfn.XLOOKUP(A192,'Team Stats'!$B$2:$B$366,'Team Stats'!$D$2:$D$366)/F192</f>
        <v>1.1132940406024885</v>
      </c>
      <c r="H192">
        <f>_xlfn.XLOOKUP(A192,'Team Stats'!$B$2:$B$366,'Team Stats'!$D$2:$D$366)</f>
        <v>74.8</v>
      </c>
    </row>
    <row r="193" spans="1:8" ht="15" customHeight="1" x14ac:dyDescent="0.25">
      <c r="A193" t="s">
        <v>399</v>
      </c>
      <c r="B193" s="146">
        <f t="array" ref="B193">_xlfn.XLOOKUP(A193,'Team Stats'!$B$2:$B$366,('Team Stats'!$E$2:$E$366+'Team Stats'!$H$2:$H$366/2)/'Team Stats'!$F$2:$F$366)*100</f>
        <v>52.059308072487639</v>
      </c>
      <c r="C193" s="146">
        <f>_xlfn.XLOOKUP(A193,'Team Stats'!$B$2:$B$366,'Team Stats'!$T$2:$T$366)/( _xlfn.XLOOKUP(A193,'Team Stats'!$B$2:$B$366,'Team Stats'!$T$2:$T$366)+_xlfn.XLOOKUP(A193,'Team Stats'!$B$2:$B$366,'Team Stats'!$F$2:$F$366)+0.44*_xlfn.XLOOKUP(A193,'Team Stats'!$B$2:$B$366,'Team Stats'!$L$2:$L$366)+_xlfn.XLOOKUP(A193,'Team Stats'!$B$2:$B$366,'Team Stats'!$Q$2:$Q$366))*100</f>
        <v>12.894638326192753</v>
      </c>
      <c r="D193" s="146">
        <f>_xlfn.XLOOKUP(A193,'Team Stats'!$B$2:$B$366,'Team Stats'!$N$2:$N$366)/(_xlfn.XLOOKUP(A193,'Team Stats'!$B$2:$B$366,'Team Stats'!$N$2:$N$366)+_xlfn.XLOOKUP(A193,'Opponents stats vs'!$B$2:$B$366,'Opponents stats vs'!$O$2:$O$366))*100</f>
        <v>29.142857142857142</v>
      </c>
      <c r="E193" s="146">
        <f>_xlfn.XLOOKUP(A193,'Team Stats'!$B$2:$B$366,'Team Stats'!$K$2:$K$366)/_xlfn.XLOOKUP(A193,'Team Stats'!$B$2:$B$366,'Team Stats'!$F$2:$F$366)*100</f>
        <v>19.439868204283361</v>
      </c>
      <c r="F193" s="146">
        <f>_xlfn.XLOOKUP(A193,'Team Stats'!$B$2:$B$366,'Team Stats'!$F$2:$F$366)+0.44*_xlfn.XLOOKUP(A193,'Team Stats'!$B$2:$B$366,'Team Stats'!$L$2:$L$366)+_xlfn.XLOOKUP(A193,'Team Stats'!$B$2:$B$366,'Team Stats'!$T$2:$T$366)-_xlfn.XLOOKUP(A193,'Team Stats'!$B$2:$B$366,'Team Stats'!$N$2:$N$366)</f>
        <v>69.76400000000001</v>
      </c>
      <c r="G193">
        <f>_xlfn.XLOOKUP(A193,'Team Stats'!$B$2:$B$366,'Team Stats'!$D$2:$D$366)/F193</f>
        <v>1.0764864399977063</v>
      </c>
      <c r="H193">
        <f>_xlfn.XLOOKUP(A193,'Team Stats'!$B$2:$B$366,'Team Stats'!$D$2:$D$366)</f>
        <v>75.099999999999994</v>
      </c>
    </row>
    <row r="194" spans="1:8" ht="15" customHeight="1" x14ac:dyDescent="0.25">
      <c r="A194" t="s">
        <v>381</v>
      </c>
      <c r="B194" s="146">
        <f t="array" ref="B194">_xlfn.XLOOKUP(A194,'Team Stats'!$B$2:$B$366,('Team Stats'!$E$2:$E$366+'Team Stats'!$H$2:$H$366/2)/'Team Stats'!$F$2:$F$366)*100</f>
        <v>49.04153354632588</v>
      </c>
      <c r="C194" s="146">
        <f>_xlfn.XLOOKUP(A194,'Team Stats'!$B$2:$B$366,'Team Stats'!$T$2:$T$366)/( _xlfn.XLOOKUP(A194,'Team Stats'!$B$2:$B$366,'Team Stats'!$T$2:$T$366)+_xlfn.XLOOKUP(A194,'Team Stats'!$B$2:$B$366,'Team Stats'!$F$2:$F$366)+0.44*_xlfn.XLOOKUP(A194,'Team Stats'!$B$2:$B$366,'Team Stats'!$L$2:$L$366)+_xlfn.XLOOKUP(A194,'Team Stats'!$B$2:$B$366,'Team Stats'!$Q$2:$Q$366))*100</f>
        <v>11.345185061826056</v>
      </c>
      <c r="D194" s="146">
        <f>_xlfn.XLOOKUP(A194,'Team Stats'!$B$2:$B$366,'Team Stats'!$N$2:$N$366)/(_xlfn.XLOOKUP(A194,'Team Stats'!$B$2:$B$366,'Team Stats'!$N$2:$N$366)+_xlfn.XLOOKUP(A194,'Opponents stats vs'!$B$2:$B$366,'Opponents stats vs'!$O$2:$O$366))*100</f>
        <v>34.246575342465754</v>
      </c>
      <c r="E194" s="146">
        <f>_xlfn.XLOOKUP(A194,'Team Stats'!$B$2:$B$366,'Team Stats'!$K$2:$K$366)/_xlfn.XLOOKUP(A194,'Team Stats'!$B$2:$B$366,'Team Stats'!$F$2:$F$366)*100</f>
        <v>22.364217252396166</v>
      </c>
      <c r="F194" s="146">
        <f>_xlfn.XLOOKUP(A194,'Team Stats'!$B$2:$B$366,'Team Stats'!$F$2:$F$366)+0.44*_xlfn.XLOOKUP(A194,'Team Stats'!$B$2:$B$366,'Team Stats'!$L$2:$L$366)+_xlfn.XLOOKUP(A194,'Team Stats'!$B$2:$B$366,'Team Stats'!$T$2:$T$366)-_xlfn.XLOOKUP(A194,'Team Stats'!$B$2:$B$366,'Team Stats'!$N$2:$N$366)</f>
        <v>69.975999999999999</v>
      </c>
      <c r="G194">
        <f>_xlfn.XLOOKUP(A194,'Team Stats'!$B$2:$B$366,'Team Stats'!$D$2:$D$366)/F194</f>
        <v>1.0775122899279754</v>
      </c>
      <c r="H194">
        <f>_xlfn.XLOOKUP(A194,'Team Stats'!$B$2:$B$366,'Team Stats'!$D$2:$D$366)</f>
        <v>75.400000000000006</v>
      </c>
    </row>
    <row r="195" spans="1:8" ht="15" customHeight="1" x14ac:dyDescent="0.25">
      <c r="A195" t="s">
        <v>450</v>
      </c>
      <c r="B195" s="146">
        <f t="array" ref="B195">_xlfn.XLOOKUP(A195,'Team Stats'!$B$2:$B$366,('Team Stats'!$E$2:$E$366+'Team Stats'!$H$2:$H$366/2)/'Team Stats'!$F$2:$F$366)*100</f>
        <v>55.272407732864679</v>
      </c>
      <c r="C195" s="146">
        <f>_xlfn.XLOOKUP(A195,'Team Stats'!$B$2:$B$366,'Team Stats'!$T$2:$T$366)/( _xlfn.XLOOKUP(A195,'Team Stats'!$B$2:$B$366,'Team Stats'!$T$2:$T$366)+_xlfn.XLOOKUP(A195,'Team Stats'!$B$2:$B$366,'Team Stats'!$F$2:$F$366)+0.44*_xlfn.XLOOKUP(A195,'Team Stats'!$B$2:$B$366,'Team Stats'!$L$2:$L$366)+_xlfn.XLOOKUP(A195,'Team Stats'!$B$2:$B$366,'Team Stats'!$Q$2:$Q$366))*100</f>
        <v>12.667821567778258</v>
      </c>
      <c r="D195" s="146">
        <f>_xlfn.XLOOKUP(A195,'Team Stats'!$B$2:$B$366,'Team Stats'!$N$2:$N$366)/(_xlfn.XLOOKUP(A195,'Team Stats'!$B$2:$B$366,'Team Stats'!$N$2:$N$366)+_xlfn.XLOOKUP(A195,'Opponents stats vs'!$B$2:$B$366,'Opponents stats vs'!$O$2:$O$366))*100</f>
        <v>29.938271604938272</v>
      </c>
      <c r="E195" s="146">
        <f>_xlfn.XLOOKUP(A195,'Team Stats'!$B$2:$B$366,'Team Stats'!$K$2:$K$366)/_xlfn.XLOOKUP(A195,'Team Stats'!$B$2:$B$366,'Team Stats'!$F$2:$F$366)*100</f>
        <v>21.968365553602812</v>
      </c>
      <c r="F195" s="146">
        <f>_xlfn.XLOOKUP(A195,'Team Stats'!$B$2:$B$366,'Team Stats'!$F$2:$F$366)+0.44*_xlfn.XLOOKUP(A195,'Team Stats'!$B$2:$B$366,'Team Stats'!$L$2:$L$366)+_xlfn.XLOOKUP(A195,'Team Stats'!$B$2:$B$366,'Team Stats'!$T$2:$T$366)-_xlfn.XLOOKUP(A195,'Team Stats'!$B$2:$B$366,'Team Stats'!$N$2:$N$366)</f>
        <v>66.16</v>
      </c>
      <c r="G195">
        <f>_xlfn.XLOOKUP(A195,'Team Stats'!$B$2:$B$366,'Team Stats'!$D$2:$D$366)/F195</f>
        <v>1.1411729141475213</v>
      </c>
      <c r="H195">
        <f>_xlfn.XLOOKUP(A195,'Team Stats'!$B$2:$B$366,'Team Stats'!$D$2:$D$366)</f>
        <v>75.5</v>
      </c>
    </row>
    <row r="196" spans="1:8" ht="15" customHeight="1" x14ac:dyDescent="0.25">
      <c r="A196" t="s">
        <v>343</v>
      </c>
      <c r="B196" s="146">
        <f t="array" ref="B196">_xlfn.XLOOKUP(A196,'Team Stats'!$B$2:$B$366,('Team Stats'!$E$2:$E$366+'Team Stats'!$H$2:$H$366/2)/'Team Stats'!$F$2:$F$366)*100</f>
        <v>51.559792027729635</v>
      </c>
      <c r="C196" s="146">
        <f>_xlfn.XLOOKUP(A196,'Team Stats'!$B$2:$B$366,'Team Stats'!$T$2:$T$366)/( _xlfn.XLOOKUP(A196,'Team Stats'!$B$2:$B$366,'Team Stats'!$T$2:$T$366)+_xlfn.XLOOKUP(A196,'Team Stats'!$B$2:$B$366,'Team Stats'!$F$2:$F$366)+0.44*_xlfn.XLOOKUP(A196,'Team Stats'!$B$2:$B$366,'Team Stats'!$L$2:$L$366)+_xlfn.XLOOKUP(A196,'Team Stats'!$B$2:$B$366,'Team Stats'!$Q$2:$Q$366))*100</f>
        <v>13.075992046338722</v>
      </c>
      <c r="D196" s="146">
        <f>_xlfn.XLOOKUP(A196,'Team Stats'!$B$2:$B$366,'Team Stats'!$N$2:$N$366)/(_xlfn.XLOOKUP(A196,'Team Stats'!$B$2:$B$366,'Team Stats'!$N$2:$N$366)+_xlfn.XLOOKUP(A196,'Opponents stats vs'!$B$2:$B$366,'Opponents stats vs'!$O$2:$O$366))*100</f>
        <v>33.527696793002917</v>
      </c>
      <c r="E196" s="146">
        <f>_xlfn.XLOOKUP(A196,'Team Stats'!$B$2:$B$366,'Team Stats'!$K$2:$K$366)/_xlfn.XLOOKUP(A196,'Team Stats'!$B$2:$B$366,'Team Stats'!$F$2:$F$366)*100</f>
        <v>28.942807625649912</v>
      </c>
      <c r="F196" s="146">
        <f>_xlfn.XLOOKUP(A196,'Team Stats'!$B$2:$B$366,'Team Stats'!$F$2:$F$366)+0.44*_xlfn.XLOOKUP(A196,'Team Stats'!$B$2:$B$366,'Team Stats'!$L$2:$L$366)+_xlfn.XLOOKUP(A196,'Team Stats'!$B$2:$B$366,'Team Stats'!$T$2:$T$366)-_xlfn.XLOOKUP(A196,'Team Stats'!$B$2:$B$366,'Team Stats'!$N$2:$N$366)</f>
        <v>69.036000000000001</v>
      </c>
      <c r="G196">
        <f>_xlfn.XLOOKUP(A196,'Team Stats'!$B$2:$B$366,'Team Stats'!$D$2:$D$366)/F196</f>
        <v>1.1037719450721364</v>
      </c>
      <c r="H196">
        <f>_xlfn.XLOOKUP(A196,'Team Stats'!$B$2:$B$366,'Team Stats'!$D$2:$D$366)</f>
        <v>76.2</v>
      </c>
    </row>
    <row r="197" spans="1:8" ht="15" customHeight="1" x14ac:dyDescent="0.25">
      <c r="A197" t="s">
        <v>322</v>
      </c>
      <c r="B197" s="146">
        <f t="array" ref="B197">_xlfn.XLOOKUP(A197,'Team Stats'!$B$2:$B$366,('Team Stats'!$E$2:$E$366+'Team Stats'!$H$2:$H$366/2)/'Team Stats'!$F$2:$F$366)*100</f>
        <v>52.337228714524208</v>
      </c>
      <c r="C197" s="146">
        <f>_xlfn.XLOOKUP(A197,'Team Stats'!$B$2:$B$366,'Team Stats'!$T$2:$T$366)/( _xlfn.XLOOKUP(A197,'Team Stats'!$B$2:$B$366,'Team Stats'!$T$2:$T$366)+_xlfn.XLOOKUP(A197,'Team Stats'!$B$2:$B$366,'Team Stats'!$F$2:$F$366)+0.44*_xlfn.XLOOKUP(A197,'Team Stats'!$B$2:$B$366,'Team Stats'!$L$2:$L$366)+_xlfn.XLOOKUP(A197,'Team Stats'!$B$2:$B$366,'Team Stats'!$Q$2:$Q$366))*100</f>
        <v>12.155591572123178</v>
      </c>
      <c r="D197" s="146">
        <f>_xlfn.XLOOKUP(A197,'Team Stats'!$B$2:$B$366,'Team Stats'!$N$2:$N$366)/(_xlfn.XLOOKUP(A197,'Team Stats'!$B$2:$B$366,'Team Stats'!$N$2:$N$366)+_xlfn.XLOOKUP(A197,'Opponents stats vs'!$B$2:$B$366,'Opponents stats vs'!$O$2:$O$366))*100</f>
        <v>31.652661064425768</v>
      </c>
      <c r="E197" s="146">
        <f>_xlfn.XLOOKUP(A197,'Team Stats'!$B$2:$B$366,'Team Stats'!$K$2:$K$366)/_xlfn.XLOOKUP(A197,'Team Stats'!$B$2:$B$366,'Team Stats'!$F$2:$F$366)*100</f>
        <v>21.869782971619365</v>
      </c>
      <c r="F197" s="146">
        <f>_xlfn.XLOOKUP(A197,'Team Stats'!$B$2:$B$366,'Team Stats'!$F$2:$F$366)+0.44*_xlfn.XLOOKUP(A197,'Team Stats'!$B$2:$B$366,'Team Stats'!$L$2:$L$366)+_xlfn.XLOOKUP(A197,'Team Stats'!$B$2:$B$366,'Team Stats'!$T$2:$T$366)-_xlfn.XLOOKUP(A197,'Team Stats'!$B$2:$B$366,'Team Stats'!$N$2:$N$366)</f>
        <v>68.184000000000012</v>
      </c>
      <c r="G197">
        <f>_xlfn.XLOOKUP(A197,'Team Stats'!$B$2:$B$366,'Team Stats'!$D$2:$D$366)/F197</f>
        <v>1.1102311392702098</v>
      </c>
      <c r="H197">
        <f>_xlfn.XLOOKUP(A197,'Team Stats'!$B$2:$B$366,'Team Stats'!$D$2:$D$366)</f>
        <v>75.7</v>
      </c>
    </row>
    <row r="198" spans="1:8" ht="15" customHeight="1" x14ac:dyDescent="0.25">
      <c r="A198" t="s">
        <v>419</v>
      </c>
      <c r="B198" s="146">
        <f t="array" ref="B198">_xlfn.XLOOKUP(A198,'Team Stats'!$B$2:$B$366,('Team Stats'!$E$2:$E$366+'Team Stats'!$H$2:$H$366/2)/'Team Stats'!$F$2:$F$366)*100</f>
        <v>51.365187713310576</v>
      </c>
      <c r="C198" s="146">
        <f>_xlfn.XLOOKUP(A198,'Team Stats'!$B$2:$B$366,'Team Stats'!$T$2:$T$366)/( _xlfn.XLOOKUP(A198,'Team Stats'!$B$2:$B$366,'Team Stats'!$T$2:$T$366)+_xlfn.XLOOKUP(A198,'Team Stats'!$B$2:$B$366,'Team Stats'!$F$2:$F$366)+0.44*_xlfn.XLOOKUP(A198,'Team Stats'!$B$2:$B$366,'Team Stats'!$L$2:$L$366)+_xlfn.XLOOKUP(A198,'Team Stats'!$B$2:$B$366,'Team Stats'!$Q$2:$Q$366))*100</f>
        <v>11.759275540706875</v>
      </c>
      <c r="D198" s="146">
        <f>_xlfn.XLOOKUP(A198,'Team Stats'!$B$2:$B$366,'Team Stats'!$N$2:$N$366)/(_xlfn.XLOOKUP(A198,'Team Stats'!$B$2:$B$366,'Team Stats'!$N$2:$N$366)+_xlfn.XLOOKUP(A198,'Opponents stats vs'!$B$2:$B$366,'Opponents stats vs'!$O$2:$O$366))*100</f>
        <v>32.285714285714292</v>
      </c>
      <c r="E198" s="146">
        <f>_xlfn.XLOOKUP(A198,'Team Stats'!$B$2:$B$366,'Team Stats'!$K$2:$K$366)/_xlfn.XLOOKUP(A198,'Team Stats'!$B$2:$B$366,'Team Stats'!$F$2:$F$366)*100</f>
        <v>27.13310580204778</v>
      </c>
      <c r="F198" s="146">
        <f>_xlfn.XLOOKUP(A198,'Team Stats'!$B$2:$B$366,'Team Stats'!$F$2:$F$366)+0.44*_xlfn.XLOOKUP(A198,'Team Stats'!$B$2:$B$366,'Team Stats'!$L$2:$L$366)+_xlfn.XLOOKUP(A198,'Team Stats'!$B$2:$B$366,'Team Stats'!$T$2:$T$366)-_xlfn.XLOOKUP(A198,'Team Stats'!$B$2:$B$366,'Team Stats'!$N$2:$N$366)</f>
        <v>67.592000000000013</v>
      </c>
      <c r="G198">
        <f>_xlfn.XLOOKUP(A198,'Team Stats'!$B$2:$B$366,'Team Stats'!$D$2:$D$366)/F198</f>
        <v>1.1258728843650132</v>
      </c>
      <c r="H198">
        <f>_xlfn.XLOOKUP(A198,'Team Stats'!$B$2:$B$366,'Team Stats'!$D$2:$D$366)</f>
        <v>76.099999999999994</v>
      </c>
    </row>
    <row r="199" spans="1:8" ht="15" customHeight="1" x14ac:dyDescent="0.25">
      <c r="A199" t="s">
        <v>370</v>
      </c>
      <c r="B199" s="146">
        <f t="array" ref="B199">_xlfn.XLOOKUP(A199,'Team Stats'!$B$2:$B$366,('Team Stats'!$E$2:$E$366+'Team Stats'!$H$2:$H$366/2)/'Team Stats'!$F$2:$F$366)*100</f>
        <v>53.191489361702125</v>
      </c>
      <c r="C199" s="146">
        <f>_xlfn.XLOOKUP(A199,'Team Stats'!$B$2:$B$366,'Team Stats'!$T$2:$T$366)/( _xlfn.XLOOKUP(A199,'Team Stats'!$B$2:$B$366,'Team Stats'!$T$2:$T$366)+_xlfn.XLOOKUP(A199,'Team Stats'!$B$2:$B$366,'Team Stats'!$F$2:$F$366)+0.44*_xlfn.XLOOKUP(A199,'Team Stats'!$B$2:$B$366,'Team Stats'!$L$2:$L$366)+_xlfn.XLOOKUP(A199,'Team Stats'!$B$2:$B$366,'Team Stats'!$Q$2:$Q$366))*100</f>
        <v>11.749942961441937</v>
      </c>
      <c r="D199" s="146">
        <f>_xlfn.XLOOKUP(A199,'Team Stats'!$B$2:$B$366,'Team Stats'!$N$2:$N$366)/(_xlfn.XLOOKUP(A199,'Team Stats'!$B$2:$B$366,'Team Stats'!$N$2:$N$366)+_xlfn.XLOOKUP(A199,'Opponents stats vs'!$B$2:$B$366,'Opponents stats vs'!$O$2:$O$366))*100</f>
        <v>26.315789473684216</v>
      </c>
      <c r="E199" s="146">
        <f>_xlfn.XLOOKUP(A199,'Team Stats'!$B$2:$B$366,'Team Stats'!$K$2:$K$366)/_xlfn.XLOOKUP(A199,'Team Stats'!$B$2:$B$366,'Team Stats'!$F$2:$F$366)*100</f>
        <v>25.531914893617024</v>
      </c>
      <c r="F199" s="146">
        <f>_xlfn.XLOOKUP(A199,'Team Stats'!$B$2:$B$366,'Team Stats'!$F$2:$F$366)+0.44*_xlfn.XLOOKUP(A199,'Team Stats'!$B$2:$B$366,'Team Stats'!$L$2:$L$366)+_xlfn.XLOOKUP(A199,'Team Stats'!$B$2:$B$366,'Team Stats'!$T$2:$T$366)-_xlfn.XLOOKUP(A199,'Team Stats'!$B$2:$B$366,'Team Stats'!$N$2:$N$366)</f>
        <v>66.559999999999988</v>
      </c>
      <c r="G199">
        <f>_xlfn.XLOOKUP(A199,'Team Stats'!$B$2:$B$366,'Team Stats'!$D$2:$D$366)/F199</f>
        <v>1.1162860576923079</v>
      </c>
      <c r="H199">
        <f>_xlfn.XLOOKUP(A199,'Team Stats'!$B$2:$B$366,'Team Stats'!$D$2:$D$366)</f>
        <v>74.3</v>
      </c>
    </row>
    <row r="200" spans="1:8" ht="15" customHeight="1" x14ac:dyDescent="0.25">
      <c r="A200" t="s">
        <v>443</v>
      </c>
      <c r="B200" s="146">
        <f t="array" ref="B200">_xlfn.XLOOKUP(A200,'Team Stats'!$B$2:$B$366,('Team Stats'!$E$2:$E$366+'Team Stats'!$H$2:$H$366/2)/'Team Stats'!$F$2:$F$366)*100</f>
        <v>51.188455008488965</v>
      </c>
      <c r="C200" s="146">
        <f>_xlfn.XLOOKUP(A200,'Team Stats'!$B$2:$B$366,'Team Stats'!$T$2:$T$366)/( _xlfn.XLOOKUP(A200,'Team Stats'!$B$2:$B$366,'Team Stats'!$T$2:$T$366)+_xlfn.XLOOKUP(A200,'Team Stats'!$B$2:$B$366,'Team Stats'!$F$2:$F$366)+0.44*_xlfn.XLOOKUP(A200,'Team Stats'!$B$2:$B$366,'Team Stats'!$L$2:$L$366)+_xlfn.XLOOKUP(A200,'Team Stats'!$B$2:$B$366,'Team Stats'!$Q$2:$Q$366))*100</f>
        <v>13.171985435853504</v>
      </c>
      <c r="D200" s="146">
        <f>_xlfn.XLOOKUP(A200,'Team Stats'!$B$2:$B$366,'Team Stats'!$N$2:$N$366)/(_xlfn.XLOOKUP(A200,'Team Stats'!$B$2:$B$366,'Team Stats'!$N$2:$N$366)+_xlfn.XLOOKUP(A200,'Opponents stats vs'!$B$2:$B$366,'Opponents stats vs'!$O$2:$O$366))*100</f>
        <v>34.472934472934469</v>
      </c>
      <c r="E200" s="146">
        <f>_xlfn.XLOOKUP(A200,'Team Stats'!$B$2:$B$366,'Team Stats'!$K$2:$K$366)/_xlfn.XLOOKUP(A200,'Team Stats'!$B$2:$B$366,'Team Stats'!$F$2:$F$366)*100</f>
        <v>24.617996604414262</v>
      </c>
      <c r="F200" s="146">
        <f>_xlfn.XLOOKUP(A200,'Team Stats'!$B$2:$B$366,'Team Stats'!$F$2:$F$366)+0.44*_xlfn.XLOOKUP(A200,'Team Stats'!$B$2:$B$366,'Team Stats'!$L$2:$L$366)+_xlfn.XLOOKUP(A200,'Team Stats'!$B$2:$B$366,'Team Stats'!$T$2:$T$366)-_xlfn.XLOOKUP(A200,'Team Stats'!$B$2:$B$366,'Team Stats'!$N$2:$N$366)</f>
        <v>68.78</v>
      </c>
      <c r="G200">
        <f>_xlfn.XLOOKUP(A200,'Team Stats'!$B$2:$B$366,'Team Stats'!$D$2:$D$366)/F200</f>
        <v>1.0889793544635069</v>
      </c>
      <c r="H200">
        <f>_xlfn.XLOOKUP(A200,'Team Stats'!$B$2:$B$366,'Team Stats'!$D$2:$D$366)</f>
        <v>74.900000000000006</v>
      </c>
    </row>
    <row r="201" spans="1:8" ht="15" customHeight="1" x14ac:dyDescent="0.25">
      <c r="A201" t="s">
        <v>311</v>
      </c>
      <c r="B201" s="146">
        <f t="array" ref="B201">_xlfn.XLOOKUP(A201,'Team Stats'!$B$2:$B$366,('Team Stats'!$E$2:$E$366+'Team Stats'!$H$2:$H$366/2)/'Team Stats'!$F$2:$F$366)*100</f>
        <v>48.653198653198658</v>
      </c>
      <c r="C201" s="146">
        <f>_xlfn.XLOOKUP(A201,'Team Stats'!$B$2:$B$366,'Team Stats'!$T$2:$T$366)/( _xlfn.XLOOKUP(A201,'Team Stats'!$B$2:$B$366,'Team Stats'!$T$2:$T$366)+_xlfn.XLOOKUP(A201,'Team Stats'!$B$2:$B$366,'Team Stats'!$F$2:$F$366)+0.44*_xlfn.XLOOKUP(A201,'Team Stats'!$B$2:$B$366,'Team Stats'!$L$2:$L$366)+_xlfn.XLOOKUP(A201,'Team Stats'!$B$2:$B$366,'Team Stats'!$Q$2:$Q$366))*100</f>
        <v>11.646131742783753</v>
      </c>
      <c r="D201" s="146">
        <f>_xlfn.XLOOKUP(A201,'Team Stats'!$B$2:$B$366,'Team Stats'!$N$2:$N$366)/(_xlfn.XLOOKUP(A201,'Team Stats'!$B$2:$B$366,'Team Stats'!$N$2:$N$366)+_xlfn.XLOOKUP(A201,'Opponents stats vs'!$B$2:$B$366,'Opponents stats vs'!$O$2:$O$366))*100</f>
        <v>29.639889196675899</v>
      </c>
      <c r="E201" s="146">
        <f>_xlfn.XLOOKUP(A201,'Team Stats'!$B$2:$B$366,'Team Stats'!$K$2:$K$366)/_xlfn.XLOOKUP(A201,'Team Stats'!$B$2:$B$366,'Team Stats'!$F$2:$F$366)*100</f>
        <v>27.27272727272727</v>
      </c>
      <c r="F201" s="146">
        <f>_xlfn.XLOOKUP(A201,'Team Stats'!$B$2:$B$366,'Team Stats'!$F$2:$F$366)+0.44*_xlfn.XLOOKUP(A201,'Team Stats'!$B$2:$B$366,'Team Stats'!$L$2:$L$366)+_xlfn.XLOOKUP(A201,'Team Stats'!$B$2:$B$366,'Team Stats'!$T$2:$T$366)-_xlfn.XLOOKUP(A201,'Team Stats'!$B$2:$B$366,'Team Stats'!$N$2:$N$366)</f>
        <v>68.376000000000005</v>
      </c>
      <c r="G201">
        <f>_xlfn.XLOOKUP(A201,'Team Stats'!$B$2:$B$366,'Team Stats'!$D$2:$D$366)/F201</f>
        <v>1.0822510822510822</v>
      </c>
      <c r="H201">
        <f>_xlfn.XLOOKUP(A201,'Team Stats'!$B$2:$B$366,'Team Stats'!$D$2:$D$366)</f>
        <v>74</v>
      </c>
    </row>
    <row r="202" spans="1:8" ht="15" customHeight="1" x14ac:dyDescent="0.25">
      <c r="A202" t="s">
        <v>424</v>
      </c>
      <c r="B202" s="146">
        <f t="array" ref="B202">_xlfn.XLOOKUP(A202,'Team Stats'!$B$2:$B$366,('Team Stats'!$E$2:$E$366+'Team Stats'!$H$2:$H$366/2)/'Team Stats'!$F$2:$F$366)*100</f>
        <v>49.137931034482754</v>
      </c>
      <c r="C202" s="146">
        <f>_xlfn.XLOOKUP(A202,'Team Stats'!$B$2:$B$366,'Team Stats'!$T$2:$T$366)/( _xlfn.XLOOKUP(A202,'Team Stats'!$B$2:$B$366,'Team Stats'!$T$2:$T$366)+_xlfn.XLOOKUP(A202,'Team Stats'!$B$2:$B$366,'Team Stats'!$F$2:$F$366)+0.44*_xlfn.XLOOKUP(A202,'Team Stats'!$B$2:$B$366,'Team Stats'!$L$2:$L$366)+_xlfn.XLOOKUP(A202,'Team Stats'!$B$2:$B$366,'Team Stats'!$Q$2:$Q$366))*100</f>
        <v>15.319800842589048</v>
      </c>
      <c r="D202" s="146">
        <f>_xlfn.XLOOKUP(A202,'Team Stats'!$B$2:$B$366,'Team Stats'!$N$2:$N$366)/(_xlfn.XLOOKUP(A202,'Team Stats'!$B$2:$B$366,'Team Stats'!$N$2:$N$366)+_xlfn.XLOOKUP(A202,'Opponents stats vs'!$B$2:$B$366,'Opponents stats vs'!$O$2:$O$366))*100</f>
        <v>32.080924855491325</v>
      </c>
      <c r="E202" s="146">
        <f>_xlfn.XLOOKUP(A202,'Team Stats'!$B$2:$B$366,'Team Stats'!$K$2:$K$366)/_xlfn.XLOOKUP(A202,'Team Stats'!$B$2:$B$366,'Team Stats'!$F$2:$F$366)*100</f>
        <v>30.172413793103448</v>
      </c>
      <c r="F202" s="146">
        <f>_xlfn.XLOOKUP(A202,'Team Stats'!$B$2:$B$366,'Team Stats'!$F$2:$F$366)+0.44*_xlfn.XLOOKUP(A202,'Team Stats'!$B$2:$B$366,'Team Stats'!$L$2:$L$366)+_xlfn.XLOOKUP(A202,'Team Stats'!$B$2:$B$366,'Team Stats'!$T$2:$T$366)-_xlfn.XLOOKUP(A202,'Team Stats'!$B$2:$B$366,'Team Stats'!$N$2:$N$366)</f>
        <v>71.596000000000004</v>
      </c>
      <c r="G202">
        <f>_xlfn.XLOOKUP(A202,'Team Stats'!$B$2:$B$366,'Team Stats'!$D$2:$D$366)/F202</f>
        <v>1.0391641991172691</v>
      </c>
      <c r="H202">
        <f>_xlfn.XLOOKUP(A202,'Team Stats'!$B$2:$B$366,'Team Stats'!$D$2:$D$366)</f>
        <v>74.400000000000006</v>
      </c>
    </row>
    <row r="203" spans="1:8" ht="15" customHeight="1" x14ac:dyDescent="0.25">
      <c r="A203" t="s">
        <v>374</v>
      </c>
      <c r="B203" s="146">
        <f t="array" ref="B203">_xlfn.XLOOKUP(A203,'Team Stats'!$B$2:$B$366,('Team Stats'!$E$2:$E$366+'Team Stats'!$H$2:$H$366/2)/'Team Stats'!$F$2:$F$366)*100</f>
        <v>52.006980802792327</v>
      </c>
      <c r="C203" s="146">
        <f>_xlfn.XLOOKUP(A203,'Team Stats'!$B$2:$B$366,'Team Stats'!$T$2:$T$366)/( _xlfn.XLOOKUP(A203,'Team Stats'!$B$2:$B$366,'Team Stats'!$T$2:$T$366)+_xlfn.XLOOKUP(A203,'Team Stats'!$B$2:$B$366,'Team Stats'!$F$2:$F$366)+0.44*_xlfn.XLOOKUP(A203,'Team Stats'!$B$2:$B$366,'Team Stats'!$L$2:$L$366)+_xlfn.XLOOKUP(A203,'Team Stats'!$B$2:$B$366,'Team Stats'!$Q$2:$Q$366))*100</f>
        <v>14.137119742436125</v>
      </c>
      <c r="D203" s="146">
        <f>_xlfn.XLOOKUP(A203,'Team Stats'!$B$2:$B$366,'Team Stats'!$N$2:$N$366)/(_xlfn.XLOOKUP(A203,'Team Stats'!$B$2:$B$366,'Team Stats'!$N$2:$N$366)+_xlfn.XLOOKUP(A203,'Opponents stats vs'!$B$2:$B$366,'Opponents stats vs'!$O$2:$O$366))*100</f>
        <v>29.411764705882355</v>
      </c>
      <c r="E203" s="146">
        <f>_xlfn.XLOOKUP(A203,'Team Stats'!$B$2:$B$366,'Team Stats'!$K$2:$K$366)/_xlfn.XLOOKUP(A203,'Team Stats'!$B$2:$B$366,'Team Stats'!$F$2:$F$366)*100</f>
        <v>26.527050610820247</v>
      </c>
      <c r="F203" s="146">
        <f>_xlfn.XLOOKUP(A203,'Team Stats'!$B$2:$B$366,'Team Stats'!$F$2:$F$366)+0.44*_xlfn.XLOOKUP(A203,'Team Stats'!$B$2:$B$366,'Team Stats'!$L$2:$L$366)+_xlfn.XLOOKUP(A203,'Team Stats'!$B$2:$B$366,'Team Stats'!$T$2:$T$366)-_xlfn.XLOOKUP(A203,'Team Stats'!$B$2:$B$366,'Team Stats'!$N$2:$N$366)</f>
        <v>70.608000000000004</v>
      </c>
      <c r="G203">
        <f>_xlfn.XLOOKUP(A203,'Team Stats'!$B$2:$B$366,'Team Stats'!$D$2:$D$366)/F203</f>
        <v>1.0579537729435757</v>
      </c>
      <c r="H203">
        <f>_xlfn.XLOOKUP(A203,'Team Stats'!$B$2:$B$366,'Team Stats'!$D$2:$D$366)</f>
        <v>74.7</v>
      </c>
    </row>
    <row r="204" spans="1:8" ht="15" customHeight="1" x14ac:dyDescent="0.25">
      <c r="A204" t="s">
        <v>267</v>
      </c>
      <c r="B204" s="146">
        <f t="array" ref="B204">_xlfn.XLOOKUP(A204,'Team Stats'!$B$2:$B$366,('Team Stats'!$E$2:$E$366+'Team Stats'!$H$2:$H$366/2)/'Team Stats'!$F$2:$F$366)*100</f>
        <v>49.742710120068608</v>
      </c>
      <c r="C204" s="146">
        <f>_xlfn.XLOOKUP(A204,'Team Stats'!$B$2:$B$366,'Team Stats'!$T$2:$T$366)/( _xlfn.XLOOKUP(A204,'Team Stats'!$B$2:$B$366,'Team Stats'!$T$2:$T$366)+_xlfn.XLOOKUP(A204,'Team Stats'!$B$2:$B$366,'Team Stats'!$F$2:$F$366)+0.44*_xlfn.XLOOKUP(A204,'Team Stats'!$B$2:$B$366,'Team Stats'!$L$2:$L$366)+_xlfn.XLOOKUP(A204,'Team Stats'!$B$2:$B$366,'Team Stats'!$Q$2:$Q$366))*100</f>
        <v>11.22322459275728</v>
      </c>
      <c r="D204" s="146">
        <f>_xlfn.XLOOKUP(A204,'Team Stats'!$B$2:$B$366,'Team Stats'!$N$2:$N$366)/(_xlfn.XLOOKUP(A204,'Team Stats'!$B$2:$B$366,'Team Stats'!$N$2:$N$366)+_xlfn.XLOOKUP(A204,'Opponents stats vs'!$B$2:$B$366,'Opponents stats vs'!$O$2:$O$366))*100</f>
        <v>32.478632478632477</v>
      </c>
      <c r="E204" s="146">
        <f>_xlfn.XLOOKUP(A204,'Team Stats'!$B$2:$B$366,'Team Stats'!$K$2:$K$366)/_xlfn.XLOOKUP(A204,'Team Stats'!$B$2:$B$366,'Team Stats'!$F$2:$F$366)*100</f>
        <v>28.30188679245283</v>
      </c>
      <c r="F204" s="146">
        <f>_xlfn.XLOOKUP(A204,'Team Stats'!$B$2:$B$366,'Team Stats'!$F$2:$F$366)+0.44*_xlfn.XLOOKUP(A204,'Team Stats'!$B$2:$B$366,'Team Stats'!$L$2:$L$366)+_xlfn.XLOOKUP(A204,'Team Stats'!$B$2:$B$366,'Team Stats'!$T$2:$T$366)-_xlfn.XLOOKUP(A204,'Team Stats'!$B$2:$B$366,'Team Stats'!$N$2:$N$366)</f>
        <v>67.255999999999986</v>
      </c>
      <c r="G204">
        <f>_xlfn.XLOOKUP(A204,'Team Stats'!$B$2:$B$366,'Team Stats'!$D$2:$D$366)/F204</f>
        <v>1.1062210063042706</v>
      </c>
      <c r="H204">
        <f>_xlfn.XLOOKUP(A204,'Team Stats'!$B$2:$B$366,'Team Stats'!$D$2:$D$366)</f>
        <v>74.400000000000006</v>
      </c>
    </row>
    <row r="205" spans="1:8" ht="15" customHeight="1" x14ac:dyDescent="0.25">
      <c r="A205" t="s">
        <v>272</v>
      </c>
      <c r="B205" s="146">
        <f t="array" ref="B205">_xlfn.XLOOKUP(A205,'Team Stats'!$B$2:$B$366,('Team Stats'!$E$2:$E$366+'Team Stats'!$H$2:$H$366/2)/'Team Stats'!$F$2:$F$366)*100</f>
        <v>51.320422535211264</v>
      </c>
      <c r="C205" s="146">
        <f>_xlfn.XLOOKUP(A205,'Team Stats'!$B$2:$B$366,'Team Stats'!$T$2:$T$366)/( _xlfn.XLOOKUP(A205,'Team Stats'!$B$2:$B$366,'Team Stats'!$T$2:$T$366)+_xlfn.XLOOKUP(A205,'Team Stats'!$B$2:$B$366,'Team Stats'!$F$2:$F$366)+0.44*_xlfn.XLOOKUP(A205,'Team Stats'!$B$2:$B$366,'Team Stats'!$L$2:$L$366)+_xlfn.XLOOKUP(A205,'Team Stats'!$B$2:$B$366,'Team Stats'!$Q$2:$Q$366))*100</f>
        <v>13.447325840731187</v>
      </c>
      <c r="D205" s="146">
        <f>_xlfn.XLOOKUP(A205,'Team Stats'!$B$2:$B$366,'Team Stats'!$N$2:$N$366)/(_xlfn.XLOOKUP(A205,'Team Stats'!$B$2:$B$366,'Team Stats'!$N$2:$N$366)+_xlfn.XLOOKUP(A205,'Opponents stats vs'!$B$2:$B$366,'Opponents stats vs'!$O$2:$O$366))*100</f>
        <v>31.610942249240125</v>
      </c>
      <c r="E205" s="146">
        <f>_xlfn.XLOOKUP(A205,'Team Stats'!$B$2:$B$366,'Team Stats'!$K$2:$K$366)/_xlfn.XLOOKUP(A205,'Team Stats'!$B$2:$B$366,'Team Stats'!$F$2:$F$366)*100</f>
        <v>29.577464788732399</v>
      </c>
      <c r="F205" s="146">
        <f>_xlfn.XLOOKUP(A205,'Team Stats'!$B$2:$B$366,'Team Stats'!$F$2:$F$366)+0.44*_xlfn.XLOOKUP(A205,'Team Stats'!$B$2:$B$366,'Team Stats'!$L$2:$L$366)+_xlfn.XLOOKUP(A205,'Team Stats'!$B$2:$B$366,'Team Stats'!$T$2:$T$366)-_xlfn.XLOOKUP(A205,'Team Stats'!$B$2:$B$366,'Team Stats'!$N$2:$N$366)</f>
        <v>68.467999999999989</v>
      </c>
      <c r="G205">
        <f>_xlfn.XLOOKUP(A205,'Team Stats'!$B$2:$B$366,'Team Stats'!$D$2:$D$366)/F205</f>
        <v>1.0983233043173455</v>
      </c>
      <c r="H205">
        <f>_xlfn.XLOOKUP(A205,'Team Stats'!$B$2:$B$366,'Team Stats'!$D$2:$D$366)</f>
        <v>75.2</v>
      </c>
    </row>
    <row r="206" spans="1:8" ht="15" customHeight="1" x14ac:dyDescent="0.25">
      <c r="A206" t="s">
        <v>283</v>
      </c>
      <c r="B206" s="146">
        <f t="array" ref="B206">_xlfn.XLOOKUP(A206,'Team Stats'!$B$2:$B$366,('Team Stats'!$E$2:$E$366+'Team Stats'!$H$2:$H$366/2)/'Team Stats'!$F$2:$F$366)*100</f>
        <v>52.151462994836486</v>
      </c>
      <c r="C206" s="146">
        <f>_xlfn.XLOOKUP(A206,'Team Stats'!$B$2:$B$366,'Team Stats'!$T$2:$T$366)/( _xlfn.XLOOKUP(A206,'Team Stats'!$B$2:$B$366,'Team Stats'!$T$2:$T$366)+_xlfn.XLOOKUP(A206,'Team Stats'!$B$2:$B$366,'Team Stats'!$F$2:$F$366)+0.44*_xlfn.XLOOKUP(A206,'Team Stats'!$B$2:$B$366,'Team Stats'!$L$2:$L$366)+_xlfn.XLOOKUP(A206,'Team Stats'!$B$2:$B$366,'Team Stats'!$Q$2:$Q$366))*100</f>
        <v>12.521241391646543</v>
      </c>
      <c r="D206" s="146">
        <f>_xlfn.XLOOKUP(A206,'Team Stats'!$B$2:$B$366,'Team Stats'!$N$2:$N$366)/(_xlfn.XLOOKUP(A206,'Team Stats'!$B$2:$B$366,'Team Stats'!$N$2:$N$366)+_xlfn.XLOOKUP(A206,'Opponents stats vs'!$B$2:$B$366,'Opponents stats vs'!$O$2:$O$366))*100</f>
        <v>34.104046242774565</v>
      </c>
      <c r="E206" s="146">
        <f>_xlfn.XLOOKUP(A206,'Team Stats'!$B$2:$B$366,'Team Stats'!$K$2:$K$366)/_xlfn.XLOOKUP(A206,'Team Stats'!$B$2:$B$366,'Team Stats'!$F$2:$F$366)*100</f>
        <v>23.580034423407916</v>
      </c>
      <c r="F206" s="146">
        <f>_xlfn.XLOOKUP(A206,'Team Stats'!$B$2:$B$366,'Team Stats'!$F$2:$F$366)+0.44*_xlfn.XLOOKUP(A206,'Team Stats'!$B$2:$B$366,'Team Stats'!$L$2:$L$366)+_xlfn.XLOOKUP(A206,'Team Stats'!$B$2:$B$366,'Team Stats'!$T$2:$T$366)-_xlfn.XLOOKUP(A206,'Team Stats'!$B$2:$B$366,'Team Stats'!$N$2:$N$366)</f>
        <v>65.948000000000008</v>
      </c>
      <c r="G206">
        <f>_xlfn.XLOOKUP(A206,'Team Stats'!$B$2:$B$366,'Team Stats'!$D$2:$D$366)/F206</f>
        <v>1.1266452356402012</v>
      </c>
      <c r="H206">
        <f>_xlfn.XLOOKUP(A206,'Team Stats'!$B$2:$B$366,'Team Stats'!$D$2:$D$366)</f>
        <v>74.3</v>
      </c>
    </row>
    <row r="207" spans="1:8" ht="15" customHeight="1" x14ac:dyDescent="0.25">
      <c r="A207" t="s">
        <v>458</v>
      </c>
      <c r="B207" s="146">
        <f t="array" ref="B207">_xlfn.XLOOKUP(A207,'Team Stats'!$B$2:$B$366,('Team Stats'!$E$2:$E$366+'Team Stats'!$H$2:$H$366/2)/'Team Stats'!$F$2:$F$366)*100</f>
        <v>53.893805309734525</v>
      </c>
      <c r="C207" s="146">
        <f>_xlfn.XLOOKUP(A207,'Team Stats'!$B$2:$B$366,'Team Stats'!$T$2:$T$366)/( _xlfn.XLOOKUP(A207,'Team Stats'!$B$2:$B$366,'Team Stats'!$T$2:$T$366)+_xlfn.XLOOKUP(A207,'Team Stats'!$B$2:$B$366,'Team Stats'!$F$2:$F$366)+0.44*_xlfn.XLOOKUP(A207,'Team Stats'!$B$2:$B$366,'Team Stats'!$L$2:$L$366)+_xlfn.XLOOKUP(A207,'Team Stats'!$B$2:$B$366,'Team Stats'!$Q$2:$Q$366))*100</f>
        <v>10.91703056768559</v>
      </c>
      <c r="D207" s="146">
        <f>_xlfn.XLOOKUP(A207,'Team Stats'!$B$2:$B$366,'Team Stats'!$N$2:$N$366)/(_xlfn.XLOOKUP(A207,'Team Stats'!$B$2:$B$366,'Team Stats'!$N$2:$N$366)+_xlfn.XLOOKUP(A207,'Opponents stats vs'!$B$2:$B$366,'Opponents stats vs'!$O$2:$O$366))*100</f>
        <v>27.134146341463417</v>
      </c>
      <c r="E207" s="146">
        <f>_xlfn.XLOOKUP(A207,'Team Stats'!$B$2:$B$366,'Team Stats'!$K$2:$K$366)/_xlfn.XLOOKUP(A207,'Team Stats'!$B$2:$B$366,'Team Stats'!$F$2:$F$366)*100</f>
        <v>23.185840707964601</v>
      </c>
      <c r="F207" s="146">
        <f>_xlfn.XLOOKUP(A207,'Team Stats'!$B$2:$B$366,'Team Stats'!$F$2:$F$366)+0.44*_xlfn.XLOOKUP(A207,'Team Stats'!$B$2:$B$366,'Team Stats'!$L$2:$L$366)+_xlfn.XLOOKUP(A207,'Team Stats'!$B$2:$B$366,'Team Stats'!$T$2:$T$366)-_xlfn.XLOOKUP(A207,'Team Stats'!$B$2:$B$366,'Team Stats'!$N$2:$N$366)</f>
        <v>65.02</v>
      </c>
      <c r="G207">
        <f>_xlfn.XLOOKUP(A207,'Team Stats'!$B$2:$B$366,'Team Stats'!$D$2:$D$366)/F207</f>
        <v>1.1396493386650262</v>
      </c>
      <c r="H207">
        <f>_xlfn.XLOOKUP(A207,'Team Stats'!$B$2:$B$366,'Team Stats'!$D$2:$D$366)</f>
        <v>74.099999999999994</v>
      </c>
    </row>
    <row r="208" spans="1:8" ht="15" customHeight="1" x14ac:dyDescent="0.25">
      <c r="A208" t="s">
        <v>340</v>
      </c>
      <c r="B208" s="146">
        <f t="array" ref="B208">_xlfn.XLOOKUP(A208,'Team Stats'!$B$2:$B$366,('Team Stats'!$E$2:$E$366+'Team Stats'!$H$2:$H$366/2)/'Team Stats'!$F$2:$F$366)*100</f>
        <v>50.089605734767026</v>
      </c>
      <c r="C208" s="146">
        <f>_xlfn.XLOOKUP(A208,'Team Stats'!$B$2:$B$366,'Team Stats'!$T$2:$T$366)/( _xlfn.XLOOKUP(A208,'Team Stats'!$B$2:$B$366,'Team Stats'!$T$2:$T$366)+_xlfn.XLOOKUP(A208,'Team Stats'!$B$2:$B$366,'Team Stats'!$F$2:$F$366)+0.44*_xlfn.XLOOKUP(A208,'Team Stats'!$B$2:$B$366,'Team Stats'!$L$2:$L$366)+_xlfn.XLOOKUP(A208,'Team Stats'!$B$2:$B$366,'Team Stats'!$Q$2:$Q$366))*100</f>
        <v>15.415804367107318</v>
      </c>
      <c r="D208" s="146">
        <f>_xlfn.XLOOKUP(A208,'Team Stats'!$B$2:$B$366,'Team Stats'!$N$2:$N$366)/(_xlfn.XLOOKUP(A208,'Team Stats'!$B$2:$B$366,'Team Stats'!$N$2:$N$366)+_xlfn.XLOOKUP(A208,'Opponents stats vs'!$B$2:$B$366,'Opponents stats vs'!$O$2:$O$366))*100</f>
        <v>35.416666666666671</v>
      </c>
      <c r="E208" s="146">
        <f>_xlfn.XLOOKUP(A208,'Team Stats'!$B$2:$B$366,'Team Stats'!$K$2:$K$366)/_xlfn.XLOOKUP(A208,'Team Stats'!$B$2:$B$366,'Team Stats'!$F$2:$F$366)*100</f>
        <v>34.408602150537639</v>
      </c>
      <c r="F208" s="146">
        <f>_xlfn.XLOOKUP(A208,'Team Stats'!$B$2:$B$366,'Team Stats'!$F$2:$F$366)+0.44*_xlfn.XLOOKUP(A208,'Team Stats'!$B$2:$B$366,'Team Stats'!$L$2:$L$366)+_xlfn.XLOOKUP(A208,'Team Stats'!$B$2:$B$366,'Team Stats'!$T$2:$T$366)-_xlfn.XLOOKUP(A208,'Team Stats'!$B$2:$B$366,'Team Stats'!$N$2:$N$366)</f>
        <v>69.807999999999993</v>
      </c>
      <c r="G208">
        <f>_xlfn.XLOOKUP(A208,'Team Stats'!$B$2:$B$366,'Team Stats'!$D$2:$D$366)/F208</f>
        <v>1.074375429750172</v>
      </c>
      <c r="H208">
        <f>_xlfn.XLOOKUP(A208,'Team Stats'!$B$2:$B$366,'Team Stats'!$D$2:$D$366)</f>
        <v>75</v>
      </c>
    </row>
    <row r="209" spans="1:8" ht="15" customHeight="1" x14ac:dyDescent="0.25">
      <c r="A209" t="s">
        <v>14</v>
      </c>
      <c r="B209" s="146">
        <f t="array" ref="B209">_xlfn.XLOOKUP(A209,'Team Stats'!$B$2:$B$366,('Team Stats'!$E$2:$E$366+'Team Stats'!$H$2:$H$366/2)/'Team Stats'!$F$2:$F$366)*100</f>
        <v>53.752181500872595</v>
      </c>
      <c r="C209" s="146">
        <f>_xlfn.XLOOKUP(A209,'Team Stats'!$B$2:$B$366,'Team Stats'!$T$2:$T$366)/( _xlfn.XLOOKUP(A209,'Team Stats'!$B$2:$B$366,'Team Stats'!$T$2:$T$366)+_xlfn.XLOOKUP(A209,'Team Stats'!$B$2:$B$366,'Team Stats'!$F$2:$F$366)+0.44*_xlfn.XLOOKUP(A209,'Team Stats'!$B$2:$B$366,'Team Stats'!$L$2:$L$366)+_xlfn.XLOOKUP(A209,'Team Stats'!$B$2:$B$366,'Team Stats'!$Q$2:$Q$366))*100</f>
        <v>11.200512023406786</v>
      </c>
      <c r="D209" s="146">
        <f>_xlfn.XLOOKUP(A209,'Team Stats'!$B$2:$B$366,'Team Stats'!$N$2:$N$366)/(_xlfn.XLOOKUP(A209,'Team Stats'!$B$2:$B$366,'Team Stats'!$N$2:$N$366)+_xlfn.XLOOKUP(A209,'Opponents stats vs'!$B$2:$B$366,'Opponents stats vs'!$O$2:$O$366))*100</f>
        <v>25.617283950617281</v>
      </c>
      <c r="E209" s="146">
        <f>_xlfn.XLOOKUP(A209,'Team Stats'!$B$2:$B$366,'Team Stats'!$K$2:$K$366)/_xlfn.XLOOKUP(A209,'Team Stats'!$B$2:$B$366,'Team Stats'!$F$2:$F$366)*100</f>
        <v>24.258289703315882</v>
      </c>
      <c r="F209" s="146">
        <f>_xlfn.XLOOKUP(A209,'Team Stats'!$B$2:$B$366,'Team Stats'!$F$2:$F$366)+0.44*_xlfn.XLOOKUP(A209,'Team Stats'!$B$2:$B$366,'Team Stats'!$L$2:$L$366)+_xlfn.XLOOKUP(A209,'Team Stats'!$B$2:$B$366,'Team Stats'!$T$2:$T$366)-_xlfn.XLOOKUP(A209,'Team Stats'!$B$2:$B$366,'Team Stats'!$N$2:$N$366)</f>
        <v>66.896000000000001</v>
      </c>
      <c r="G209">
        <f>_xlfn.XLOOKUP(A209,'Team Stats'!$B$2:$B$366,'Team Stats'!$D$2:$D$366)/F209</f>
        <v>1.1286175556087061</v>
      </c>
      <c r="H209">
        <f>_xlfn.XLOOKUP(A209,'Team Stats'!$B$2:$B$366,'Team Stats'!$D$2:$D$366)</f>
        <v>75.5</v>
      </c>
    </row>
    <row r="210" spans="1:8" ht="15" customHeight="1" x14ac:dyDescent="0.25">
      <c r="A210" t="s">
        <v>309</v>
      </c>
      <c r="B210" s="146">
        <f t="array" ref="B210">_xlfn.XLOOKUP(A210,'Team Stats'!$B$2:$B$366,('Team Stats'!$E$2:$E$366+'Team Stats'!$H$2:$H$366/2)/'Team Stats'!$F$2:$F$366)*100</f>
        <v>52.835051546391753</v>
      </c>
      <c r="C210" s="146">
        <f>_xlfn.XLOOKUP(A210,'Team Stats'!$B$2:$B$366,'Team Stats'!$T$2:$T$366)/( _xlfn.XLOOKUP(A210,'Team Stats'!$B$2:$B$366,'Team Stats'!$T$2:$T$366)+_xlfn.XLOOKUP(A210,'Team Stats'!$B$2:$B$366,'Team Stats'!$F$2:$F$366)+0.44*_xlfn.XLOOKUP(A210,'Team Stats'!$B$2:$B$366,'Team Stats'!$L$2:$L$366)+_xlfn.XLOOKUP(A210,'Team Stats'!$B$2:$B$366,'Team Stats'!$Q$2:$Q$366))*100</f>
        <v>13.127953789602662</v>
      </c>
      <c r="D210" s="146">
        <f>_xlfn.XLOOKUP(A210,'Team Stats'!$B$2:$B$366,'Team Stats'!$N$2:$N$366)/(_xlfn.XLOOKUP(A210,'Team Stats'!$B$2:$B$366,'Team Stats'!$N$2:$N$366)+_xlfn.XLOOKUP(A210,'Opponents stats vs'!$B$2:$B$366,'Opponents stats vs'!$O$2:$O$366))*100</f>
        <v>27.164179104477608</v>
      </c>
      <c r="E210" s="146">
        <f>_xlfn.XLOOKUP(A210,'Team Stats'!$B$2:$B$366,'Team Stats'!$K$2:$K$366)/_xlfn.XLOOKUP(A210,'Team Stats'!$B$2:$B$366,'Team Stats'!$F$2:$F$366)*100</f>
        <v>21.993127147766323</v>
      </c>
      <c r="F210" s="146">
        <f>_xlfn.XLOOKUP(A210,'Team Stats'!$B$2:$B$366,'Team Stats'!$F$2:$F$366)+0.44*_xlfn.XLOOKUP(A210,'Team Stats'!$B$2:$B$366,'Team Stats'!$L$2:$L$366)+_xlfn.XLOOKUP(A210,'Team Stats'!$B$2:$B$366,'Team Stats'!$T$2:$T$366)-_xlfn.XLOOKUP(A210,'Team Stats'!$B$2:$B$366,'Team Stats'!$N$2:$N$366)</f>
        <v>69.108000000000004</v>
      </c>
      <c r="G210">
        <f>_xlfn.XLOOKUP(A210,'Team Stats'!$B$2:$B$366,'Team Stats'!$D$2:$D$366)/F210</f>
        <v>1.0751287839323955</v>
      </c>
      <c r="H210">
        <f>_xlfn.XLOOKUP(A210,'Team Stats'!$B$2:$B$366,'Team Stats'!$D$2:$D$366)</f>
        <v>74.3</v>
      </c>
    </row>
    <row r="211" spans="1:8" ht="15" customHeight="1" x14ac:dyDescent="0.25">
      <c r="A211" t="s">
        <v>350</v>
      </c>
      <c r="B211" s="146">
        <f t="array" ref="B211">_xlfn.XLOOKUP(A211,'Team Stats'!$B$2:$B$366,('Team Stats'!$E$2:$E$366+'Team Stats'!$H$2:$H$366/2)/'Team Stats'!$F$2:$F$366)*100</f>
        <v>52.261306532663312</v>
      </c>
      <c r="C211" s="146">
        <f>_xlfn.XLOOKUP(A211,'Team Stats'!$B$2:$B$366,'Team Stats'!$T$2:$T$366)/( _xlfn.XLOOKUP(A211,'Team Stats'!$B$2:$B$366,'Team Stats'!$T$2:$T$366)+_xlfn.XLOOKUP(A211,'Team Stats'!$B$2:$B$366,'Team Stats'!$F$2:$F$366)+0.44*_xlfn.XLOOKUP(A211,'Team Stats'!$B$2:$B$366,'Team Stats'!$L$2:$L$366)+_xlfn.XLOOKUP(A211,'Team Stats'!$B$2:$B$366,'Team Stats'!$Q$2:$Q$366))*100</f>
        <v>12.318409650836804</v>
      </c>
      <c r="D211" s="146">
        <f>_xlfn.XLOOKUP(A211,'Team Stats'!$B$2:$B$366,'Team Stats'!$N$2:$N$366)/(_xlfn.XLOOKUP(A211,'Team Stats'!$B$2:$B$366,'Team Stats'!$N$2:$N$366)+_xlfn.XLOOKUP(A211,'Opponents stats vs'!$B$2:$B$366,'Opponents stats vs'!$O$2:$O$366))*100</f>
        <v>26.857142857142858</v>
      </c>
      <c r="E211" s="146">
        <f>_xlfn.XLOOKUP(A211,'Team Stats'!$B$2:$B$366,'Team Stats'!$K$2:$K$366)/_xlfn.XLOOKUP(A211,'Team Stats'!$B$2:$B$366,'Team Stats'!$F$2:$F$366)*100</f>
        <v>19.932998324958124</v>
      </c>
      <c r="F211" s="146">
        <f>_xlfn.XLOOKUP(A211,'Team Stats'!$B$2:$B$366,'Team Stats'!$F$2:$F$366)+0.44*_xlfn.XLOOKUP(A211,'Team Stats'!$B$2:$B$366,'Team Stats'!$L$2:$L$366)+_xlfn.XLOOKUP(A211,'Team Stats'!$B$2:$B$366,'Team Stats'!$T$2:$T$366)-_xlfn.XLOOKUP(A211,'Team Stats'!$B$2:$B$366,'Team Stats'!$N$2:$N$366)</f>
        <v>69.467999999999989</v>
      </c>
      <c r="G211">
        <f>_xlfn.XLOOKUP(A211,'Team Stats'!$B$2:$B$366,'Team Stats'!$D$2:$D$366)/F211</f>
        <v>1.070996717913284</v>
      </c>
      <c r="H211">
        <f>_xlfn.XLOOKUP(A211,'Team Stats'!$B$2:$B$366,'Team Stats'!$D$2:$D$366)</f>
        <v>74.400000000000006</v>
      </c>
    </row>
    <row r="212" spans="1:8" ht="15" customHeight="1" x14ac:dyDescent="0.25">
      <c r="A212" t="s">
        <v>327</v>
      </c>
      <c r="B212" s="146">
        <f t="array" ref="B212">_xlfn.XLOOKUP(A212,'Team Stats'!$B$2:$B$366,('Team Stats'!$E$2:$E$366+'Team Stats'!$H$2:$H$366/2)/'Team Stats'!$F$2:$F$366)*100</f>
        <v>51.130434782608702</v>
      </c>
      <c r="C212" s="146">
        <f>_xlfn.XLOOKUP(A212,'Team Stats'!$B$2:$B$366,'Team Stats'!$T$2:$T$366)/( _xlfn.XLOOKUP(A212,'Team Stats'!$B$2:$B$366,'Team Stats'!$T$2:$T$366)+_xlfn.XLOOKUP(A212,'Team Stats'!$B$2:$B$366,'Team Stats'!$F$2:$F$366)+0.44*_xlfn.XLOOKUP(A212,'Team Stats'!$B$2:$B$366,'Team Stats'!$L$2:$L$366)+_xlfn.XLOOKUP(A212,'Team Stats'!$B$2:$B$366,'Team Stats'!$Q$2:$Q$366))*100</f>
        <v>12.111682461433853</v>
      </c>
      <c r="D212" s="146">
        <f>_xlfn.XLOOKUP(A212,'Team Stats'!$B$2:$B$366,'Team Stats'!$N$2:$N$366)/(_xlfn.XLOOKUP(A212,'Team Stats'!$B$2:$B$366,'Team Stats'!$N$2:$N$366)+_xlfn.XLOOKUP(A212,'Opponents stats vs'!$B$2:$B$366,'Opponents stats vs'!$O$2:$O$366))*100</f>
        <v>33.994334277620396</v>
      </c>
      <c r="E212" s="146">
        <f>_xlfn.XLOOKUP(A212,'Team Stats'!$B$2:$B$366,'Team Stats'!$K$2:$K$366)/_xlfn.XLOOKUP(A212,'Team Stats'!$B$2:$B$366,'Team Stats'!$F$2:$F$366)*100</f>
        <v>29.217391304347828</v>
      </c>
      <c r="F212" s="146">
        <f>_xlfn.XLOOKUP(A212,'Team Stats'!$B$2:$B$366,'Team Stats'!$F$2:$F$366)+0.44*_xlfn.XLOOKUP(A212,'Team Stats'!$B$2:$B$366,'Team Stats'!$L$2:$L$366)+_xlfn.XLOOKUP(A212,'Team Stats'!$B$2:$B$366,'Team Stats'!$T$2:$T$366)-_xlfn.XLOOKUP(A212,'Team Stats'!$B$2:$B$366,'Team Stats'!$N$2:$N$366)</f>
        <v>67.724000000000004</v>
      </c>
      <c r="G212">
        <f>_xlfn.XLOOKUP(A212,'Team Stats'!$B$2:$B$366,'Team Stats'!$D$2:$D$366)/F212</f>
        <v>1.1177721339554663</v>
      </c>
      <c r="H212">
        <f>_xlfn.XLOOKUP(A212,'Team Stats'!$B$2:$B$366,'Team Stats'!$D$2:$D$366)</f>
        <v>75.7</v>
      </c>
    </row>
    <row r="213" spans="1:8" ht="15" customHeight="1" x14ac:dyDescent="0.25">
      <c r="A213" t="s">
        <v>284</v>
      </c>
      <c r="B213" s="146">
        <f t="array" ref="B213">_xlfn.XLOOKUP(A213,'Team Stats'!$B$2:$B$366,('Team Stats'!$E$2:$E$366+'Team Stats'!$H$2:$H$366/2)/'Team Stats'!$F$2:$F$366)*100</f>
        <v>53.602058319039458</v>
      </c>
      <c r="C213" s="146">
        <f>_xlfn.XLOOKUP(A213,'Team Stats'!$B$2:$B$366,'Team Stats'!$T$2:$T$366)/( _xlfn.XLOOKUP(A213,'Team Stats'!$B$2:$B$366,'Team Stats'!$T$2:$T$366)+_xlfn.XLOOKUP(A213,'Team Stats'!$B$2:$B$366,'Team Stats'!$F$2:$F$366)+0.44*_xlfn.XLOOKUP(A213,'Team Stats'!$B$2:$B$366,'Team Stats'!$L$2:$L$366)+_xlfn.XLOOKUP(A213,'Team Stats'!$B$2:$B$366,'Team Stats'!$Q$2:$Q$366))*100</f>
        <v>14.165184664378181</v>
      </c>
      <c r="D213" s="146">
        <f>_xlfn.XLOOKUP(A213,'Team Stats'!$B$2:$B$366,'Team Stats'!$N$2:$N$366)/(_xlfn.XLOOKUP(A213,'Team Stats'!$B$2:$B$366,'Team Stats'!$N$2:$N$366)+_xlfn.XLOOKUP(A213,'Opponents stats vs'!$B$2:$B$366,'Opponents stats vs'!$O$2:$O$366))*100</f>
        <v>27.352941176470591</v>
      </c>
      <c r="E213" s="146">
        <f>_xlfn.XLOOKUP(A213,'Team Stats'!$B$2:$B$366,'Team Stats'!$K$2:$K$366)/_xlfn.XLOOKUP(A213,'Team Stats'!$B$2:$B$366,'Team Stats'!$F$2:$F$366)*100</f>
        <v>19.039451114922816</v>
      </c>
      <c r="F213" s="146">
        <f>_xlfn.XLOOKUP(A213,'Team Stats'!$B$2:$B$366,'Team Stats'!$F$2:$F$366)+0.44*_xlfn.XLOOKUP(A213,'Team Stats'!$B$2:$B$366,'Team Stats'!$L$2:$L$366)+_xlfn.XLOOKUP(A213,'Team Stats'!$B$2:$B$366,'Team Stats'!$T$2:$T$366)-_xlfn.XLOOKUP(A213,'Team Stats'!$B$2:$B$366,'Team Stats'!$N$2:$N$366)</f>
        <v>69.915999999999997</v>
      </c>
      <c r="G213">
        <f>_xlfn.XLOOKUP(A213,'Team Stats'!$B$2:$B$366,'Team Stats'!$D$2:$D$366)/F213</f>
        <v>1.05269180159048</v>
      </c>
      <c r="H213">
        <f>_xlfn.XLOOKUP(A213,'Team Stats'!$B$2:$B$366,'Team Stats'!$D$2:$D$366)</f>
        <v>73.599999999999994</v>
      </c>
    </row>
    <row r="214" spans="1:8" ht="15" customHeight="1" x14ac:dyDescent="0.25">
      <c r="A214" t="s">
        <v>308</v>
      </c>
      <c r="B214" s="146">
        <f t="array" ref="B214">_xlfn.XLOOKUP(A214,'Team Stats'!$B$2:$B$366,('Team Stats'!$E$2:$E$366+'Team Stats'!$H$2:$H$366/2)/'Team Stats'!$F$2:$F$366)*100</f>
        <v>51.233552631578952</v>
      </c>
      <c r="C214" s="146">
        <f>_xlfn.XLOOKUP(A214,'Team Stats'!$B$2:$B$366,'Team Stats'!$T$2:$T$366)/( _xlfn.XLOOKUP(A214,'Team Stats'!$B$2:$B$366,'Team Stats'!$T$2:$T$366)+_xlfn.XLOOKUP(A214,'Team Stats'!$B$2:$B$366,'Team Stats'!$F$2:$F$366)+0.44*_xlfn.XLOOKUP(A214,'Team Stats'!$B$2:$B$366,'Team Stats'!$L$2:$L$366)+_xlfn.XLOOKUP(A214,'Team Stats'!$B$2:$B$366,'Team Stats'!$Q$2:$Q$366))*100</f>
        <v>11.720934233730482</v>
      </c>
      <c r="D214" s="146">
        <f>_xlfn.XLOOKUP(A214,'Team Stats'!$B$2:$B$366,'Team Stats'!$N$2:$N$366)/(_xlfn.XLOOKUP(A214,'Team Stats'!$B$2:$B$366,'Team Stats'!$N$2:$N$366)+_xlfn.XLOOKUP(A214,'Opponents stats vs'!$B$2:$B$366,'Opponents stats vs'!$O$2:$O$366))*100</f>
        <v>29.31506849315068</v>
      </c>
      <c r="E214" s="146">
        <f>_xlfn.XLOOKUP(A214,'Team Stats'!$B$2:$B$366,'Team Stats'!$K$2:$K$366)/_xlfn.XLOOKUP(A214,'Team Stats'!$B$2:$B$366,'Team Stats'!$F$2:$F$366)*100</f>
        <v>21.217105263157894</v>
      </c>
      <c r="F214" s="146">
        <f>_xlfn.XLOOKUP(A214,'Team Stats'!$B$2:$B$366,'Team Stats'!$F$2:$F$366)+0.44*_xlfn.XLOOKUP(A214,'Team Stats'!$B$2:$B$366,'Team Stats'!$L$2:$L$366)+_xlfn.XLOOKUP(A214,'Team Stats'!$B$2:$B$366,'Team Stats'!$T$2:$T$366)-_xlfn.XLOOKUP(A214,'Team Stats'!$B$2:$B$366,'Team Stats'!$N$2:$N$366)</f>
        <v>69.096000000000004</v>
      </c>
      <c r="G214">
        <f>_xlfn.XLOOKUP(A214,'Team Stats'!$B$2:$B$366,'Team Stats'!$D$2:$D$366)/F214</f>
        <v>1.0883408590945931</v>
      </c>
      <c r="H214">
        <f>_xlfn.XLOOKUP(A214,'Team Stats'!$B$2:$B$366,'Team Stats'!$D$2:$D$366)</f>
        <v>75.2</v>
      </c>
    </row>
    <row r="215" spans="1:8" ht="15" customHeight="1" x14ac:dyDescent="0.25">
      <c r="A215" t="s">
        <v>218</v>
      </c>
      <c r="B215" s="146">
        <f t="array" ref="B215">_xlfn.XLOOKUP(A215,'Team Stats'!$B$2:$B$366,('Team Stats'!$E$2:$E$366+'Team Stats'!$H$2:$H$366/2)/'Team Stats'!$F$2:$F$366)*100</f>
        <v>53.609154929577464</v>
      </c>
      <c r="C215" s="146">
        <f>_xlfn.XLOOKUP(A215,'Team Stats'!$B$2:$B$366,'Team Stats'!$T$2:$T$366)/( _xlfn.XLOOKUP(A215,'Team Stats'!$B$2:$B$366,'Team Stats'!$T$2:$T$366)+_xlfn.XLOOKUP(A215,'Team Stats'!$B$2:$B$366,'Team Stats'!$F$2:$F$366)+0.44*_xlfn.XLOOKUP(A215,'Team Stats'!$B$2:$B$366,'Team Stats'!$L$2:$L$366)+_xlfn.XLOOKUP(A215,'Team Stats'!$B$2:$B$366,'Team Stats'!$Q$2:$Q$366))*100</f>
        <v>11.959023421634553</v>
      </c>
      <c r="D215" s="146">
        <f>_xlfn.XLOOKUP(A215,'Team Stats'!$B$2:$B$366,'Team Stats'!$N$2:$N$366)/(_xlfn.XLOOKUP(A215,'Team Stats'!$B$2:$B$366,'Team Stats'!$N$2:$N$366)+_xlfn.XLOOKUP(A215,'Opponents stats vs'!$B$2:$B$366,'Opponents stats vs'!$O$2:$O$366))*100</f>
        <v>28.526645768025077</v>
      </c>
      <c r="E215" s="146">
        <f>_xlfn.XLOOKUP(A215,'Team Stats'!$B$2:$B$366,'Team Stats'!$K$2:$K$366)/_xlfn.XLOOKUP(A215,'Team Stats'!$B$2:$B$366,'Team Stats'!$F$2:$F$366)*100</f>
        <v>22.887323943661972</v>
      </c>
      <c r="F215" s="146">
        <f>_xlfn.XLOOKUP(A215,'Team Stats'!$B$2:$B$366,'Team Stats'!$F$2:$F$366)+0.44*_xlfn.XLOOKUP(A215,'Team Stats'!$B$2:$B$366,'Team Stats'!$L$2:$L$366)+_xlfn.XLOOKUP(A215,'Team Stats'!$B$2:$B$366,'Team Stats'!$T$2:$T$366)-_xlfn.XLOOKUP(A215,'Team Stats'!$B$2:$B$366,'Team Stats'!$N$2:$N$366)</f>
        <v>65.73599999999999</v>
      </c>
      <c r="G215">
        <f>_xlfn.XLOOKUP(A215,'Team Stats'!$B$2:$B$366,'Team Stats'!$D$2:$D$366)/F215</f>
        <v>1.1226725082146771</v>
      </c>
      <c r="H215">
        <f>_xlfn.XLOOKUP(A215,'Team Stats'!$B$2:$B$366,'Team Stats'!$D$2:$D$366)</f>
        <v>73.8</v>
      </c>
    </row>
    <row r="216" spans="1:8" ht="15" customHeight="1" x14ac:dyDescent="0.25">
      <c r="A216" t="s">
        <v>441</v>
      </c>
      <c r="B216" s="146">
        <f t="array" ref="B216">_xlfn.XLOOKUP(A216,'Team Stats'!$B$2:$B$366,('Team Stats'!$E$2:$E$366+'Team Stats'!$H$2:$H$366/2)/'Team Stats'!$F$2:$F$366)*100</f>
        <v>50.509337860780988</v>
      </c>
      <c r="C216" s="146">
        <f>_xlfn.XLOOKUP(A216,'Team Stats'!$B$2:$B$366,'Team Stats'!$T$2:$T$366)/( _xlfn.XLOOKUP(A216,'Team Stats'!$B$2:$B$366,'Team Stats'!$T$2:$T$366)+_xlfn.XLOOKUP(A216,'Team Stats'!$B$2:$B$366,'Team Stats'!$F$2:$F$366)+0.44*_xlfn.XLOOKUP(A216,'Team Stats'!$B$2:$B$366,'Team Stats'!$L$2:$L$366)+_xlfn.XLOOKUP(A216,'Team Stats'!$B$2:$B$366,'Team Stats'!$Q$2:$Q$366))*100</f>
        <v>12.919625225830847</v>
      </c>
      <c r="D216" s="146">
        <f>_xlfn.XLOOKUP(A216,'Team Stats'!$B$2:$B$366,'Team Stats'!$N$2:$N$366)/(_xlfn.XLOOKUP(A216,'Team Stats'!$B$2:$B$366,'Team Stats'!$N$2:$N$366)+_xlfn.XLOOKUP(A216,'Opponents stats vs'!$B$2:$B$366,'Opponents stats vs'!$O$2:$O$366))*100</f>
        <v>37.142857142857146</v>
      </c>
      <c r="E216" s="146">
        <f>_xlfn.XLOOKUP(A216,'Team Stats'!$B$2:$B$366,'Team Stats'!$K$2:$K$366)/_xlfn.XLOOKUP(A216,'Team Stats'!$B$2:$B$366,'Team Stats'!$F$2:$F$366)*100</f>
        <v>26.825127334465197</v>
      </c>
      <c r="F216" s="146">
        <f>_xlfn.XLOOKUP(A216,'Team Stats'!$B$2:$B$366,'Team Stats'!$F$2:$F$366)+0.44*_xlfn.XLOOKUP(A216,'Team Stats'!$B$2:$B$366,'Team Stats'!$L$2:$L$366)+_xlfn.XLOOKUP(A216,'Team Stats'!$B$2:$B$366,'Team Stats'!$T$2:$T$366)-_xlfn.XLOOKUP(A216,'Team Stats'!$B$2:$B$366,'Team Stats'!$N$2:$N$366)</f>
        <v>67.703999999999994</v>
      </c>
      <c r="G216">
        <f>_xlfn.XLOOKUP(A216,'Team Stats'!$B$2:$B$366,'Team Stats'!$D$2:$D$366)/F216</f>
        <v>1.1121942573555477</v>
      </c>
      <c r="H216">
        <f>_xlfn.XLOOKUP(A216,'Team Stats'!$B$2:$B$366,'Team Stats'!$D$2:$D$366)</f>
        <v>75.3</v>
      </c>
    </row>
    <row r="217" spans="1:8" ht="15" customHeight="1" x14ac:dyDescent="0.25">
      <c r="A217" t="s">
        <v>188</v>
      </c>
      <c r="B217" s="146">
        <f t="array" ref="B217">_xlfn.XLOOKUP(A217,'Team Stats'!$B$2:$B$366,('Team Stats'!$E$2:$E$366+'Team Stats'!$H$2:$H$366/2)/'Team Stats'!$F$2:$F$366)*100</f>
        <v>52.470187393526402</v>
      </c>
      <c r="C217" s="146">
        <f>_xlfn.XLOOKUP(A217,'Team Stats'!$B$2:$B$366,'Team Stats'!$T$2:$T$366)/( _xlfn.XLOOKUP(A217,'Team Stats'!$B$2:$B$366,'Team Stats'!$T$2:$T$366)+_xlfn.XLOOKUP(A217,'Team Stats'!$B$2:$B$366,'Team Stats'!$F$2:$F$366)+0.44*_xlfn.XLOOKUP(A217,'Team Stats'!$B$2:$B$366,'Team Stats'!$L$2:$L$366)+_xlfn.XLOOKUP(A217,'Team Stats'!$B$2:$B$366,'Team Stats'!$Q$2:$Q$366))*100</f>
        <v>11.74281029822307</v>
      </c>
      <c r="D217" s="146">
        <f>_xlfn.XLOOKUP(A217,'Team Stats'!$B$2:$B$366,'Team Stats'!$N$2:$N$366)/(_xlfn.XLOOKUP(A217,'Team Stats'!$B$2:$B$366,'Team Stats'!$N$2:$N$366)+_xlfn.XLOOKUP(A217,'Opponents stats vs'!$B$2:$B$366,'Opponents stats vs'!$O$2:$O$366))*100</f>
        <v>28.362573099415201</v>
      </c>
      <c r="E217" s="146">
        <f>_xlfn.XLOOKUP(A217,'Team Stats'!$B$2:$B$366,'Team Stats'!$K$2:$K$366)/_xlfn.XLOOKUP(A217,'Team Stats'!$B$2:$B$366,'Team Stats'!$F$2:$F$366)*100</f>
        <v>21.976149914821125</v>
      </c>
      <c r="F217" s="146">
        <f>_xlfn.XLOOKUP(A217,'Team Stats'!$B$2:$B$366,'Team Stats'!$F$2:$F$366)+0.44*_xlfn.XLOOKUP(A217,'Team Stats'!$B$2:$B$366,'Team Stats'!$L$2:$L$366)+_xlfn.XLOOKUP(A217,'Team Stats'!$B$2:$B$366,'Team Stats'!$T$2:$T$366)-_xlfn.XLOOKUP(A217,'Team Stats'!$B$2:$B$366,'Team Stats'!$N$2:$N$366)</f>
        <v>67.167999999999992</v>
      </c>
      <c r="G217">
        <f>_xlfn.XLOOKUP(A217,'Team Stats'!$B$2:$B$366,'Team Stats'!$D$2:$D$366)/F217</f>
        <v>1.1106479275845642</v>
      </c>
      <c r="H217">
        <f>_xlfn.XLOOKUP(A217,'Team Stats'!$B$2:$B$366,'Team Stats'!$D$2:$D$366)</f>
        <v>74.599999999999994</v>
      </c>
    </row>
    <row r="218" spans="1:8" ht="15" customHeight="1" x14ac:dyDescent="0.25">
      <c r="A218" t="s">
        <v>400</v>
      </c>
      <c r="B218" s="146">
        <f t="array" ref="B218">_xlfn.XLOOKUP(A218,'Team Stats'!$B$2:$B$366,('Team Stats'!$E$2:$E$366+'Team Stats'!$H$2:$H$366/2)/'Team Stats'!$F$2:$F$366)*100</f>
        <v>51.681415929203531</v>
      </c>
      <c r="C218" s="146">
        <f>_xlfn.XLOOKUP(A218,'Team Stats'!$B$2:$B$366,'Team Stats'!$T$2:$T$366)/( _xlfn.XLOOKUP(A218,'Team Stats'!$B$2:$B$366,'Team Stats'!$T$2:$T$366)+_xlfn.XLOOKUP(A218,'Team Stats'!$B$2:$B$366,'Team Stats'!$F$2:$F$366)+0.44*_xlfn.XLOOKUP(A218,'Team Stats'!$B$2:$B$366,'Team Stats'!$L$2:$L$366)+_xlfn.XLOOKUP(A218,'Team Stats'!$B$2:$B$366,'Team Stats'!$Q$2:$Q$366))*100</f>
        <v>12.169451387975268</v>
      </c>
      <c r="D218" s="146">
        <f>_xlfn.XLOOKUP(A218,'Team Stats'!$B$2:$B$366,'Team Stats'!$N$2:$N$366)/(_xlfn.XLOOKUP(A218,'Team Stats'!$B$2:$B$366,'Team Stats'!$N$2:$N$366)+_xlfn.XLOOKUP(A218,'Opponents stats vs'!$B$2:$B$366,'Opponents stats vs'!$O$2:$O$366))*100</f>
        <v>30.994152046783626</v>
      </c>
      <c r="E218" s="146">
        <f>_xlfn.XLOOKUP(A218,'Team Stats'!$B$2:$B$366,'Team Stats'!$K$2:$K$366)/_xlfn.XLOOKUP(A218,'Team Stats'!$B$2:$B$366,'Team Stats'!$F$2:$F$366)*100</f>
        <v>28.141592920353979</v>
      </c>
      <c r="F218" s="146">
        <f>_xlfn.XLOOKUP(A218,'Team Stats'!$B$2:$B$366,'Team Stats'!$F$2:$F$366)+0.44*_xlfn.XLOOKUP(A218,'Team Stats'!$B$2:$B$366,'Team Stats'!$L$2:$L$366)+_xlfn.XLOOKUP(A218,'Team Stats'!$B$2:$B$366,'Team Stats'!$T$2:$T$366)-_xlfn.XLOOKUP(A218,'Team Stats'!$B$2:$B$366,'Team Stats'!$N$2:$N$366)</f>
        <v>66.811999999999998</v>
      </c>
      <c r="G218">
        <f>_xlfn.XLOOKUP(A218,'Team Stats'!$B$2:$B$366,'Team Stats'!$D$2:$D$366)/F218</f>
        <v>1.1135724121415316</v>
      </c>
      <c r="H218">
        <f>_xlfn.XLOOKUP(A218,'Team Stats'!$B$2:$B$366,'Team Stats'!$D$2:$D$366)</f>
        <v>74.400000000000006</v>
      </c>
    </row>
    <row r="219" spans="1:8" ht="15" customHeight="1" x14ac:dyDescent="0.25">
      <c r="A219" t="s">
        <v>273</v>
      </c>
      <c r="B219" s="146">
        <f t="array" ref="B219">_xlfn.XLOOKUP(A219,'Team Stats'!$B$2:$B$366,('Team Stats'!$E$2:$E$366+'Team Stats'!$H$2:$H$366/2)/'Team Stats'!$F$2:$F$366)*100</f>
        <v>55.428571428571431</v>
      </c>
      <c r="C219" s="146">
        <f>_xlfn.XLOOKUP(A219,'Team Stats'!$B$2:$B$366,'Team Stats'!$T$2:$T$366)/( _xlfn.XLOOKUP(A219,'Team Stats'!$B$2:$B$366,'Team Stats'!$T$2:$T$366)+_xlfn.XLOOKUP(A219,'Team Stats'!$B$2:$B$366,'Team Stats'!$F$2:$F$366)+0.44*_xlfn.XLOOKUP(A219,'Team Stats'!$B$2:$B$366,'Team Stats'!$L$2:$L$366)+_xlfn.XLOOKUP(A219,'Team Stats'!$B$2:$B$366,'Team Stats'!$Q$2:$Q$366))*100</f>
        <v>12.147716229348884</v>
      </c>
      <c r="D219" s="146">
        <f>_xlfn.XLOOKUP(A219,'Team Stats'!$B$2:$B$366,'Team Stats'!$N$2:$N$366)/(_xlfn.XLOOKUP(A219,'Team Stats'!$B$2:$B$366,'Team Stats'!$N$2:$N$366)+_xlfn.XLOOKUP(A219,'Opponents stats vs'!$B$2:$B$366,'Opponents stats vs'!$O$2:$O$366))*100</f>
        <v>26.013513513513516</v>
      </c>
      <c r="E219" s="146">
        <f>_xlfn.XLOOKUP(A219,'Team Stats'!$B$2:$B$366,'Team Stats'!$K$2:$K$366)/_xlfn.XLOOKUP(A219,'Team Stats'!$B$2:$B$366,'Team Stats'!$F$2:$F$366)*100</f>
        <v>31.80952380952381</v>
      </c>
      <c r="F219" s="146">
        <f>_xlfn.XLOOKUP(A219,'Team Stats'!$B$2:$B$366,'Team Stats'!$F$2:$F$366)+0.44*_xlfn.XLOOKUP(A219,'Team Stats'!$B$2:$B$366,'Team Stats'!$L$2:$L$366)+_xlfn.XLOOKUP(A219,'Team Stats'!$B$2:$B$366,'Team Stats'!$T$2:$T$366)-_xlfn.XLOOKUP(A219,'Team Stats'!$B$2:$B$366,'Team Stats'!$N$2:$N$366)</f>
        <v>64.935999999999993</v>
      </c>
      <c r="G219">
        <f>_xlfn.XLOOKUP(A219,'Team Stats'!$B$2:$B$366,'Team Stats'!$D$2:$D$366)/F219</f>
        <v>1.1519034125908587</v>
      </c>
      <c r="H219">
        <f>_xlfn.XLOOKUP(A219,'Team Stats'!$B$2:$B$366,'Team Stats'!$D$2:$D$366)</f>
        <v>74.8</v>
      </c>
    </row>
    <row r="220" spans="1:8" ht="15" customHeight="1" x14ac:dyDescent="0.25">
      <c r="A220" t="s">
        <v>332</v>
      </c>
      <c r="B220" s="146">
        <f t="array" ref="B220">_xlfn.XLOOKUP(A220,'Team Stats'!$B$2:$B$366,('Team Stats'!$E$2:$E$366+'Team Stats'!$H$2:$H$366/2)/'Team Stats'!$F$2:$F$366)*100</f>
        <v>48.811544991511035</v>
      </c>
      <c r="C220" s="146">
        <f>_xlfn.XLOOKUP(A220,'Team Stats'!$B$2:$B$366,'Team Stats'!$T$2:$T$366)/( _xlfn.XLOOKUP(A220,'Team Stats'!$B$2:$B$366,'Team Stats'!$T$2:$T$366)+_xlfn.XLOOKUP(A220,'Team Stats'!$B$2:$B$366,'Team Stats'!$F$2:$F$366)+0.44*_xlfn.XLOOKUP(A220,'Team Stats'!$B$2:$B$366,'Team Stats'!$L$2:$L$366)+_xlfn.XLOOKUP(A220,'Team Stats'!$B$2:$B$366,'Team Stats'!$Q$2:$Q$366))*100</f>
        <v>13.285630596702653</v>
      </c>
      <c r="D220" s="146">
        <f>_xlfn.XLOOKUP(A220,'Team Stats'!$B$2:$B$366,'Team Stats'!$N$2:$N$366)/(_xlfn.XLOOKUP(A220,'Team Stats'!$B$2:$B$366,'Team Stats'!$N$2:$N$366)+_xlfn.XLOOKUP(A220,'Opponents stats vs'!$B$2:$B$366,'Opponents stats vs'!$O$2:$O$366))*100</f>
        <v>31.404958677685951</v>
      </c>
      <c r="E220" s="146">
        <f>_xlfn.XLOOKUP(A220,'Team Stats'!$B$2:$B$366,'Team Stats'!$K$2:$K$366)/_xlfn.XLOOKUP(A220,'Team Stats'!$B$2:$B$366,'Team Stats'!$F$2:$F$366)*100</f>
        <v>30.560271646859082</v>
      </c>
      <c r="F220" s="146">
        <f>_xlfn.XLOOKUP(A220,'Team Stats'!$B$2:$B$366,'Team Stats'!$F$2:$F$366)+0.44*_xlfn.XLOOKUP(A220,'Team Stats'!$B$2:$B$366,'Team Stats'!$L$2:$L$366)+_xlfn.XLOOKUP(A220,'Team Stats'!$B$2:$B$366,'Team Stats'!$T$2:$T$366)-_xlfn.XLOOKUP(A220,'Team Stats'!$B$2:$B$366,'Team Stats'!$N$2:$N$366)</f>
        <v>70.891999999999996</v>
      </c>
      <c r="G220">
        <f>_xlfn.XLOOKUP(A220,'Team Stats'!$B$2:$B$366,'Team Stats'!$D$2:$D$366)/F220</f>
        <v>1.0635896857191223</v>
      </c>
      <c r="H220">
        <f>_xlfn.XLOOKUP(A220,'Team Stats'!$B$2:$B$366,'Team Stats'!$D$2:$D$366)</f>
        <v>75.400000000000006</v>
      </c>
    </row>
    <row r="221" spans="1:8" ht="15" customHeight="1" x14ac:dyDescent="0.25">
      <c r="A221" t="s">
        <v>470</v>
      </c>
      <c r="B221" s="146">
        <f t="array" ref="B221">_xlfn.XLOOKUP(A221,'Team Stats'!$B$2:$B$366,('Team Stats'!$E$2:$E$366+'Team Stats'!$H$2:$H$366/2)/'Team Stats'!$F$2:$F$366)*100</f>
        <v>50.251256281407031</v>
      </c>
      <c r="C221" s="146">
        <f>_xlfn.XLOOKUP(A221,'Team Stats'!$B$2:$B$366,'Team Stats'!$T$2:$T$366)/( _xlfn.XLOOKUP(A221,'Team Stats'!$B$2:$B$366,'Team Stats'!$T$2:$T$366)+_xlfn.XLOOKUP(A221,'Team Stats'!$B$2:$B$366,'Team Stats'!$F$2:$F$366)+0.44*_xlfn.XLOOKUP(A221,'Team Stats'!$B$2:$B$366,'Team Stats'!$L$2:$L$366)+_xlfn.XLOOKUP(A221,'Team Stats'!$B$2:$B$366,'Team Stats'!$Q$2:$Q$366))*100</f>
        <v>13.082268165051042</v>
      </c>
      <c r="D221" s="146">
        <f>_xlfn.XLOOKUP(A221,'Team Stats'!$B$2:$B$366,'Team Stats'!$N$2:$N$366)/(_xlfn.XLOOKUP(A221,'Team Stats'!$B$2:$B$366,'Team Stats'!$N$2:$N$366)+_xlfn.XLOOKUP(A221,'Opponents stats vs'!$B$2:$B$366,'Opponents stats vs'!$O$2:$O$366))*100</f>
        <v>31.073446327683619</v>
      </c>
      <c r="E221" s="146">
        <f>_xlfn.XLOOKUP(A221,'Team Stats'!$B$2:$B$366,'Team Stats'!$K$2:$K$366)/_xlfn.XLOOKUP(A221,'Team Stats'!$B$2:$B$366,'Team Stats'!$F$2:$F$366)*100</f>
        <v>24.790619765494139</v>
      </c>
      <c r="F221" s="146">
        <f>_xlfn.XLOOKUP(A221,'Team Stats'!$B$2:$B$366,'Team Stats'!$F$2:$F$366)+0.44*_xlfn.XLOOKUP(A221,'Team Stats'!$B$2:$B$366,'Team Stats'!$L$2:$L$366)+_xlfn.XLOOKUP(A221,'Team Stats'!$B$2:$B$366,'Team Stats'!$T$2:$T$366)-_xlfn.XLOOKUP(A221,'Team Stats'!$B$2:$B$366,'Team Stats'!$N$2:$N$366)</f>
        <v>69.656000000000006</v>
      </c>
      <c r="G221">
        <f>_xlfn.XLOOKUP(A221,'Team Stats'!$B$2:$B$366,'Team Stats'!$D$2:$D$366)/F221</f>
        <v>1.072413001033651</v>
      </c>
      <c r="H221">
        <f>_xlfn.XLOOKUP(A221,'Team Stats'!$B$2:$B$366,'Team Stats'!$D$2:$D$366)</f>
        <v>74.7</v>
      </c>
    </row>
    <row r="222" spans="1:8" ht="15" customHeight="1" x14ac:dyDescent="0.25">
      <c r="A222" t="s">
        <v>68</v>
      </c>
      <c r="B222" s="146">
        <f t="array" ref="B222">_xlfn.XLOOKUP(A222,'Team Stats'!$B$2:$B$366,('Team Stats'!$E$2:$E$366+'Team Stats'!$H$2:$H$366/2)/'Team Stats'!$F$2:$F$366)*100</f>
        <v>53.041144901610025</v>
      </c>
      <c r="C222" s="146">
        <f>_xlfn.XLOOKUP(A222,'Team Stats'!$B$2:$B$366,'Team Stats'!$T$2:$T$366)/( _xlfn.XLOOKUP(A222,'Team Stats'!$B$2:$B$366,'Team Stats'!$T$2:$T$366)+_xlfn.XLOOKUP(A222,'Team Stats'!$B$2:$B$366,'Team Stats'!$F$2:$F$366)+0.44*_xlfn.XLOOKUP(A222,'Team Stats'!$B$2:$B$366,'Team Stats'!$L$2:$L$366)+_xlfn.XLOOKUP(A222,'Team Stats'!$B$2:$B$366,'Team Stats'!$Q$2:$Q$366))*100</f>
        <v>11.173439138961097</v>
      </c>
      <c r="D222" s="146">
        <f>_xlfn.XLOOKUP(A222,'Team Stats'!$B$2:$B$366,'Team Stats'!$N$2:$N$366)/(_xlfn.XLOOKUP(A222,'Team Stats'!$B$2:$B$366,'Team Stats'!$N$2:$N$366)+_xlfn.XLOOKUP(A222,'Opponents stats vs'!$B$2:$B$366,'Opponents stats vs'!$O$2:$O$366))*100</f>
        <v>28.307692307692307</v>
      </c>
      <c r="E222" s="146">
        <f>_xlfn.XLOOKUP(A222,'Team Stats'!$B$2:$B$366,'Team Stats'!$K$2:$K$366)/_xlfn.XLOOKUP(A222,'Team Stats'!$B$2:$B$366,'Team Stats'!$F$2:$F$366)*100</f>
        <v>26.833631484794275</v>
      </c>
      <c r="F222" s="146">
        <f>_xlfn.XLOOKUP(A222,'Team Stats'!$B$2:$B$366,'Team Stats'!$F$2:$F$366)+0.44*_xlfn.XLOOKUP(A222,'Team Stats'!$B$2:$B$366,'Team Stats'!$L$2:$L$366)+_xlfn.XLOOKUP(A222,'Team Stats'!$B$2:$B$366,'Team Stats'!$T$2:$T$366)-_xlfn.XLOOKUP(A222,'Team Stats'!$B$2:$B$366,'Team Stats'!$N$2:$N$366)</f>
        <v>65.60799999999999</v>
      </c>
      <c r="G222">
        <f>_xlfn.XLOOKUP(A222,'Team Stats'!$B$2:$B$366,'Team Stats'!$D$2:$D$366)/F222</f>
        <v>1.1324838434337277</v>
      </c>
      <c r="H222">
        <f>_xlfn.XLOOKUP(A222,'Team Stats'!$B$2:$B$366,'Team Stats'!$D$2:$D$366)</f>
        <v>74.3</v>
      </c>
    </row>
    <row r="223" spans="1:8" ht="15" customHeight="1" x14ac:dyDescent="0.25">
      <c r="A223" t="s">
        <v>319</v>
      </c>
      <c r="B223" s="146">
        <f t="array" ref="B223">_xlfn.XLOOKUP(A223,'Team Stats'!$B$2:$B$366,('Team Stats'!$E$2:$E$366+'Team Stats'!$H$2:$H$366/2)/'Team Stats'!$F$2:$F$366)*100</f>
        <v>48.697068403908801</v>
      </c>
      <c r="C223" s="146">
        <f>_xlfn.XLOOKUP(A223,'Team Stats'!$B$2:$B$366,'Team Stats'!$T$2:$T$366)/( _xlfn.XLOOKUP(A223,'Team Stats'!$B$2:$B$366,'Team Stats'!$T$2:$T$366)+_xlfn.XLOOKUP(A223,'Team Stats'!$B$2:$B$366,'Team Stats'!$F$2:$F$366)+0.44*_xlfn.XLOOKUP(A223,'Team Stats'!$B$2:$B$366,'Team Stats'!$L$2:$L$366)+_xlfn.XLOOKUP(A223,'Team Stats'!$B$2:$B$366,'Team Stats'!$Q$2:$Q$366))*100</f>
        <v>14.042064695994425</v>
      </c>
      <c r="D223" s="146">
        <f>_xlfn.XLOOKUP(A223,'Team Stats'!$B$2:$B$366,'Team Stats'!$N$2:$N$366)/(_xlfn.XLOOKUP(A223,'Team Stats'!$B$2:$B$366,'Team Stats'!$N$2:$N$366)+_xlfn.XLOOKUP(A223,'Opponents stats vs'!$B$2:$B$366,'Opponents stats vs'!$O$2:$O$366))*100</f>
        <v>34.864864864864863</v>
      </c>
      <c r="E223" s="146">
        <f>_xlfn.XLOOKUP(A223,'Team Stats'!$B$2:$B$366,'Team Stats'!$K$2:$K$366)/_xlfn.XLOOKUP(A223,'Team Stats'!$B$2:$B$366,'Team Stats'!$F$2:$F$366)*100</f>
        <v>24.267100977198698</v>
      </c>
      <c r="F223" s="146">
        <f>_xlfn.XLOOKUP(A223,'Team Stats'!$B$2:$B$366,'Team Stats'!$F$2:$F$366)+0.44*_xlfn.XLOOKUP(A223,'Team Stats'!$B$2:$B$366,'Team Stats'!$L$2:$L$366)+_xlfn.XLOOKUP(A223,'Team Stats'!$B$2:$B$366,'Team Stats'!$T$2:$T$366)-_xlfn.XLOOKUP(A223,'Team Stats'!$B$2:$B$366,'Team Stats'!$N$2:$N$366)</f>
        <v>71.263999999999996</v>
      </c>
      <c r="G223">
        <f>_xlfn.XLOOKUP(A223,'Team Stats'!$B$2:$B$366,'Team Stats'!$D$2:$D$366)/F223</f>
        <v>1.0482150875617424</v>
      </c>
      <c r="H223">
        <f>_xlfn.XLOOKUP(A223,'Team Stats'!$B$2:$B$366,'Team Stats'!$D$2:$D$366)</f>
        <v>74.7</v>
      </c>
    </row>
    <row r="224" spans="1:8" ht="15" customHeight="1" x14ac:dyDescent="0.25">
      <c r="A224" t="s">
        <v>363</v>
      </c>
      <c r="B224" s="146">
        <f t="array" ref="B224">_xlfn.XLOOKUP(A224,'Team Stats'!$B$2:$B$366,('Team Stats'!$E$2:$E$366+'Team Stats'!$H$2:$H$366/2)/'Team Stats'!$F$2:$F$366)*100</f>
        <v>50.834724540901512</v>
      </c>
      <c r="C224" s="146">
        <f>_xlfn.XLOOKUP(A224,'Team Stats'!$B$2:$B$366,'Team Stats'!$T$2:$T$366)/( _xlfn.XLOOKUP(A224,'Team Stats'!$B$2:$B$366,'Team Stats'!$T$2:$T$366)+_xlfn.XLOOKUP(A224,'Team Stats'!$B$2:$B$366,'Team Stats'!$F$2:$F$366)+0.44*_xlfn.XLOOKUP(A224,'Team Stats'!$B$2:$B$366,'Team Stats'!$L$2:$L$366)+_xlfn.XLOOKUP(A224,'Team Stats'!$B$2:$B$366,'Team Stats'!$Q$2:$Q$366))*100</f>
        <v>11.713880410953017</v>
      </c>
      <c r="D224" s="146">
        <f>_xlfn.XLOOKUP(A224,'Team Stats'!$B$2:$B$366,'Team Stats'!$N$2:$N$366)/(_xlfn.XLOOKUP(A224,'Team Stats'!$B$2:$B$366,'Team Stats'!$N$2:$N$366)+_xlfn.XLOOKUP(A224,'Opponents stats vs'!$B$2:$B$366,'Opponents stats vs'!$O$2:$O$366))*100</f>
        <v>26.462395543175489</v>
      </c>
      <c r="E224" s="146">
        <f>_xlfn.XLOOKUP(A224,'Team Stats'!$B$2:$B$366,'Team Stats'!$K$2:$K$366)/_xlfn.XLOOKUP(A224,'Team Stats'!$B$2:$B$366,'Team Stats'!$F$2:$F$366)*100</f>
        <v>25.542570951585979</v>
      </c>
      <c r="F224" s="146">
        <f>_xlfn.XLOOKUP(A224,'Team Stats'!$B$2:$B$366,'Team Stats'!$F$2:$F$366)+0.44*_xlfn.XLOOKUP(A224,'Team Stats'!$B$2:$B$366,'Team Stats'!$L$2:$L$366)+_xlfn.XLOOKUP(A224,'Team Stats'!$B$2:$B$366,'Team Stats'!$T$2:$T$366)-_xlfn.XLOOKUP(A224,'Team Stats'!$B$2:$B$366,'Team Stats'!$N$2:$N$366)</f>
        <v>70.451999999999998</v>
      </c>
      <c r="G224">
        <f>_xlfn.XLOOKUP(A224,'Team Stats'!$B$2:$B$366,'Team Stats'!$D$2:$D$366)/F224</f>
        <v>1.0815874638051439</v>
      </c>
      <c r="H224">
        <f>_xlfn.XLOOKUP(A224,'Team Stats'!$B$2:$B$366,'Team Stats'!$D$2:$D$366)</f>
        <v>76.2</v>
      </c>
    </row>
    <row r="225" spans="1:8" ht="15" customHeight="1" x14ac:dyDescent="0.25">
      <c r="A225" t="s">
        <v>66</v>
      </c>
      <c r="B225" s="146">
        <f t="array" ref="B225">_xlfn.XLOOKUP(A225,'Team Stats'!$B$2:$B$366,('Team Stats'!$E$2:$E$366+'Team Stats'!$H$2:$H$366/2)/'Team Stats'!$F$2:$F$366)*100</f>
        <v>51.657940663176262</v>
      </c>
      <c r="C225" s="146">
        <f>_xlfn.XLOOKUP(A225,'Team Stats'!$B$2:$B$366,'Team Stats'!$T$2:$T$366)/( _xlfn.XLOOKUP(A225,'Team Stats'!$B$2:$B$366,'Team Stats'!$T$2:$T$366)+_xlfn.XLOOKUP(A225,'Team Stats'!$B$2:$B$366,'Team Stats'!$F$2:$F$366)+0.44*_xlfn.XLOOKUP(A225,'Team Stats'!$B$2:$B$366,'Team Stats'!$L$2:$L$366)+_xlfn.XLOOKUP(A225,'Team Stats'!$B$2:$B$366,'Team Stats'!$Q$2:$Q$366))*100</f>
        <v>14.581235313863713</v>
      </c>
      <c r="D225" s="146">
        <f>_xlfn.XLOOKUP(A225,'Team Stats'!$B$2:$B$366,'Team Stats'!$N$2:$N$366)/(_xlfn.XLOOKUP(A225,'Team Stats'!$B$2:$B$366,'Team Stats'!$N$2:$N$366)+_xlfn.XLOOKUP(A225,'Opponents stats vs'!$B$2:$B$366,'Opponents stats vs'!$O$2:$O$366))*100</f>
        <v>30.409356725146196</v>
      </c>
      <c r="E225" s="146">
        <f>_xlfn.XLOOKUP(A225,'Team Stats'!$B$2:$B$366,'Team Stats'!$K$2:$K$366)/_xlfn.XLOOKUP(A225,'Team Stats'!$B$2:$B$366,'Team Stats'!$F$2:$F$366)*100</f>
        <v>28.62129144851658</v>
      </c>
      <c r="F225" s="146">
        <f>_xlfn.XLOOKUP(A225,'Team Stats'!$B$2:$B$366,'Team Stats'!$F$2:$F$366)+0.44*_xlfn.XLOOKUP(A225,'Team Stats'!$B$2:$B$366,'Team Stats'!$L$2:$L$366)+_xlfn.XLOOKUP(A225,'Team Stats'!$B$2:$B$366,'Team Stats'!$T$2:$T$366)-_xlfn.XLOOKUP(A225,'Team Stats'!$B$2:$B$366,'Team Stats'!$N$2:$N$366)</f>
        <v>71.227999999999994</v>
      </c>
      <c r="G225">
        <f>_xlfn.XLOOKUP(A225,'Team Stats'!$B$2:$B$366,'Team Stats'!$D$2:$D$366)/F225</f>
        <v>1.0613803560397597</v>
      </c>
      <c r="H225">
        <f>_xlfn.XLOOKUP(A225,'Team Stats'!$B$2:$B$366,'Team Stats'!$D$2:$D$366)</f>
        <v>75.599999999999994</v>
      </c>
    </row>
    <row r="226" spans="1:8" ht="15" customHeight="1" x14ac:dyDescent="0.25">
      <c r="A226" t="s">
        <v>384</v>
      </c>
      <c r="B226" s="146">
        <f t="array" ref="B226">_xlfn.XLOOKUP(A226,'Team Stats'!$B$2:$B$366,('Team Stats'!$E$2:$E$366+'Team Stats'!$H$2:$H$366/2)/'Team Stats'!$F$2:$F$366)*100</f>
        <v>49.832495812395308</v>
      </c>
      <c r="C226" s="146">
        <f>_xlfn.XLOOKUP(A226,'Team Stats'!$B$2:$B$366,'Team Stats'!$T$2:$T$366)/( _xlfn.XLOOKUP(A226,'Team Stats'!$B$2:$B$366,'Team Stats'!$T$2:$T$366)+_xlfn.XLOOKUP(A226,'Team Stats'!$B$2:$B$366,'Team Stats'!$F$2:$F$366)+0.44*_xlfn.XLOOKUP(A226,'Team Stats'!$B$2:$B$366,'Team Stats'!$L$2:$L$366)+_xlfn.XLOOKUP(A226,'Team Stats'!$B$2:$B$366,'Team Stats'!$Q$2:$Q$366))*100</f>
        <v>13.275094210346008</v>
      </c>
      <c r="D226" s="146">
        <f>_xlfn.XLOOKUP(A226,'Team Stats'!$B$2:$B$366,'Team Stats'!$N$2:$N$366)/(_xlfn.XLOOKUP(A226,'Team Stats'!$B$2:$B$366,'Team Stats'!$N$2:$N$366)+_xlfn.XLOOKUP(A226,'Opponents stats vs'!$B$2:$B$366,'Opponents stats vs'!$O$2:$O$366))*100</f>
        <v>35.863874345549732</v>
      </c>
      <c r="E226" s="146">
        <f>_xlfn.XLOOKUP(A226,'Team Stats'!$B$2:$B$366,'Team Stats'!$K$2:$K$366)/_xlfn.XLOOKUP(A226,'Team Stats'!$B$2:$B$366,'Team Stats'!$F$2:$F$366)*100</f>
        <v>23.785594639865995</v>
      </c>
      <c r="F226" s="146">
        <f>_xlfn.XLOOKUP(A226,'Team Stats'!$B$2:$B$366,'Team Stats'!$F$2:$F$366)+0.44*_xlfn.XLOOKUP(A226,'Team Stats'!$B$2:$B$366,'Team Stats'!$L$2:$L$366)+_xlfn.XLOOKUP(A226,'Team Stats'!$B$2:$B$366,'Team Stats'!$T$2:$T$366)-_xlfn.XLOOKUP(A226,'Team Stats'!$B$2:$B$366,'Team Stats'!$N$2:$N$366)</f>
        <v>67.50800000000001</v>
      </c>
      <c r="G226">
        <f>_xlfn.XLOOKUP(A226,'Team Stats'!$B$2:$B$366,'Team Stats'!$D$2:$D$366)/F226</f>
        <v>1.0917224625229602</v>
      </c>
      <c r="H226">
        <f>_xlfn.XLOOKUP(A226,'Team Stats'!$B$2:$B$366,'Team Stats'!$D$2:$D$366)</f>
        <v>73.7</v>
      </c>
    </row>
    <row r="227" spans="1:8" ht="15" customHeight="1" x14ac:dyDescent="0.25">
      <c r="A227" t="s">
        <v>425</v>
      </c>
      <c r="B227" s="146">
        <f t="array" ref="B227">_xlfn.XLOOKUP(A227,'Team Stats'!$B$2:$B$366,('Team Stats'!$E$2:$E$366+'Team Stats'!$H$2:$H$366/2)/'Team Stats'!$F$2:$F$366)*100</f>
        <v>51.075268817204304</v>
      </c>
      <c r="C227" s="146">
        <f>_xlfn.XLOOKUP(A227,'Team Stats'!$B$2:$B$366,'Team Stats'!$T$2:$T$366)/( _xlfn.XLOOKUP(A227,'Team Stats'!$B$2:$B$366,'Team Stats'!$T$2:$T$366)+_xlfn.XLOOKUP(A227,'Team Stats'!$B$2:$B$366,'Team Stats'!$F$2:$F$366)+0.44*_xlfn.XLOOKUP(A227,'Team Stats'!$B$2:$B$366,'Team Stats'!$L$2:$L$366)+_xlfn.XLOOKUP(A227,'Team Stats'!$B$2:$B$366,'Team Stats'!$Q$2:$Q$366))*100</f>
        <v>10.267877515629992</v>
      </c>
      <c r="D227" s="146">
        <f>_xlfn.XLOOKUP(A227,'Team Stats'!$B$2:$B$366,'Team Stats'!$N$2:$N$366)/(_xlfn.XLOOKUP(A227,'Team Stats'!$B$2:$B$366,'Team Stats'!$N$2:$N$366)+_xlfn.XLOOKUP(A227,'Opponents stats vs'!$B$2:$B$366,'Opponents stats vs'!$O$2:$O$366))*100</f>
        <v>30.149253731343283</v>
      </c>
      <c r="E227" s="146">
        <f>_xlfn.XLOOKUP(A227,'Team Stats'!$B$2:$B$366,'Team Stats'!$K$2:$K$366)/_xlfn.XLOOKUP(A227,'Team Stats'!$B$2:$B$366,'Team Stats'!$F$2:$F$366)*100</f>
        <v>31.003584229390686</v>
      </c>
      <c r="F227" s="146">
        <f>_xlfn.XLOOKUP(A227,'Team Stats'!$B$2:$B$366,'Team Stats'!$F$2:$F$366)+0.44*_xlfn.XLOOKUP(A227,'Team Stats'!$B$2:$B$366,'Team Stats'!$L$2:$L$366)+_xlfn.XLOOKUP(A227,'Team Stats'!$B$2:$B$366,'Team Stats'!$T$2:$T$366)-_xlfn.XLOOKUP(A227,'Team Stats'!$B$2:$B$366,'Team Stats'!$N$2:$N$366)</f>
        <v>64.951999999999998</v>
      </c>
      <c r="G227">
        <f>_xlfn.XLOOKUP(A227,'Team Stats'!$B$2:$B$366,'Team Stats'!$D$2:$D$366)/F227</f>
        <v>1.1454612637024266</v>
      </c>
      <c r="H227">
        <f>_xlfn.XLOOKUP(A227,'Team Stats'!$B$2:$B$366,'Team Stats'!$D$2:$D$366)</f>
        <v>74.400000000000006</v>
      </c>
    </row>
    <row r="228" spans="1:8" ht="15" customHeight="1" x14ac:dyDescent="0.25">
      <c r="A228" t="s">
        <v>223</v>
      </c>
      <c r="B228" s="146">
        <f t="array" ref="B228">_xlfn.XLOOKUP(A228,'Team Stats'!$B$2:$B$366,('Team Stats'!$E$2:$E$366+'Team Stats'!$H$2:$H$366/2)/'Team Stats'!$F$2:$F$366)*100</f>
        <v>54.631217838765011</v>
      </c>
      <c r="C228" s="146">
        <f>_xlfn.XLOOKUP(A228,'Team Stats'!$B$2:$B$366,'Team Stats'!$T$2:$T$366)/( _xlfn.XLOOKUP(A228,'Team Stats'!$B$2:$B$366,'Team Stats'!$T$2:$T$366)+_xlfn.XLOOKUP(A228,'Team Stats'!$B$2:$B$366,'Team Stats'!$F$2:$F$366)+0.44*_xlfn.XLOOKUP(A228,'Team Stats'!$B$2:$B$366,'Team Stats'!$L$2:$L$366)+_xlfn.XLOOKUP(A228,'Team Stats'!$B$2:$B$366,'Team Stats'!$Q$2:$Q$366))*100</f>
        <v>10.728189700937888</v>
      </c>
      <c r="D228" s="146">
        <f>_xlfn.XLOOKUP(A228,'Team Stats'!$B$2:$B$366,'Team Stats'!$N$2:$N$366)/(_xlfn.XLOOKUP(A228,'Team Stats'!$B$2:$B$366,'Team Stats'!$N$2:$N$366)+_xlfn.XLOOKUP(A228,'Opponents stats vs'!$B$2:$B$366,'Opponents stats vs'!$O$2:$O$366))*100</f>
        <v>24</v>
      </c>
      <c r="E228" s="146">
        <f>_xlfn.XLOOKUP(A228,'Team Stats'!$B$2:$B$366,'Team Stats'!$K$2:$K$366)/_xlfn.XLOOKUP(A228,'Team Stats'!$B$2:$B$366,'Team Stats'!$F$2:$F$366)*100</f>
        <v>21.612349914236706</v>
      </c>
      <c r="F228" s="146">
        <f>_xlfn.XLOOKUP(A228,'Team Stats'!$B$2:$B$366,'Team Stats'!$F$2:$F$366)+0.44*_xlfn.XLOOKUP(A228,'Team Stats'!$B$2:$B$366,'Team Stats'!$L$2:$L$366)+_xlfn.XLOOKUP(A228,'Team Stats'!$B$2:$B$366,'Team Stats'!$T$2:$T$366)-_xlfn.XLOOKUP(A228,'Team Stats'!$B$2:$B$366,'Team Stats'!$N$2:$N$366)</f>
        <v>67.415999999999997</v>
      </c>
      <c r="G228">
        <f>_xlfn.XLOOKUP(A228,'Team Stats'!$B$2:$B$366,'Team Stats'!$D$2:$D$366)/F228</f>
        <v>1.1332621336181323</v>
      </c>
      <c r="H228">
        <f>_xlfn.XLOOKUP(A228,'Team Stats'!$B$2:$B$366,'Team Stats'!$D$2:$D$366)</f>
        <v>76.400000000000006</v>
      </c>
    </row>
    <row r="229" spans="1:8" ht="15" customHeight="1" x14ac:dyDescent="0.25">
      <c r="A229" t="s">
        <v>345</v>
      </c>
      <c r="B229" s="146">
        <f t="array" ref="B229">_xlfn.XLOOKUP(A229,'Team Stats'!$B$2:$B$366,('Team Stats'!$E$2:$E$366+'Team Stats'!$H$2:$H$366/2)/'Team Stats'!$F$2:$F$366)*100</f>
        <v>51.526032315978455</v>
      </c>
      <c r="C229" s="146">
        <f>_xlfn.XLOOKUP(A229,'Team Stats'!$B$2:$B$366,'Team Stats'!$T$2:$T$366)/( _xlfn.XLOOKUP(A229,'Team Stats'!$B$2:$B$366,'Team Stats'!$T$2:$T$366)+_xlfn.XLOOKUP(A229,'Team Stats'!$B$2:$B$366,'Team Stats'!$F$2:$F$366)+0.44*_xlfn.XLOOKUP(A229,'Team Stats'!$B$2:$B$366,'Team Stats'!$L$2:$L$366)+_xlfn.XLOOKUP(A229,'Team Stats'!$B$2:$B$366,'Team Stats'!$Q$2:$Q$366))*100</f>
        <v>13.973799126637557</v>
      </c>
      <c r="D229" s="146">
        <f>_xlfn.XLOOKUP(A229,'Team Stats'!$B$2:$B$366,'Team Stats'!$N$2:$N$366)/(_xlfn.XLOOKUP(A229,'Team Stats'!$B$2:$B$366,'Team Stats'!$N$2:$N$366)+_xlfn.XLOOKUP(A229,'Opponents stats vs'!$B$2:$B$366,'Opponents stats vs'!$O$2:$O$366))*100</f>
        <v>31.736526946107784</v>
      </c>
      <c r="E229" s="146">
        <f>_xlfn.XLOOKUP(A229,'Team Stats'!$B$2:$B$366,'Team Stats'!$K$2:$K$366)/_xlfn.XLOOKUP(A229,'Team Stats'!$B$2:$B$366,'Team Stats'!$F$2:$F$366)*100</f>
        <v>31.956912028725316</v>
      </c>
      <c r="F229" s="146">
        <f>_xlfn.XLOOKUP(A229,'Team Stats'!$B$2:$B$366,'Team Stats'!$F$2:$F$366)+0.44*_xlfn.XLOOKUP(A229,'Team Stats'!$B$2:$B$366,'Team Stats'!$L$2:$L$366)+_xlfn.XLOOKUP(A229,'Team Stats'!$B$2:$B$366,'Team Stats'!$T$2:$T$366)-_xlfn.XLOOKUP(A229,'Team Stats'!$B$2:$B$366,'Team Stats'!$N$2:$N$366)</f>
        <v>68.900000000000006</v>
      </c>
      <c r="G229">
        <f>_xlfn.XLOOKUP(A229,'Team Stats'!$B$2:$B$366,'Team Stats'!$D$2:$D$366)/F229</f>
        <v>1.0914368650217707</v>
      </c>
      <c r="H229">
        <f>_xlfn.XLOOKUP(A229,'Team Stats'!$B$2:$B$366,'Team Stats'!$D$2:$D$366)</f>
        <v>75.2</v>
      </c>
    </row>
    <row r="230" spans="1:8" ht="15" customHeight="1" x14ac:dyDescent="0.25">
      <c r="A230" t="s">
        <v>426</v>
      </c>
      <c r="B230" s="146">
        <f t="array" ref="B230">_xlfn.XLOOKUP(A230,'Team Stats'!$B$2:$B$366,('Team Stats'!$E$2:$E$366+'Team Stats'!$H$2:$H$366/2)/'Team Stats'!$F$2:$F$366)*100</f>
        <v>50.174216027874564</v>
      </c>
      <c r="C230" s="146">
        <f>_xlfn.XLOOKUP(A230,'Team Stats'!$B$2:$B$366,'Team Stats'!$T$2:$T$366)/( _xlfn.XLOOKUP(A230,'Team Stats'!$B$2:$B$366,'Team Stats'!$T$2:$T$366)+_xlfn.XLOOKUP(A230,'Team Stats'!$B$2:$B$366,'Team Stats'!$F$2:$F$366)+0.44*_xlfn.XLOOKUP(A230,'Team Stats'!$B$2:$B$366,'Team Stats'!$L$2:$L$366)+_xlfn.XLOOKUP(A230,'Team Stats'!$B$2:$B$366,'Team Stats'!$Q$2:$Q$366))*100</f>
        <v>14.462180853377408</v>
      </c>
      <c r="D230" s="146">
        <f>_xlfn.XLOOKUP(A230,'Team Stats'!$B$2:$B$366,'Team Stats'!$N$2:$N$366)/(_xlfn.XLOOKUP(A230,'Team Stats'!$B$2:$B$366,'Team Stats'!$N$2:$N$366)+_xlfn.XLOOKUP(A230,'Opponents stats vs'!$B$2:$B$366,'Opponents stats vs'!$O$2:$O$366))*100</f>
        <v>32.058823529411768</v>
      </c>
      <c r="E230" s="146">
        <f>_xlfn.XLOOKUP(A230,'Team Stats'!$B$2:$B$366,'Team Stats'!$K$2:$K$366)/_xlfn.XLOOKUP(A230,'Team Stats'!$B$2:$B$366,'Team Stats'!$F$2:$F$366)*100</f>
        <v>27.177700348432055</v>
      </c>
      <c r="F230" s="146">
        <f>_xlfn.XLOOKUP(A230,'Team Stats'!$B$2:$B$366,'Team Stats'!$F$2:$F$366)+0.44*_xlfn.XLOOKUP(A230,'Team Stats'!$B$2:$B$366,'Team Stats'!$L$2:$L$366)+_xlfn.XLOOKUP(A230,'Team Stats'!$B$2:$B$366,'Team Stats'!$T$2:$T$366)-_xlfn.XLOOKUP(A230,'Team Stats'!$B$2:$B$366,'Team Stats'!$N$2:$N$366)</f>
        <v>68.86399999999999</v>
      </c>
      <c r="G230">
        <f>_xlfn.XLOOKUP(A230,'Team Stats'!$B$2:$B$366,'Team Stats'!$D$2:$D$366)/F230</f>
        <v>1.0644168215613383</v>
      </c>
      <c r="H230">
        <f>_xlfn.XLOOKUP(A230,'Team Stats'!$B$2:$B$366,'Team Stats'!$D$2:$D$366)</f>
        <v>73.3</v>
      </c>
    </row>
    <row r="231" spans="1:8" ht="15" customHeight="1" x14ac:dyDescent="0.25">
      <c r="A231" t="s">
        <v>358</v>
      </c>
      <c r="B231" s="146">
        <f t="array" ref="B231">_xlfn.XLOOKUP(A231,'Team Stats'!$B$2:$B$366,('Team Stats'!$E$2:$E$366+'Team Stats'!$H$2:$H$366/2)/'Team Stats'!$F$2:$F$366)*100</f>
        <v>52.590673575129529</v>
      </c>
      <c r="C231" s="146">
        <f>_xlfn.XLOOKUP(A231,'Team Stats'!$B$2:$B$366,'Team Stats'!$T$2:$T$366)/( _xlfn.XLOOKUP(A231,'Team Stats'!$B$2:$B$366,'Team Stats'!$T$2:$T$366)+_xlfn.XLOOKUP(A231,'Team Stats'!$B$2:$B$366,'Team Stats'!$F$2:$F$366)+0.44*_xlfn.XLOOKUP(A231,'Team Stats'!$B$2:$B$366,'Team Stats'!$L$2:$L$366)+_xlfn.XLOOKUP(A231,'Team Stats'!$B$2:$B$366,'Team Stats'!$Q$2:$Q$366))*100</f>
        <v>12.725743626062322</v>
      </c>
      <c r="D231" s="146">
        <f>_xlfn.XLOOKUP(A231,'Team Stats'!$B$2:$B$366,'Team Stats'!$N$2:$N$366)/(_xlfn.XLOOKUP(A231,'Team Stats'!$B$2:$B$366,'Team Stats'!$N$2:$N$366)+_xlfn.XLOOKUP(A231,'Opponents stats vs'!$B$2:$B$366,'Opponents stats vs'!$O$2:$O$366))*100</f>
        <v>31.908831908831914</v>
      </c>
      <c r="E231" s="146">
        <f>_xlfn.XLOOKUP(A231,'Team Stats'!$B$2:$B$366,'Team Stats'!$K$2:$K$366)/_xlfn.XLOOKUP(A231,'Team Stats'!$B$2:$B$366,'Team Stats'!$F$2:$F$366)*100</f>
        <v>23.834196891191713</v>
      </c>
      <c r="F231" s="146">
        <f>_xlfn.XLOOKUP(A231,'Team Stats'!$B$2:$B$366,'Team Stats'!$F$2:$F$366)+0.44*_xlfn.XLOOKUP(A231,'Team Stats'!$B$2:$B$366,'Team Stats'!$L$2:$L$366)+_xlfn.XLOOKUP(A231,'Team Stats'!$B$2:$B$366,'Team Stats'!$T$2:$T$366)-_xlfn.XLOOKUP(A231,'Team Stats'!$B$2:$B$366,'Team Stats'!$N$2:$N$366)</f>
        <v>66.867999999999995</v>
      </c>
      <c r="G231">
        <f>_xlfn.XLOOKUP(A231,'Team Stats'!$B$2:$B$366,'Team Stats'!$D$2:$D$366)/F231</f>
        <v>1.1156307949991027</v>
      </c>
      <c r="H231">
        <f>_xlfn.XLOOKUP(A231,'Team Stats'!$B$2:$B$366,'Team Stats'!$D$2:$D$366)</f>
        <v>74.599999999999994</v>
      </c>
    </row>
    <row r="232" spans="1:8" ht="15" customHeight="1" x14ac:dyDescent="0.25">
      <c r="A232" t="s">
        <v>428</v>
      </c>
      <c r="B232" s="146">
        <f t="array" ref="B232">_xlfn.XLOOKUP(A232,'Team Stats'!$B$2:$B$366,('Team Stats'!$E$2:$E$366+'Team Stats'!$H$2:$H$366/2)/'Team Stats'!$F$2:$F$366)*100</f>
        <v>50.600343053173248</v>
      </c>
      <c r="C232" s="146">
        <f>_xlfn.XLOOKUP(A232,'Team Stats'!$B$2:$B$366,'Team Stats'!$T$2:$T$366)/( _xlfn.XLOOKUP(A232,'Team Stats'!$B$2:$B$366,'Team Stats'!$T$2:$T$366)+_xlfn.XLOOKUP(A232,'Team Stats'!$B$2:$B$366,'Team Stats'!$F$2:$F$366)+0.44*_xlfn.XLOOKUP(A232,'Team Stats'!$B$2:$B$366,'Team Stats'!$L$2:$L$366)+_xlfn.XLOOKUP(A232,'Team Stats'!$B$2:$B$366,'Team Stats'!$Q$2:$Q$366))*100</f>
        <v>14.639397201291713</v>
      </c>
      <c r="D232" s="146">
        <f>_xlfn.XLOOKUP(A232,'Team Stats'!$B$2:$B$366,'Team Stats'!$N$2:$N$366)/(_xlfn.XLOOKUP(A232,'Team Stats'!$B$2:$B$366,'Team Stats'!$N$2:$N$366)+_xlfn.XLOOKUP(A232,'Opponents stats vs'!$B$2:$B$366,'Opponents stats vs'!$O$2:$O$366))*100</f>
        <v>29.344729344729348</v>
      </c>
      <c r="E232" s="146">
        <f>_xlfn.XLOOKUP(A232,'Team Stats'!$B$2:$B$366,'Team Stats'!$K$2:$K$366)/_xlfn.XLOOKUP(A232,'Team Stats'!$B$2:$B$366,'Team Stats'!$F$2:$F$366)*100</f>
        <v>27.615780445969129</v>
      </c>
      <c r="F232" s="146">
        <f>_xlfn.XLOOKUP(A232,'Team Stats'!$B$2:$B$366,'Team Stats'!$F$2:$F$366)+0.44*_xlfn.XLOOKUP(A232,'Team Stats'!$B$2:$B$366,'Team Stats'!$L$2:$L$366)+_xlfn.XLOOKUP(A232,'Team Stats'!$B$2:$B$366,'Team Stats'!$T$2:$T$366)-_xlfn.XLOOKUP(A232,'Team Stats'!$B$2:$B$366,'Team Stats'!$N$2:$N$366)</f>
        <v>71.5</v>
      </c>
      <c r="G232">
        <f>_xlfn.XLOOKUP(A232,'Team Stats'!$B$2:$B$366,'Team Stats'!$D$2:$D$366)/F232</f>
        <v>1.0503496503496503</v>
      </c>
      <c r="H232">
        <f>_xlfn.XLOOKUP(A232,'Team Stats'!$B$2:$B$366,'Team Stats'!$D$2:$D$366)</f>
        <v>75.099999999999994</v>
      </c>
    </row>
    <row r="233" spans="1:8" ht="15" customHeight="1" x14ac:dyDescent="0.25">
      <c r="A233" t="s">
        <v>265</v>
      </c>
      <c r="B233" s="146">
        <f t="array" ref="B233">_xlfn.XLOOKUP(A233,'Team Stats'!$B$2:$B$366,('Team Stats'!$E$2:$E$366+'Team Stats'!$H$2:$H$366/2)/'Team Stats'!$F$2:$F$366)*100</f>
        <v>53.39622641509434</v>
      </c>
      <c r="C233" s="146">
        <f>_xlfn.XLOOKUP(A233,'Team Stats'!$B$2:$B$366,'Team Stats'!$T$2:$T$366)/( _xlfn.XLOOKUP(A233,'Team Stats'!$B$2:$B$366,'Team Stats'!$T$2:$T$366)+_xlfn.XLOOKUP(A233,'Team Stats'!$B$2:$B$366,'Team Stats'!$F$2:$F$366)+0.44*_xlfn.XLOOKUP(A233,'Team Stats'!$B$2:$B$366,'Team Stats'!$L$2:$L$366)+_xlfn.XLOOKUP(A233,'Team Stats'!$B$2:$B$366,'Team Stats'!$Q$2:$Q$366))*100</f>
        <v>12.33400959055699</v>
      </c>
      <c r="D233" s="146">
        <f>_xlfn.XLOOKUP(A233,'Team Stats'!$B$2:$B$366,'Team Stats'!$N$2:$N$366)/(_xlfn.XLOOKUP(A233,'Team Stats'!$B$2:$B$366,'Team Stats'!$N$2:$N$366)+_xlfn.XLOOKUP(A233,'Opponents stats vs'!$B$2:$B$366,'Opponents stats vs'!$O$2:$O$366))*100</f>
        <v>30.944625407166125</v>
      </c>
      <c r="E233" s="146">
        <f>_xlfn.XLOOKUP(A233,'Team Stats'!$B$2:$B$366,'Team Stats'!$K$2:$K$366)/_xlfn.XLOOKUP(A233,'Team Stats'!$B$2:$B$366,'Team Stats'!$F$2:$F$366)*100</f>
        <v>32.075471698113205</v>
      </c>
      <c r="F233" s="146">
        <f>_xlfn.XLOOKUP(A233,'Team Stats'!$B$2:$B$366,'Team Stats'!$F$2:$F$366)+0.44*_xlfn.XLOOKUP(A233,'Team Stats'!$B$2:$B$366,'Team Stats'!$L$2:$L$366)+_xlfn.XLOOKUP(A233,'Team Stats'!$B$2:$B$366,'Team Stats'!$T$2:$T$366)-_xlfn.XLOOKUP(A233,'Team Stats'!$B$2:$B$366,'Team Stats'!$N$2:$N$366)</f>
        <v>64.451999999999998</v>
      </c>
      <c r="G233">
        <f>_xlfn.XLOOKUP(A233,'Team Stats'!$B$2:$B$366,'Team Stats'!$D$2:$D$366)/F233</f>
        <v>1.1403835412399925</v>
      </c>
      <c r="H233">
        <f>_xlfn.XLOOKUP(A233,'Team Stats'!$B$2:$B$366,'Team Stats'!$D$2:$D$366)</f>
        <v>73.5</v>
      </c>
    </row>
    <row r="234" spans="1:8" ht="15" customHeight="1" x14ac:dyDescent="0.25">
      <c r="A234" t="s">
        <v>270</v>
      </c>
      <c r="B234" s="146">
        <f t="array" ref="B234">_xlfn.XLOOKUP(A234,'Team Stats'!$B$2:$B$366,('Team Stats'!$E$2:$E$366+'Team Stats'!$H$2:$H$366/2)/'Team Stats'!$F$2:$F$366)*100</f>
        <v>49.916527545909851</v>
      </c>
      <c r="C234" s="146">
        <f>_xlfn.XLOOKUP(A234,'Team Stats'!$B$2:$B$366,'Team Stats'!$T$2:$T$366)/( _xlfn.XLOOKUP(A234,'Team Stats'!$B$2:$B$366,'Team Stats'!$T$2:$T$366)+_xlfn.XLOOKUP(A234,'Team Stats'!$B$2:$B$366,'Team Stats'!$F$2:$F$366)+0.44*_xlfn.XLOOKUP(A234,'Team Stats'!$B$2:$B$366,'Team Stats'!$L$2:$L$366)+_xlfn.XLOOKUP(A234,'Team Stats'!$B$2:$B$366,'Team Stats'!$Q$2:$Q$366))*100</f>
        <v>13.6857586404118</v>
      </c>
      <c r="D234" s="146">
        <f>_xlfn.XLOOKUP(A234,'Team Stats'!$B$2:$B$366,'Team Stats'!$N$2:$N$366)/(_xlfn.XLOOKUP(A234,'Team Stats'!$B$2:$B$366,'Team Stats'!$N$2:$N$366)+_xlfn.XLOOKUP(A234,'Opponents stats vs'!$B$2:$B$366,'Opponents stats vs'!$O$2:$O$366))*100</f>
        <v>29.805013927576603</v>
      </c>
      <c r="E234" s="146">
        <f>_xlfn.XLOOKUP(A234,'Team Stats'!$B$2:$B$366,'Team Stats'!$K$2:$K$366)/_xlfn.XLOOKUP(A234,'Team Stats'!$B$2:$B$366,'Team Stats'!$F$2:$F$366)*100</f>
        <v>23.372287145242073</v>
      </c>
      <c r="F234" s="146">
        <f>_xlfn.XLOOKUP(A234,'Team Stats'!$B$2:$B$366,'Team Stats'!$F$2:$F$366)+0.44*_xlfn.XLOOKUP(A234,'Team Stats'!$B$2:$B$366,'Team Stats'!$L$2:$L$366)+_xlfn.XLOOKUP(A234,'Team Stats'!$B$2:$B$366,'Team Stats'!$T$2:$T$366)-_xlfn.XLOOKUP(A234,'Team Stats'!$B$2:$B$366,'Team Stats'!$N$2:$N$366)</f>
        <v>71.311999999999998</v>
      </c>
      <c r="G234">
        <f>_xlfn.XLOOKUP(A234,'Team Stats'!$B$2:$B$366,'Team Stats'!$D$2:$D$366)/F234</f>
        <v>1.0334866502131479</v>
      </c>
      <c r="H234">
        <f>_xlfn.XLOOKUP(A234,'Team Stats'!$B$2:$B$366,'Team Stats'!$D$2:$D$366)</f>
        <v>73.7</v>
      </c>
    </row>
    <row r="235" spans="1:8" ht="15" customHeight="1" x14ac:dyDescent="0.25">
      <c r="A235" t="s">
        <v>405</v>
      </c>
      <c r="B235" s="146">
        <f t="array" ref="B235">_xlfn.XLOOKUP(A235,'Team Stats'!$B$2:$B$366,('Team Stats'!$E$2:$E$366+'Team Stats'!$H$2:$H$366/2)/'Team Stats'!$F$2:$F$366)*100</f>
        <v>52.925531914893618</v>
      </c>
      <c r="C235" s="146">
        <f>_xlfn.XLOOKUP(A235,'Team Stats'!$B$2:$B$366,'Team Stats'!$T$2:$T$366)/( _xlfn.XLOOKUP(A235,'Team Stats'!$B$2:$B$366,'Team Stats'!$T$2:$T$366)+_xlfn.XLOOKUP(A235,'Team Stats'!$B$2:$B$366,'Team Stats'!$F$2:$F$366)+0.44*_xlfn.XLOOKUP(A235,'Team Stats'!$B$2:$B$366,'Team Stats'!$L$2:$L$366)+_xlfn.XLOOKUP(A235,'Team Stats'!$B$2:$B$366,'Team Stats'!$Q$2:$Q$366))*100</f>
        <v>10.055013637834588</v>
      </c>
      <c r="D235" s="146">
        <f>_xlfn.XLOOKUP(A235,'Team Stats'!$B$2:$B$366,'Team Stats'!$N$2:$N$366)/(_xlfn.XLOOKUP(A235,'Team Stats'!$B$2:$B$366,'Team Stats'!$N$2:$N$366)+_xlfn.XLOOKUP(A235,'Opponents stats vs'!$B$2:$B$366,'Opponents stats vs'!$O$2:$O$366))*100</f>
        <v>24.925816023738872</v>
      </c>
      <c r="E235" s="146">
        <f>_xlfn.XLOOKUP(A235,'Team Stats'!$B$2:$B$366,'Team Stats'!$K$2:$K$366)/_xlfn.XLOOKUP(A235,'Team Stats'!$B$2:$B$366,'Team Stats'!$F$2:$F$366)*100</f>
        <v>25.886524822695034</v>
      </c>
      <c r="F235" s="146">
        <f>_xlfn.XLOOKUP(A235,'Team Stats'!$B$2:$B$366,'Team Stats'!$F$2:$F$366)+0.44*_xlfn.XLOOKUP(A235,'Team Stats'!$B$2:$B$366,'Team Stats'!$L$2:$L$366)+_xlfn.XLOOKUP(A235,'Team Stats'!$B$2:$B$366,'Team Stats'!$T$2:$T$366)-_xlfn.XLOOKUP(A235,'Team Stats'!$B$2:$B$366,'Team Stats'!$N$2:$N$366)</f>
        <v>66.423999999999992</v>
      </c>
      <c r="G235">
        <f>_xlfn.XLOOKUP(A235,'Team Stats'!$B$2:$B$366,'Team Stats'!$D$2:$D$366)/F235</f>
        <v>1.1185716006262798</v>
      </c>
      <c r="H235">
        <f>_xlfn.XLOOKUP(A235,'Team Stats'!$B$2:$B$366,'Team Stats'!$D$2:$D$366)</f>
        <v>74.3</v>
      </c>
    </row>
    <row r="236" spans="1:8" ht="15" customHeight="1" x14ac:dyDescent="0.25">
      <c r="A236" t="s">
        <v>429</v>
      </c>
      <c r="B236" s="146">
        <f t="array" ref="B236">_xlfn.XLOOKUP(A236,'Team Stats'!$B$2:$B$366,('Team Stats'!$E$2:$E$366+'Team Stats'!$H$2:$H$366/2)/'Team Stats'!$F$2:$F$366)*100</f>
        <v>51.041666666666664</v>
      </c>
      <c r="C236" s="146">
        <f>_xlfn.XLOOKUP(A236,'Team Stats'!$B$2:$B$366,'Team Stats'!$T$2:$T$366)/( _xlfn.XLOOKUP(A236,'Team Stats'!$B$2:$B$366,'Team Stats'!$T$2:$T$366)+_xlfn.XLOOKUP(A236,'Team Stats'!$B$2:$B$366,'Team Stats'!$F$2:$F$366)+0.44*_xlfn.XLOOKUP(A236,'Team Stats'!$B$2:$B$366,'Team Stats'!$L$2:$L$366)+_xlfn.XLOOKUP(A236,'Team Stats'!$B$2:$B$366,'Team Stats'!$Q$2:$Q$366))*100</f>
        <v>13.76604231703087</v>
      </c>
      <c r="D236" s="146">
        <f>_xlfn.XLOOKUP(A236,'Team Stats'!$B$2:$B$366,'Team Stats'!$N$2:$N$366)/(_xlfn.XLOOKUP(A236,'Team Stats'!$B$2:$B$366,'Team Stats'!$N$2:$N$366)+_xlfn.XLOOKUP(A236,'Opponents stats vs'!$B$2:$B$366,'Opponents stats vs'!$O$2:$O$366))*100</f>
        <v>34.545454545454547</v>
      </c>
      <c r="E236" s="146">
        <f>_xlfn.XLOOKUP(A236,'Team Stats'!$B$2:$B$366,'Team Stats'!$K$2:$K$366)/_xlfn.XLOOKUP(A236,'Team Stats'!$B$2:$B$366,'Team Stats'!$F$2:$F$366)*100</f>
        <v>26.215277777777779</v>
      </c>
      <c r="F236" s="146">
        <f>_xlfn.XLOOKUP(A236,'Team Stats'!$B$2:$B$366,'Team Stats'!$F$2:$F$366)+0.44*_xlfn.XLOOKUP(A236,'Team Stats'!$B$2:$B$366,'Team Stats'!$L$2:$L$366)+_xlfn.XLOOKUP(A236,'Team Stats'!$B$2:$B$366,'Team Stats'!$T$2:$T$366)-_xlfn.XLOOKUP(A236,'Team Stats'!$B$2:$B$366,'Team Stats'!$N$2:$N$366)</f>
        <v>67.655999999999992</v>
      </c>
      <c r="G236">
        <f>_xlfn.XLOOKUP(A236,'Team Stats'!$B$2:$B$366,'Team Stats'!$D$2:$D$366)/F236</f>
        <v>1.0908123448031217</v>
      </c>
      <c r="H236">
        <f>_xlfn.XLOOKUP(A236,'Team Stats'!$B$2:$B$366,'Team Stats'!$D$2:$D$366)</f>
        <v>73.8</v>
      </c>
    </row>
    <row r="237" spans="1:8" ht="15" customHeight="1" x14ac:dyDescent="0.25">
      <c r="A237" t="s">
        <v>280</v>
      </c>
      <c r="B237" s="146">
        <f t="array" ref="B237">_xlfn.XLOOKUP(A237,'Team Stats'!$B$2:$B$366,('Team Stats'!$E$2:$E$366+'Team Stats'!$H$2:$H$366/2)/'Team Stats'!$F$2:$F$366)*100</f>
        <v>52.224199288256223</v>
      </c>
      <c r="C237" s="146">
        <f>_xlfn.XLOOKUP(A237,'Team Stats'!$B$2:$B$366,'Team Stats'!$T$2:$T$366)/( _xlfn.XLOOKUP(A237,'Team Stats'!$B$2:$B$366,'Team Stats'!$T$2:$T$366)+_xlfn.XLOOKUP(A237,'Team Stats'!$B$2:$B$366,'Team Stats'!$F$2:$F$366)+0.44*_xlfn.XLOOKUP(A237,'Team Stats'!$B$2:$B$366,'Team Stats'!$L$2:$L$366)+_xlfn.XLOOKUP(A237,'Team Stats'!$B$2:$B$366,'Team Stats'!$Q$2:$Q$366))*100</f>
        <v>12.530479544838796</v>
      </c>
      <c r="D237" s="146">
        <f>_xlfn.XLOOKUP(A237,'Team Stats'!$B$2:$B$366,'Team Stats'!$N$2:$N$366)/(_xlfn.XLOOKUP(A237,'Team Stats'!$B$2:$B$366,'Team Stats'!$N$2:$N$366)+_xlfn.XLOOKUP(A237,'Opponents stats vs'!$B$2:$B$366,'Opponents stats vs'!$O$2:$O$366))*100</f>
        <v>33.962264150943398</v>
      </c>
      <c r="E237" s="146">
        <f>_xlfn.XLOOKUP(A237,'Team Stats'!$B$2:$B$366,'Team Stats'!$K$2:$K$366)/_xlfn.XLOOKUP(A237,'Team Stats'!$B$2:$B$366,'Team Stats'!$F$2:$F$366)*100</f>
        <v>28.113879003558718</v>
      </c>
      <c r="F237" s="146">
        <f>_xlfn.XLOOKUP(A237,'Team Stats'!$B$2:$B$366,'Team Stats'!$F$2:$F$366)+0.44*_xlfn.XLOOKUP(A237,'Team Stats'!$B$2:$B$366,'Team Stats'!$L$2:$L$366)+_xlfn.XLOOKUP(A237,'Team Stats'!$B$2:$B$366,'Team Stats'!$T$2:$T$366)-_xlfn.XLOOKUP(A237,'Team Stats'!$B$2:$B$366,'Team Stats'!$N$2:$N$366)</f>
        <v>65.784000000000006</v>
      </c>
      <c r="G237">
        <f>_xlfn.XLOOKUP(A237,'Team Stats'!$B$2:$B$366,'Team Stats'!$D$2:$D$366)/F237</f>
        <v>1.1324942235193967</v>
      </c>
      <c r="H237">
        <f>_xlfn.XLOOKUP(A237,'Team Stats'!$B$2:$B$366,'Team Stats'!$D$2:$D$366)</f>
        <v>74.5</v>
      </c>
    </row>
    <row r="238" spans="1:8" ht="15" customHeight="1" x14ac:dyDescent="0.25">
      <c r="A238" t="s">
        <v>34</v>
      </c>
      <c r="B238" s="146">
        <f t="array" ref="B238">_xlfn.XLOOKUP(A238,'Team Stats'!$B$2:$B$366,('Team Stats'!$E$2:$E$366+'Team Stats'!$H$2:$H$366/2)/'Team Stats'!$F$2:$F$366)*100</f>
        <v>54.051565377532228</v>
      </c>
      <c r="C238" s="146">
        <f>_xlfn.XLOOKUP(A238,'Team Stats'!$B$2:$B$366,'Team Stats'!$T$2:$T$366)/( _xlfn.XLOOKUP(A238,'Team Stats'!$B$2:$B$366,'Team Stats'!$T$2:$T$366)+_xlfn.XLOOKUP(A238,'Team Stats'!$B$2:$B$366,'Team Stats'!$F$2:$F$366)+0.44*_xlfn.XLOOKUP(A238,'Team Stats'!$B$2:$B$366,'Team Stats'!$L$2:$L$366)+_xlfn.XLOOKUP(A238,'Team Stats'!$B$2:$B$366,'Team Stats'!$Q$2:$Q$366))*100</f>
        <v>12.53597279148862</v>
      </c>
      <c r="D238" s="146">
        <f>_xlfn.XLOOKUP(A238,'Team Stats'!$B$2:$B$366,'Team Stats'!$N$2:$N$366)/(_xlfn.XLOOKUP(A238,'Team Stats'!$B$2:$B$366,'Team Stats'!$N$2:$N$366)+_xlfn.XLOOKUP(A238,'Opponents stats vs'!$B$2:$B$366,'Opponents stats vs'!$O$2:$O$366))*100</f>
        <v>32.594936708860764</v>
      </c>
      <c r="E238" s="146">
        <f>_xlfn.XLOOKUP(A238,'Team Stats'!$B$2:$B$366,'Team Stats'!$K$2:$K$366)/_xlfn.XLOOKUP(A238,'Team Stats'!$B$2:$B$366,'Team Stats'!$F$2:$F$366)*100</f>
        <v>29.65009208103131</v>
      </c>
      <c r="F238" s="146">
        <f>_xlfn.XLOOKUP(A238,'Team Stats'!$B$2:$B$366,'Team Stats'!$F$2:$F$366)+0.44*_xlfn.XLOOKUP(A238,'Team Stats'!$B$2:$B$366,'Team Stats'!$L$2:$L$366)+_xlfn.XLOOKUP(A238,'Team Stats'!$B$2:$B$366,'Team Stats'!$T$2:$T$366)-_xlfn.XLOOKUP(A238,'Team Stats'!$B$2:$B$366,'Team Stats'!$N$2:$N$366)</f>
        <v>65.135999999999996</v>
      </c>
      <c r="G238">
        <f>_xlfn.XLOOKUP(A238,'Team Stats'!$B$2:$B$366,'Team Stats'!$D$2:$D$366)/F238</f>
        <v>1.1483664947187424</v>
      </c>
      <c r="H238">
        <f>_xlfn.XLOOKUP(A238,'Team Stats'!$B$2:$B$366,'Team Stats'!$D$2:$D$366)</f>
        <v>74.8</v>
      </c>
    </row>
    <row r="239" spans="1:8" ht="15" customHeight="1" x14ac:dyDescent="0.25">
      <c r="A239" t="s">
        <v>369</v>
      </c>
      <c r="B239" s="146">
        <f t="array" ref="B239">_xlfn.XLOOKUP(A239,'Team Stats'!$B$2:$B$366,('Team Stats'!$E$2:$E$366+'Team Stats'!$H$2:$H$366/2)/'Team Stats'!$F$2:$F$366)*100</f>
        <v>53.546099290780148</v>
      </c>
      <c r="C239" s="146">
        <f>_xlfn.XLOOKUP(A239,'Team Stats'!$B$2:$B$366,'Team Stats'!$T$2:$T$366)/( _xlfn.XLOOKUP(A239,'Team Stats'!$B$2:$B$366,'Team Stats'!$T$2:$T$366)+_xlfn.XLOOKUP(A239,'Team Stats'!$B$2:$B$366,'Team Stats'!$F$2:$F$366)+0.44*_xlfn.XLOOKUP(A239,'Team Stats'!$B$2:$B$366,'Team Stats'!$L$2:$L$366)+_xlfn.XLOOKUP(A239,'Team Stats'!$B$2:$B$366,'Team Stats'!$Q$2:$Q$366))*100</f>
        <v>14.312977099236642</v>
      </c>
      <c r="D239" s="146">
        <f>_xlfn.XLOOKUP(A239,'Team Stats'!$B$2:$B$366,'Team Stats'!$N$2:$N$366)/(_xlfn.XLOOKUP(A239,'Team Stats'!$B$2:$B$366,'Team Stats'!$N$2:$N$366)+_xlfn.XLOOKUP(A239,'Opponents stats vs'!$B$2:$B$366,'Opponents stats vs'!$O$2:$O$366))*100</f>
        <v>35.493827160493829</v>
      </c>
      <c r="E239" s="146">
        <f>_xlfn.XLOOKUP(A239,'Team Stats'!$B$2:$B$366,'Team Stats'!$K$2:$K$366)/_xlfn.XLOOKUP(A239,'Team Stats'!$B$2:$B$366,'Team Stats'!$F$2:$F$366)*100</f>
        <v>22.872340425531917</v>
      </c>
      <c r="F239" s="146">
        <f>_xlfn.XLOOKUP(A239,'Team Stats'!$B$2:$B$366,'Team Stats'!$F$2:$F$366)+0.44*_xlfn.XLOOKUP(A239,'Team Stats'!$B$2:$B$366,'Team Stats'!$L$2:$L$366)+_xlfn.XLOOKUP(A239,'Team Stats'!$B$2:$B$366,'Team Stats'!$T$2:$T$366)-_xlfn.XLOOKUP(A239,'Team Stats'!$B$2:$B$366,'Team Stats'!$N$2:$N$366)</f>
        <v>65.623999999999995</v>
      </c>
      <c r="G239">
        <f>_xlfn.XLOOKUP(A239,'Team Stats'!$B$2:$B$366,'Team Stats'!$D$2:$D$366)/F239</f>
        <v>1.1154455686943803</v>
      </c>
      <c r="H239">
        <f>_xlfn.XLOOKUP(A239,'Team Stats'!$B$2:$B$366,'Team Stats'!$D$2:$D$366)</f>
        <v>73.2</v>
      </c>
    </row>
    <row r="240" spans="1:8" ht="15" customHeight="1" x14ac:dyDescent="0.25">
      <c r="A240" t="s">
        <v>303</v>
      </c>
      <c r="B240" s="146">
        <f t="array" ref="B240">_xlfn.XLOOKUP(A240,'Team Stats'!$B$2:$B$366,('Team Stats'!$E$2:$E$366+'Team Stats'!$H$2:$H$366/2)/'Team Stats'!$F$2:$F$366)*100</f>
        <v>50.910596026490062</v>
      </c>
      <c r="C240" s="146">
        <f>_xlfn.XLOOKUP(A240,'Team Stats'!$B$2:$B$366,'Team Stats'!$T$2:$T$366)/( _xlfn.XLOOKUP(A240,'Team Stats'!$B$2:$B$366,'Team Stats'!$T$2:$T$366)+_xlfn.XLOOKUP(A240,'Team Stats'!$B$2:$B$366,'Team Stats'!$F$2:$F$366)+0.44*_xlfn.XLOOKUP(A240,'Team Stats'!$B$2:$B$366,'Team Stats'!$L$2:$L$366)+_xlfn.XLOOKUP(A240,'Team Stats'!$B$2:$B$366,'Team Stats'!$Q$2:$Q$366))*100</f>
        <v>13.463087817495653</v>
      </c>
      <c r="D240" s="146">
        <f>_xlfn.XLOOKUP(A240,'Team Stats'!$B$2:$B$366,'Team Stats'!$N$2:$N$366)/(_xlfn.XLOOKUP(A240,'Team Stats'!$B$2:$B$366,'Team Stats'!$N$2:$N$366)+_xlfn.XLOOKUP(A240,'Opponents stats vs'!$B$2:$B$366,'Opponents stats vs'!$O$2:$O$366))*100</f>
        <v>27.27272727272727</v>
      </c>
      <c r="E240" s="146">
        <f>_xlfn.XLOOKUP(A240,'Team Stats'!$B$2:$B$366,'Team Stats'!$K$2:$K$366)/_xlfn.XLOOKUP(A240,'Team Stats'!$B$2:$B$366,'Team Stats'!$F$2:$F$366)*100</f>
        <v>21.523178807947023</v>
      </c>
      <c r="F240" s="146">
        <f>_xlfn.XLOOKUP(A240,'Team Stats'!$B$2:$B$366,'Team Stats'!$F$2:$F$366)+0.44*_xlfn.XLOOKUP(A240,'Team Stats'!$B$2:$B$366,'Team Stats'!$L$2:$L$366)+_xlfn.XLOOKUP(A240,'Team Stats'!$B$2:$B$366,'Team Stats'!$T$2:$T$366)-_xlfn.XLOOKUP(A240,'Team Stats'!$B$2:$B$366,'Team Stats'!$N$2:$N$366)</f>
        <v>71.332000000000008</v>
      </c>
      <c r="G240">
        <f>_xlfn.XLOOKUP(A240,'Team Stats'!$B$2:$B$366,'Team Stats'!$D$2:$D$366)/F240</f>
        <v>1.0458139404474849</v>
      </c>
      <c r="H240">
        <f>_xlfn.XLOOKUP(A240,'Team Stats'!$B$2:$B$366,'Team Stats'!$D$2:$D$366)</f>
        <v>74.599999999999994</v>
      </c>
    </row>
    <row r="241" spans="1:8" ht="15" customHeight="1" x14ac:dyDescent="0.25">
      <c r="A241" t="s">
        <v>412</v>
      </c>
      <c r="B241" s="146">
        <f t="array" ref="B241">_xlfn.XLOOKUP(A241,'Team Stats'!$B$2:$B$366,('Team Stats'!$E$2:$E$366+'Team Stats'!$H$2:$H$366/2)/'Team Stats'!$F$2:$F$366)*100</f>
        <v>49.342105263157897</v>
      </c>
      <c r="C241" s="146">
        <f>_xlfn.XLOOKUP(A241,'Team Stats'!$B$2:$B$366,'Team Stats'!$T$2:$T$366)/( _xlfn.XLOOKUP(A241,'Team Stats'!$B$2:$B$366,'Team Stats'!$T$2:$T$366)+_xlfn.XLOOKUP(A241,'Team Stats'!$B$2:$B$366,'Team Stats'!$F$2:$F$366)+0.44*_xlfn.XLOOKUP(A241,'Team Stats'!$B$2:$B$366,'Team Stats'!$L$2:$L$366)+_xlfn.XLOOKUP(A241,'Team Stats'!$B$2:$B$366,'Team Stats'!$Q$2:$Q$366))*100</f>
        <v>12.665174990501121</v>
      </c>
      <c r="D241" s="146">
        <f>_xlfn.XLOOKUP(A241,'Team Stats'!$B$2:$B$366,'Team Stats'!$N$2:$N$366)/(_xlfn.XLOOKUP(A241,'Team Stats'!$B$2:$B$366,'Team Stats'!$N$2:$N$366)+_xlfn.XLOOKUP(A241,'Opponents stats vs'!$B$2:$B$366,'Opponents stats vs'!$O$2:$O$366))*100</f>
        <v>31.232876712328768</v>
      </c>
      <c r="E241" s="146">
        <f>_xlfn.XLOOKUP(A241,'Team Stats'!$B$2:$B$366,'Team Stats'!$K$2:$K$366)/_xlfn.XLOOKUP(A241,'Team Stats'!$B$2:$B$366,'Team Stats'!$F$2:$F$366)*100</f>
        <v>21.381578947368421</v>
      </c>
      <c r="F241" s="146">
        <f>_xlfn.XLOOKUP(A241,'Team Stats'!$B$2:$B$366,'Team Stats'!$F$2:$F$366)+0.44*_xlfn.XLOOKUP(A241,'Team Stats'!$B$2:$B$366,'Team Stats'!$L$2:$L$366)+_xlfn.XLOOKUP(A241,'Team Stats'!$B$2:$B$366,'Team Stats'!$T$2:$T$366)-_xlfn.XLOOKUP(A241,'Team Stats'!$B$2:$B$366,'Team Stats'!$N$2:$N$366)</f>
        <v>69.847999999999985</v>
      </c>
      <c r="G241">
        <f>_xlfn.XLOOKUP(A241,'Team Stats'!$B$2:$B$366,'Team Stats'!$D$2:$D$366)/F241</f>
        <v>1.0451265605314399</v>
      </c>
      <c r="H241">
        <f>_xlfn.XLOOKUP(A241,'Team Stats'!$B$2:$B$366,'Team Stats'!$D$2:$D$366)</f>
        <v>73</v>
      </c>
    </row>
    <row r="242" spans="1:8" ht="15" customHeight="1" x14ac:dyDescent="0.25">
      <c r="A242" t="s">
        <v>186</v>
      </c>
      <c r="B242" s="146">
        <f t="array" ref="B242">_xlfn.XLOOKUP(A242,'Team Stats'!$B$2:$B$366,('Team Stats'!$E$2:$E$366+'Team Stats'!$H$2:$H$366/2)/'Team Stats'!$F$2:$F$366)*100</f>
        <v>48.029556650246306</v>
      </c>
      <c r="C242" s="146">
        <f>_xlfn.XLOOKUP(A242,'Team Stats'!$B$2:$B$366,'Team Stats'!$T$2:$T$366)/( _xlfn.XLOOKUP(A242,'Team Stats'!$B$2:$B$366,'Team Stats'!$T$2:$T$366)+_xlfn.XLOOKUP(A242,'Team Stats'!$B$2:$B$366,'Team Stats'!$F$2:$F$366)+0.44*_xlfn.XLOOKUP(A242,'Team Stats'!$B$2:$B$366,'Team Stats'!$L$2:$L$366)+_xlfn.XLOOKUP(A242,'Team Stats'!$B$2:$B$366,'Team Stats'!$Q$2:$Q$366))*100</f>
        <v>13.776404775820323</v>
      </c>
      <c r="D242" s="146">
        <f>_xlfn.XLOOKUP(A242,'Team Stats'!$B$2:$B$366,'Team Stats'!$N$2:$N$366)/(_xlfn.XLOOKUP(A242,'Team Stats'!$B$2:$B$366,'Team Stats'!$N$2:$N$366)+_xlfn.XLOOKUP(A242,'Opponents stats vs'!$B$2:$B$366,'Opponents stats vs'!$O$2:$O$366))*100</f>
        <v>32.808398950131235</v>
      </c>
      <c r="E242" s="146">
        <f>_xlfn.XLOOKUP(A242,'Team Stats'!$B$2:$B$366,'Team Stats'!$K$2:$K$366)/_xlfn.XLOOKUP(A242,'Team Stats'!$B$2:$B$366,'Team Stats'!$F$2:$F$366)*100</f>
        <v>24.466338259441709</v>
      </c>
      <c r="F242" s="146">
        <f>_xlfn.XLOOKUP(A242,'Team Stats'!$B$2:$B$366,'Team Stats'!$F$2:$F$366)+0.44*_xlfn.XLOOKUP(A242,'Team Stats'!$B$2:$B$366,'Team Stats'!$L$2:$L$366)+_xlfn.XLOOKUP(A242,'Team Stats'!$B$2:$B$366,'Team Stats'!$T$2:$T$366)-_xlfn.XLOOKUP(A242,'Team Stats'!$B$2:$B$366,'Team Stats'!$N$2:$N$366)</f>
        <v>71.016000000000005</v>
      </c>
      <c r="G242">
        <f>_xlfn.XLOOKUP(A242,'Team Stats'!$B$2:$B$366,'Team Stats'!$D$2:$D$366)/F242</f>
        <v>1.0335698997409035</v>
      </c>
      <c r="H242">
        <f>_xlfn.XLOOKUP(A242,'Team Stats'!$B$2:$B$366,'Team Stats'!$D$2:$D$366)</f>
        <v>73.400000000000006</v>
      </c>
    </row>
    <row r="243" spans="1:8" ht="15" customHeight="1" x14ac:dyDescent="0.25">
      <c r="A243" t="s">
        <v>364</v>
      </c>
      <c r="B243" s="146">
        <f t="array" ref="B243">_xlfn.XLOOKUP(A243,'Team Stats'!$B$2:$B$366,('Team Stats'!$E$2:$E$366+'Team Stats'!$H$2:$H$366/2)/'Team Stats'!$F$2:$F$366)*100</f>
        <v>50.417362270450752</v>
      </c>
      <c r="C243" s="146">
        <f>_xlfn.XLOOKUP(A243,'Team Stats'!$B$2:$B$366,'Team Stats'!$T$2:$T$366)/( _xlfn.XLOOKUP(A243,'Team Stats'!$B$2:$B$366,'Team Stats'!$T$2:$T$366)+_xlfn.XLOOKUP(A243,'Team Stats'!$B$2:$B$366,'Team Stats'!$F$2:$F$366)+0.44*_xlfn.XLOOKUP(A243,'Team Stats'!$B$2:$B$366,'Team Stats'!$L$2:$L$366)+_xlfn.XLOOKUP(A243,'Team Stats'!$B$2:$B$366,'Team Stats'!$Q$2:$Q$366))*100</f>
        <v>10.580868063053336</v>
      </c>
      <c r="D243" s="146">
        <f>_xlfn.XLOOKUP(A243,'Team Stats'!$B$2:$B$366,'Team Stats'!$N$2:$N$366)/(_xlfn.XLOOKUP(A243,'Team Stats'!$B$2:$B$366,'Team Stats'!$N$2:$N$366)+_xlfn.XLOOKUP(A243,'Opponents stats vs'!$B$2:$B$366,'Opponents stats vs'!$O$2:$O$366))*100</f>
        <v>29.096045197740111</v>
      </c>
      <c r="E243" s="146">
        <f>_xlfn.XLOOKUP(A243,'Team Stats'!$B$2:$B$366,'Team Stats'!$K$2:$K$366)/_xlfn.XLOOKUP(A243,'Team Stats'!$B$2:$B$366,'Team Stats'!$F$2:$F$366)*100</f>
        <v>25.542570951585979</v>
      </c>
      <c r="F243" s="146">
        <f>_xlfn.XLOOKUP(A243,'Team Stats'!$B$2:$B$366,'Team Stats'!$F$2:$F$366)+0.44*_xlfn.XLOOKUP(A243,'Team Stats'!$B$2:$B$366,'Team Stats'!$L$2:$L$366)+_xlfn.XLOOKUP(A243,'Team Stats'!$B$2:$B$366,'Team Stats'!$T$2:$T$366)-_xlfn.XLOOKUP(A243,'Team Stats'!$B$2:$B$366,'Team Stats'!$N$2:$N$366)</f>
        <v>68.42</v>
      </c>
      <c r="G243">
        <f>_xlfn.XLOOKUP(A243,'Team Stats'!$B$2:$B$366,'Team Stats'!$D$2:$D$366)/F243</f>
        <v>1.1078631978953521</v>
      </c>
      <c r="H243">
        <f>_xlfn.XLOOKUP(A243,'Team Stats'!$B$2:$B$366,'Team Stats'!$D$2:$D$366)</f>
        <v>75.8</v>
      </c>
    </row>
    <row r="244" spans="1:8" ht="15" customHeight="1" x14ac:dyDescent="0.25">
      <c r="A244" t="s">
        <v>357</v>
      </c>
      <c r="B244" s="146">
        <f t="array" ref="B244">_xlfn.XLOOKUP(A244,'Team Stats'!$B$2:$B$366,('Team Stats'!$E$2:$E$366+'Team Stats'!$H$2:$H$366/2)/'Team Stats'!$F$2:$F$366)*100</f>
        <v>51.311188811188799</v>
      </c>
      <c r="C244" s="146">
        <f>_xlfn.XLOOKUP(A244,'Team Stats'!$B$2:$B$366,'Team Stats'!$T$2:$T$366)/( _xlfn.XLOOKUP(A244,'Team Stats'!$B$2:$B$366,'Team Stats'!$T$2:$T$366)+_xlfn.XLOOKUP(A244,'Team Stats'!$B$2:$B$366,'Team Stats'!$F$2:$F$366)+0.44*_xlfn.XLOOKUP(A244,'Team Stats'!$B$2:$B$366,'Team Stats'!$L$2:$L$366)+_xlfn.XLOOKUP(A244,'Team Stats'!$B$2:$B$366,'Team Stats'!$Q$2:$Q$366))*100</f>
        <v>9.4067203360168001</v>
      </c>
      <c r="D244" s="146">
        <f>_xlfn.XLOOKUP(A244,'Team Stats'!$B$2:$B$366,'Team Stats'!$N$2:$N$366)/(_xlfn.XLOOKUP(A244,'Team Stats'!$B$2:$B$366,'Team Stats'!$N$2:$N$366)+_xlfn.XLOOKUP(A244,'Opponents stats vs'!$B$2:$B$366,'Opponents stats vs'!$O$2:$O$366))*100</f>
        <v>27.439024390243905</v>
      </c>
      <c r="E244" s="146">
        <f>_xlfn.XLOOKUP(A244,'Team Stats'!$B$2:$B$366,'Team Stats'!$K$2:$K$366)/_xlfn.XLOOKUP(A244,'Team Stats'!$B$2:$B$366,'Team Stats'!$F$2:$F$366)*100</f>
        <v>25.699300699300696</v>
      </c>
      <c r="F244" s="146">
        <f>_xlfn.XLOOKUP(A244,'Team Stats'!$B$2:$B$366,'Team Stats'!$F$2:$F$366)+0.44*_xlfn.XLOOKUP(A244,'Team Stats'!$B$2:$B$366,'Team Stats'!$L$2:$L$366)+_xlfn.XLOOKUP(A244,'Team Stats'!$B$2:$B$366,'Team Stats'!$T$2:$T$366)-_xlfn.XLOOKUP(A244,'Team Stats'!$B$2:$B$366,'Team Stats'!$N$2:$N$366)</f>
        <v>65.423999999999992</v>
      </c>
      <c r="G244">
        <f>_xlfn.XLOOKUP(A244,'Team Stats'!$B$2:$B$366,'Team Stats'!$D$2:$D$366)/F244</f>
        <v>1.1219124480313036</v>
      </c>
      <c r="H244">
        <f>_xlfn.XLOOKUP(A244,'Team Stats'!$B$2:$B$366,'Team Stats'!$D$2:$D$366)</f>
        <v>73.400000000000006</v>
      </c>
    </row>
    <row r="245" spans="1:8" ht="15" customHeight="1" x14ac:dyDescent="0.25">
      <c r="A245" t="s">
        <v>219</v>
      </c>
      <c r="B245" s="146">
        <f t="array" ref="B245">_xlfn.XLOOKUP(A245,'Team Stats'!$B$2:$B$366,('Team Stats'!$E$2:$E$366+'Team Stats'!$H$2:$H$366/2)/'Team Stats'!$F$2:$F$366)*100</f>
        <v>52.249134948096888</v>
      </c>
      <c r="C245" s="146">
        <f>_xlfn.XLOOKUP(A245,'Team Stats'!$B$2:$B$366,'Team Stats'!$T$2:$T$366)/( _xlfn.XLOOKUP(A245,'Team Stats'!$B$2:$B$366,'Team Stats'!$T$2:$T$366)+_xlfn.XLOOKUP(A245,'Team Stats'!$B$2:$B$366,'Team Stats'!$F$2:$F$366)+0.44*_xlfn.XLOOKUP(A245,'Team Stats'!$B$2:$B$366,'Team Stats'!$L$2:$L$366)+_xlfn.XLOOKUP(A245,'Team Stats'!$B$2:$B$366,'Team Stats'!$Q$2:$Q$366))*100</f>
        <v>13.527331600698734</v>
      </c>
      <c r="D245" s="146">
        <f>_xlfn.XLOOKUP(A245,'Team Stats'!$B$2:$B$366,'Team Stats'!$N$2:$N$366)/(_xlfn.XLOOKUP(A245,'Team Stats'!$B$2:$B$366,'Team Stats'!$N$2:$N$366)+_xlfn.XLOOKUP(A245,'Opponents stats vs'!$B$2:$B$366,'Opponents stats vs'!$O$2:$O$366))*100</f>
        <v>29.793510324483773</v>
      </c>
      <c r="E245" s="146">
        <f>_xlfn.XLOOKUP(A245,'Team Stats'!$B$2:$B$366,'Team Stats'!$K$2:$K$366)/_xlfn.XLOOKUP(A245,'Team Stats'!$B$2:$B$366,'Team Stats'!$F$2:$F$366)*100</f>
        <v>22.664359861591695</v>
      </c>
      <c r="F245" s="146">
        <f>_xlfn.XLOOKUP(A245,'Team Stats'!$B$2:$B$366,'Team Stats'!$F$2:$F$366)+0.44*_xlfn.XLOOKUP(A245,'Team Stats'!$B$2:$B$366,'Team Stats'!$L$2:$L$366)+_xlfn.XLOOKUP(A245,'Team Stats'!$B$2:$B$366,'Team Stats'!$T$2:$T$366)-_xlfn.XLOOKUP(A245,'Team Stats'!$B$2:$B$366,'Team Stats'!$N$2:$N$366)</f>
        <v>68.584000000000003</v>
      </c>
      <c r="G245">
        <f>_xlfn.XLOOKUP(A245,'Team Stats'!$B$2:$B$366,'Team Stats'!$D$2:$D$366)/F245</f>
        <v>1.0716785256036392</v>
      </c>
      <c r="H245">
        <f>_xlfn.XLOOKUP(A245,'Team Stats'!$B$2:$B$366,'Team Stats'!$D$2:$D$366)</f>
        <v>73.5</v>
      </c>
    </row>
    <row r="246" spans="1:8" ht="15" customHeight="1" x14ac:dyDescent="0.25">
      <c r="A246" t="s">
        <v>289</v>
      </c>
      <c r="B246" s="146">
        <f t="array" ref="B246">_xlfn.XLOOKUP(A246,'Team Stats'!$B$2:$B$366,('Team Stats'!$E$2:$E$366+'Team Stats'!$H$2:$H$366/2)/'Team Stats'!$F$2:$F$366)*100</f>
        <v>52.992957746478872</v>
      </c>
      <c r="C246" s="146">
        <f>_xlfn.XLOOKUP(A246,'Team Stats'!$B$2:$B$366,'Team Stats'!$T$2:$T$366)/( _xlfn.XLOOKUP(A246,'Team Stats'!$B$2:$B$366,'Team Stats'!$T$2:$T$366)+_xlfn.XLOOKUP(A246,'Team Stats'!$B$2:$B$366,'Team Stats'!$F$2:$F$366)+0.44*_xlfn.XLOOKUP(A246,'Team Stats'!$B$2:$B$366,'Team Stats'!$L$2:$L$366)+_xlfn.XLOOKUP(A246,'Team Stats'!$B$2:$B$366,'Team Stats'!$Q$2:$Q$366))*100</f>
        <v>13.003467591357696</v>
      </c>
      <c r="D246" s="146">
        <f>_xlfn.XLOOKUP(A246,'Team Stats'!$B$2:$B$366,'Team Stats'!$N$2:$N$366)/(_xlfn.XLOOKUP(A246,'Team Stats'!$B$2:$B$366,'Team Stats'!$N$2:$N$366)+_xlfn.XLOOKUP(A246,'Opponents stats vs'!$B$2:$B$366,'Opponents stats vs'!$O$2:$O$366))*100</f>
        <v>30.813953488372093</v>
      </c>
      <c r="E246" s="146">
        <f>_xlfn.XLOOKUP(A246,'Team Stats'!$B$2:$B$366,'Team Stats'!$K$2:$K$366)/_xlfn.XLOOKUP(A246,'Team Stats'!$B$2:$B$366,'Team Stats'!$F$2:$F$366)*100</f>
        <v>25.352112676056336</v>
      </c>
      <c r="F246" s="146">
        <f>_xlfn.XLOOKUP(A246,'Team Stats'!$B$2:$B$366,'Team Stats'!$F$2:$F$366)+0.44*_xlfn.XLOOKUP(A246,'Team Stats'!$B$2:$B$366,'Team Stats'!$L$2:$L$366)+_xlfn.XLOOKUP(A246,'Team Stats'!$B$2:$B$366,'Team Stats'!$T$2:$T$366)-_xlfn.XLOOKUP(A246,'Team Stats'!$B$2:$B$366,'Team Stats'!$N$2:$N$366)</f>
        <v>66.876000000000005</v>
      </c>
      <c r="G246">
        <f>_xlfn.XLOOKUP(A246,'Team Stats'!$B$2:$B$366,'Team Stats'!$D$2:$D$366)/F246</f>
        <v>1.1140020336144505</v>
      </c>
      <c r="H246">
        <f>_xlfn.XLOOKUP(A246,'Team Stats'!$B$2:$B$366,'Team Stats'!$D$2:$D$366)</f>
        <v>74.5</v>
      </c>
    </row>
    <row r="247" spans="1:8" ht="15" customHeight="1" x14ac:dyDescent="0.25">
      <c r="A247" t="s">
        <v>236</v>
      </c>
      <c r="B247" s="146">
        <f t="array" ref="B247">_xlfn.XLOOKUP(A247,'Team Stats'!$B$2:$B$366,('Team Stats'!$E$2:$E$366+'Team Stats'!$H$2:$H$366/2)/'Team Stats'!$F$2:$F$366)*100</f>
        <v>54.196428571428577</v>
      </c>
      <c r="C247" s="146">
        <f>_xlfn.XLOOKUP(A247,'Team Stats'!$B$2:$B$366,'Team Stats'!$T$2:$T$366)/( _xlfn.XLOOKUP(A247,'Team Stats'!$B$2:$B$366,'Team Stats'!$T$2:$T$366)+_xlfn.XLOOKUP(A247,'Team Stats'!$B$2:$B$366,'Team Stats'!$F$2:$F$366)+0.44*_xlfn.XLOOKUP(A247,'Team Stats'!$B$2:$B$366,'Team Stats'!$L$2:$L$366)+_xlfn.XLOOKUP(A247,'Team Stats'!$B$2:$B$366,'Team Stats'!$Q$2:$Q$366))*100</f>
        <v>11.89612979244086</v>
      </c>
      <c r="D247" s="146">
        <f>_xlfn.XLOOKUP(A247,'Team Stats'!$B$2:$B$366,'Team Stats'!$N$2:$N$366)/(_xlfn.XLOOKUP(A247,'Team Stats'!$B$2:$B$366,'Team Stats'!$N$2:$N$366)+_xlfn.XLOOKUP(A247,'Opponents stats vs'!$B$2:$B$366,'Opponents stats vs'!$O$2:$O$366))*100</f>
        <v>29.429429429429433</v>
      </c>
      <c r="E247" s="146">
        <f>_xlfn.XLOOKUP(A247,'Team Stats'!$B$2:$B$366,'Team Stats'!$K$2:$K$366)/_xlfn.XLOOKUP(A247,'Team Stats'!$B$2:$B$366,'Team Stats'!$F$2:$F$366)*100</f>
        <v>21.25</v>
      </c>
      <c r="F247" s="146">
        <f>_xlfn.XLOOKUP(A247,'Team Stats'!$B$2:$B$366,'Team Stats'!$F$2:$F$366)+0.44*_xlfn.XLOOKUP(A247,'Team Stats'!$B$2:$B$366,'Team Stats'!$L$2:$L$366)+_xlfn.XLOOKUP(A247,'Team Stats'!$B$2:$B$366,'Team Stats'!$T$2:$T$366)-_xlfn.XLOOKUP(A247,'Team Stats'!$B$2:$B$366,'Team Stats'!$N$2:$N$366)</f>
        <v>64.664000000000001</v>
      </c>
      <c r="G247">
        <f>_xlfn.XLOOKUP(A247,'Team Stats'!$B$2:$B$366,'Team Stats'!$D$2:$D$366)/F247</f>
        <v>1.1227267103798093</v>
      </c>
      <c r="H247">
        <f>_xlfn.XLOOKUP(A247,'Team Stats'!$B$2:$B$366,'Team Stats'!$D$2:$D$366)</f>
        <v>72.599999999999994</v>
      </c>
    </row>
    <row r="248" spans="1:8" ht="15" customHeight="1" x14ac:dyDescent="0.25">
      <c r="A248" t="s">
        <v>342</v>
      </c>
      <c r="B248" s="146">
        <f t="array" ref="B248">_xlfn.XLOOKUP(A248,'Team Stats'!$B$2:$B$366,('Team Stats'!$E$2:$E$366+'Team Stats'!$H$2:$H$366/2)/'Team Stats'!$F$2:$F$366)*100</f>
        <v>51.030927835051557</v>
      </c>
      <c r="C248" s="146">
        <f>_xlfn.XLOOKUP(A248,'Team Stats'!$B$2:$B$366,'Team Stats'!$T$2:$T$366)/( _xlfn.XLOOKUP(A248,'Team Stats'!$B$2:$B$366,'Team Stats'!$T$2:$T$366)+_xlfn.XLOOKUP(A248,'Team Stats'!$B$2:$B$366,'Team Stats'!$F$2:$F$366)+0.44*_xlfn.XLOOKUP(A248,'Team Stats'!$B$2:$B$366,'Team Stats'!$L$2:$L$366)+_xlfn.XLOOKUP(A248,'Team Stats'!$B$2:$B$366,'Team Stats'!$Q$2:$Q$366))*100</f>
        <v>12.807710675986627</v>
      </c>
      <c r="D248" s="146">
        <f>_xlfn.XLOOKUP(A248,'Team Stats'!$B$2:$B$366,'Team Stats'!$N$2:$N$366)/(_xlfn.XLOOKUP(A248,'Team Stats'!$B$2:$B$366,'Team Stats'!$N$2:$N$366)+_xlfn.XLOOKUP(A248,'Opponents stats vs'!$B$2:$B$366,'Opponents stats vs'!$O$2:$O$366))*100</f>
        <v>28.925619834710748</v>
      </c>
      <c r="E248" s="146">
        <f>_xlfn.XLOOKUP(A248,'Team Stats'!$B$2:$B$366,'Team Stats'!$K$2:$K$366)/_xlfn.XLOOKUP(A248,'Team Stats'!$B$2:$B$366,'Team Stats'!$F$2:$F$366)*100</f>
        <v>23.195876288659793</v>
      </c>
      <c r="F248" s="146">
        <f>_xlfn.XLOOKUP(A248,'Team Stats'!$B$2:$B$366,'Team Stats'!$F$2:$F$366)+0.44*_xlfn.XLOOKUP(A248,'Team Stats'!$B$2:$B$366,'Team Stats'!$L$2:$L$366)+_xlfn.XLOOKUP(A248,'Team Stats'!$B$2:$B$366,'Team Stats'!$T$2:$T$366)-_xlfn.XLOOKUP(A248,'Team Stats'!$B$2:$B$366,'Team Stats'!$N$2:$N$366)</f>
        <v>68.432000000000002</v>
      </c>
      <c r="G248">
        <f>_xlfn.XLOOKUP(A248,'Team Stats'!$B$2:$B$366,'Team Stats'!$D$2:$D$366)/F248</f>
        <v>1.0652910918868366</v>
      </c>
      <c r="H248">
        <f>_xlfn.XLOOKUP(A248,'Team Stats'!$B$2:$B$366,'Team Stats'!$D$2:$D$366)</f>
        <v>72.900000000000006</v>
      </c>
    </row>
    <row r="249" spans="1:8" ht="15" customHeight="1" x14ac:dyDescent="0.25">
      <c r="A249" t="s">
        <v>444</v>
      </c>
      <c r="B249" s="146">
        <f t="array" ref="B249">_xlfn.XLOOKUP(A249,'Team Stats'!$B$2:$B$366,('Team Stats'!$E$2:$E$366+'Team Stats'!$H$2:$H$366/2)/'Team Stats'!$F$2:$F$366)*100</f>
        <v>51.684397163120565</v>
      </c>
      <c r="C249" s="146">
        <f>_xlfn.XLOOKUP(A249,'Team Stats'!$B$2:$B$366,'Team Stats'!$T$2:$T$366)/( _xlfn.XLOOKUP(A249,'Team Stats'!$B$2:$B$366,'Team Stats'!$T$2:$T$366)+_xlfn.XLOOKUP(A249,'Team Stats'!$B$2:$B$366,'Team Stats'!$F$2:$F$366)+0.44*_xlfn.XLOOKUP(A249,'Team Stats'!$B$2:$B$366,'Team Stats'!$L$2:$L$366)+_xlfn.XLOOKUP(A249,'Team Stats'!$B$2:$B$366,'Team Stats'!$Q$2:$Q$366))*100</f>
        <v>13.489208633093524</v>
      </c>
      <c r="D249" s="146">
        <f>_xlfn.XLOOKUP(A249,'Team Stats'!$B$2:$B$366,'Team Stats'!$N$2:$N$366)/(_xlfn.XLOOKUP(A249,'Team Stats'!$B$2:$B$366,'Team Stats'!$N$2:$N$366)+_xlfn.XLOOKUP(A249,'Opponents stats vs'!$B$2:$B$366,'Opponents stats vs'!$O$2:$O$366))*100</f>
        <v>31.64179104477612</v>
      </c>
      <c r="E249" s="146">
        <f>_xlfn.XLOOKUP(A249,'Team Stats'!$B$2:$B$366,'Team Stats'!$K$2:$K$366)/_xlfn.XLOOKUP(A249,'Team Stats'!$B$2:$B$366,'Team Stats'!$F$2:$F$366)*100</f>
        <v>26.241134751773053</v>
      </c>
      <c r="F249" s="146">
        <f>_xlfn.XLOOKUP(A249,'Team Stats'!$B$2:$B$366,'Team Stats'!$F$2:$F$366)+0.44*_xlfn.XLOOKUP(A249,'Team Stats'!$B$2:$B$366,'Team Stats'!$L$2:$L$366)+_xlfn.XLOOKUP(A249,'Team Stats'!$B$2:$B$366,'Team Stats'!$T$2:$T$366)-_xlfn.XLOOKUP(A249,'Team Stats'!$B$2:$B$366,'Team Stats'!$N$2:$N$366)</f>
        <v>67.260000000000005</v>
      </c>
      <c r="G249">
        <f>_xlfn.XLOOKUP(A249,'Team Stats'!$B$2:$B$366,'Team Stats'!$D$2:$D$366)/F249</f>
        <v>1.086827237585489</v>
      </c>
      <c r="H249">
        <f>_xlfn.XLOOKUP(A249,'Team Stats'!$B$2:$B$366,'Team Stats'!$D$2:$D$366)</f>
        <v>73.099999999999994</v>
      </c>
    </row>
    <row r="250" spans="1:8" ht="15" customHeight="1" x14ac:dyDescent="0.25">
      <c r="A250" t="s">
        <v>262</v>
      </c>
      <c r="B250" s="146">
        <f t="array" ref="B250">_xlfn.XLOOKUP(A250,'Team Stats'!$B$2:$B$366,('Team Stats'!$E$2:$E$366+'Team Stats'!$H$2:$H$366/2)/'Team Stats'!$F$2:$F$366)*100</f>
        <v>51.311188811188813</v>
      </c>
      <c r="C250" s="146">
        <f>_xlfn.XLOOKUP(A250,'Team Stats'!$B$2:$B$366,'Team Stats'!$T$2:$T$366)/( _xlfn.XLOOKUP(A250,'Team Stats'!$B$2:$B$366,'Team Stats'!$T$2:$T$366)+_xlfn.XLOOKUP(A250,'Team Stats'!$B$2:$B$366,'Team Stats'!$F$2:$F$366)+0.44*_xlfn.XLOOKUP(A250,'Team Stats'!$B$2:$B$366,'Team Stats'!$L$2:$L$366)+_xlfn.XLOOKUP(A250,'Team Stats'!$B$2:$B$366,'Team Stats'!$Q$2:$Q$366))*100</f>
        <v>13.748854262144819</v>
      </c>
      <c r="D250" s="146">
        <f>_xlfn.XLOOKUP(A250,'Team Stats'!$B$2:$B$366,'Team Stats'!$N$2:$N$366)/(_xlfn.XLOOKUP(A250,'Team Stats'!$B$2:$B$366,'Team Stats'!$N$2:$N$366)+_xlfn.XLOOKUP(A250,'Opponents stats vs'!$B$2:$B$366,'Opponents stats vs'!$O$2:$O$366))*100</f>
        <v>28.82352941176471</v>
      </c>
      <c r="E250" s="146">
        <f>_xlfn.XLOOKUP(A250,'Team Stats'!$B$2:$B$366,'Team Stats'!$K$2:$K$366)/_xlfn.XLOOKUP(A250,'Team Stats'!$B$2:$B$366,'Team Stats'!$F$2:$F$366)*100</f>
        <v>26.048951048951047</v>
      </c>
      <c r="F250" s="146">
        <f>_xlfn.XLOOKUP(A250,'Team Stats'!$B$2:$B$366,'Team Stats'!$F$2:$F$366)+0.44*_xlfn.XLOOKUP(A250,'Team Stats'!$B$2:$B$366,'Team Stats'!$L$2:$L$366)+_xlfn.XLOOKUP(A250,'Team Stats'!$B$2:$B$366,'Team Stats'!$T$2:$T$366)-_xlfn.XLOOKUP(A250,'Team Stats'!$B$2:$B$366,'Team Stats'!$N$2:$N$366)</f>
        <v>68.844000000000008</v>
      </c>
      <c r="G250">
        <f>_xlfn.XLOOKUP(A250,'Team Stats'!$B$2:$B$366,'Team Stats'!$D$2:$D$366)/F250</f>
        <v>1.0690837255243737</v>
      </c>
      <c r="H250">
        <f>_xlfn.XLOOKUP(A250,'Team Stats'!$B$2:$B$366,'Team Stats'!$D$2:$D$366)</f>
        <v>73.599999999999994</v>
      </c>
    </row>
    <row r="251" spans="1:8" ht="15" customHeight="1" x14ac:dyDescent="0.25">
      <c r="A251" t="s">
        <v>222</v>
      </c>
      <c r="B251" s="146">
        <f t="array" ref="B251">_xlfn.XLOOKUP(A251,'Team Stats'!$B$2:$B$366,('Team Stats'!$E$2:$E$366+'Team Stats'!$H$2:$H$366/2)/'Team Stats'!$F$2:$F$366)*100</f>
        <v>53.923357664233585</v>
      </c>
      <c r="C251" s="146">
        <f>_xlfn.XLOOKUP(A251,'Team Stats'!$B$2:$B$366,'Team Stats'!$T$2:$T$366)/( _xlfn.XLOOKUP(A251,'Team Stats'!$B$2:$B$366,'Team Stats'!$T$2:$T$366)+_xlfn.XLOOKUP(A251,'Team Stats'!$B$2:$B$366,'Team Stats'!$F$2:$F$366)+0.44*_xlfn.XLOOKUP(A251,'Team Stats'!$B$2:$B$366,'Team Stats'!$L$2:$L$366)+_xlfn.XLOOKUP(A251,'Team Stats'!$B$2:$B$366,'Team Stats'!$Q$2:$Q$366))*100</f>
        <v>13.441467491980299</v>
      </c>
      <c r="D251" s="146">
        <f>_xlfn.XLOOKUP(A251,'Team Stats'!$B$2:$B$366,'Team Stats'!$N$2:$N$366)/(_xlfn.XLOOKUP(A251,'Team Stats'!$B$2:$B$366,'Team Stats'!$N$2:$N$366)+_xlfn.XLOOKUP(A251,'Opponents stats vs'!$B$2:$B$366,'Opponents stats vs'!$O$2:$O$366))*100</f>
        <v>33.855799373040753</v>
      </c>
      <c r="E251" s="146">
        <f>_xlfn.XLOOKUP(A251,'Team Stats'!$B$2:$B$366,'Team Stats'!$K$2:$K$366)/_xlfn.XLOOKUP(A251,'Team Stats'!$B$2:$B$366,'Team Stats'!$F$2:$F$366)*100</f>
        <v>26.642335766423358</v>
      </c>
      <c r="F251" s="146">
        <f>_xlfn.XLOOKUP(A251,'Team Stats'!$B$2:$B$366,'Team Stats'!$F$2:$F$366)+0.44*_xlfn.XLOOKUP(A251,'Team Stats'!$B$2:$B$366,'Team Stats'!$L$2:$L$366)+_xlfn.XLOOKUP(A251,'Team Stats'!$B$2:$B$366,'Team Stats'!$T$2:$T$366)-_xlfn.XLOOKUP(A251,'Team Stats'!$B$2:$B$366,'Team Stats'!$N$2:$N$366)</f>
        <v>64.832000000000008</v>
      </c>
      <c r="G251">
        <f>_xlfn.XLOOKUP(A251,'Team Stats'!$B$2:$B$366,'Team Stats'!$D$2:$D$366)/F251</f>
        <v>1.136784304047384</v>
      </c>
      <c r="H251">
        <f>_xlfn.XLOOKUP(A251,'Team Stats'!$B$2:$B$366,'Team Stats'!$D$2:$D$366)</f>
        <v>73.7</v>
      </c>
    </row>
    <row r="252" spans="1:8" ht="15" customHeight="1" x14ac:dyDescent="0.25">
      <c r="A252" t="s">
        <v>394</v>
      </c>
      <c r="B252" s="146">
        <f t="array" ref="B252">_xlfn.XLOOKUP(A252,'Team Stats'!$B$2:$B$366,('Team Stats'!$E$2:$E$366+'Team Stats'!$H$2:$H$366/2)/'Team Stats'!$F$2:$F$366)*100</f>
        <v>49.667774086378735</v>
      </c>
      <c r="C252" s="146">
        <f>_xlfn.XLOOKUP(A252,'Team Stats'!$B$2:$B$366,'Team Stats'!$T$2:$T$366)/( _xlfn.XLOOKUP(A252,'Team Stats'!$B$2:$B$366,'Team Stats'!$T$2:$T$366)+_xlfn.XLOOKUP(A252,'Team Stats'!$B$2:$B$366,'Team Stats'!$F$2:$F$366)+0.44*_xlfn.XLOOKUP(A252,'Team Stats'!$B$2:$B$366,'Team Stats'!$L$2:$L$366)+_xlfn.XLOOKUP(A252,'Team Stats'!$B$2:$B$366,'Team Stats'!$Q$2:$Q$366))*100</f>
        <v>12.445095168374817</v>
      </c>
      <c r="D252" s="146">
        <f>_xlfn.XLOOKUP(A252,'Team Stats'!$B$2:$B$366,'Team Stats'!$N$2:$N$366)/(_xlfn.XLOOKUP(A252,'Team Stats'!$B$2:$B$366,'Team Stats'!$N$2:$N$366)+_xlfn.XLOOKUP(A252,'Opponents stats vs'!$B$2:$B$366,'Opponents stats vs'!$O$2:$O$366))*100</f>
        <v>32.681564245810058</v>
      </c>
      <c r="E252" s="146">
        <f>_xlfn.XLOOKUP(A252,'Team Stats'!$B$2:$B$366,'Team Stats'!$K$2:$K$366)/_xlfn.XLOOKUP(A252,'Team Stats'!$B$2:$B$366,'Team Stats'!$F$2:$F$366)*100</f>
        <v>22.425249169435215</v>
      </c>
      <c r="F252" s="146">
        <f>_xlfn.XLOOKUP(A252,'Team Stats'!$B$2:$B$366,'Team Stats'!$F$2:$F$366)+0.44*_xlfn.XLOOKUP(A252,'Team Stats'!$B$2:$B$366,'Team Stats'!$L$2:$L$366)+_xlfn.XLOOKUP(A252,'Team Stats'!$B$2:$B$366,'Team Stats'!$T$2:$T$366)-_xlfn.XLOOKUP(A252,'Team Stats'!$B$2:$B$366,'Team Stats'!$N$2:$N$366)</f>
        <v>68.320000000000007</v>
      </c>
      <c r="G252">
        <f>_xlfn.XLOOKUP(A252,'Team Stats'!$B$2:$B$366,'Team Stats'!$D$2:$D$366)/F252</f>
        <v>1.0714285714285714</v>
      </c>
      <c r="H252">
        <f>_xlfn.XLOOKUP(A252,'Team Stats'!$B$2:$B$366,'Team Stats'!$D$2:$D$366)</f>
        <v>73.2</v>
      </c>
    </row>
    <row r="253" spans="1:8" ht="15" customHeight="1" x14ac:dyDescent="0.25">
      <c r="A253" t="s">
        <v>227</v>
      </c>
      <c r="B253" s="146">
        <f t="array" ref="B253">_xlfn.XLOOKUP(A253,'Team Stats'!$B$2:$B$366,('Team Stats'!$E$2:$E$366+'Team Stats'!$H$2:$H$366/2)/'Team Stats'!$F$2:$F$366)*100</f>
        <v>48.611111111111107</v>
      </c>
      <c r="C253" s="146">
        <f>_xlfn.XLOOKUP(A253,'Team Stats'!$B$2:$B$366,'Team Stats'!$T$2:$T$366)/( _xlfn.XLOOKUP(A253,'Team Stats'!$B$2:$B$366,'Team Stats'!$T$2:$T$366)+_xlfn.XLOOKUP(A253,'Team Stats'!$B$2:$B$366,'Team Stats'!$F$2:$F$366)+0.44*_xlfn.XLOOKUP(A253,'Team Stats'!$B$2:$B$366,'Team Stats'!$L$2:$L$366)+_xlfn.XLOOKUP(A253,'Team Stats'!$B$2:$B$366,'Team Stats'!$Q$2:$Q$366))*100</f>
        <v>11.692036179130818</v>
      </c>
      <c r="D253" s="146">
        <f>_xlfn.XLOOKUP(A253,'Team Stats'!$B$2:$B$366,'Team Stats'!$N$2:$N$366)/(_xlfn.XLOOKUP(A253,'Team Stats'!$B$2:$B$366,'Team Stats'!$N$2:$N$366)+_xlfn.XLOOKUP(A253,'Opponents stats vs'!$B$2:$B$366,'Opponents stats vs'!$O$2:$O$366))*100</f>
        <v>27.415143603133163</v>
      </c>
      <c r="E253" s="146">
        <f>_xlfn.XLOOKUP(A253,'Team Stats'!$B$2:$B$366,'Team Stats'!$K$2:$K$366)/_xlfn.XLOOKUP(A253,'Team Stats'!$B$2:$B$366,'Team Stats'!$F$2:$F$366)*100</f>
        <v>22.549019607843139</v>
      </c>
      <c r="F253" s="146">
        <f>_xlfn.XLOOKUP(A253,'Team Stats'!$B$2:$B$366,'Team Stats'!$F$2:$F$366)+0.44*_xlfn.XLOOKUP(A253,'Team Stats'!$B$2:$B$366,'Team Stats'!$L$2:$L$366)+_xlfn.XLOOKUP(A253,'Team Stats'!$B$2:$B$366,'Team Stats'!$T$2:$T$366)-_xlfn.XLOOKUP(A253,'Team Stats'!$B$2:$B$366,'Team Stats'!$N$2:$N$366)</f>
        <v>69.66</v>
      </c>
      <c r="G253">
        <f>_xlfn.XLOOKUP(A253,'Team Stats'!$B$2:$B$366,'Team Stats'!$D$2:$D$366)/F253</f>
        <v>1.0536893482629919</v>
      </c>
      <c r="H253">
        <f>_xlfn.XLOOKUP(A253,'Team Stats'!$B$2:$B$366,'Team Stats'!$D$2:$D$366)</f>
        <v>73.400000000000006</v>
      </c>
    </row>
    <row r="254" spans="1:8" ht="15" customHeight="1" x14ac:dyDescent="0.25">
      <c r="A254" t="s">
        <v>299</v>
      </c>
      <c r="B254" s="146">
        <f t="array" ref="B254">_xlfn.XLOOKUP(A254,'Team Stats'!$B$2:$B$366,('Team Stats'!$E$2:$E$366+'Team Stats'!$H$2:$H$366/2)/'Team Stats'!$F$2:$F$366)*100</f>
        <v>53.191489361702125</v>
      </c>
      <c r="C254" s="146">
        <f>_xlfn.XLOOKUP(A254,'Team Stats'!$B$2:$B$366,'Team Stats'!$T$2:$T$366)/( _xlfn.XLOOKUP(A254,'Team Stats'!$B$2:$B$366,'Team Stats'!$T$2:$T$366)+_xlfn.XLOOKUP(A254,'Team Stats'!$B$2:$B$366,'Team Stats'!$F$2:$F$366)+0.44*_xlfn.XLOOKUP(A254,'Team Stats'!$B$2:$B$366,'Team Stats'!$L$2:$L$366)+_xlfn.XLOOKUP(A254,'Team Stats'!$B$2:$B$366,'Team Stats'!$Q$2:$Q$366))*100</f>
        <v>13.541483177734721</v>
      </c>
      <c r="D254" s="146">
        <f>_xlfn.XLOOKUP(A254,'Team Stats'!$B$2:$B$366,'Team Stats'!$N$2:$N$366)/(_xlfn.XLOOKUP(A254,'Team Stats'!$B$2:$B$366,'Team Stats'!$N$2:$N$366)+_xlfn.XLOOKUP(A254,'Opponents stats vs'!$B$2:$B$366,'Opponents stats vs'!$O$2:$O$366))*100</f>
        <v>23.241590214067276</v>
      </c>
      <c r="E254" s="146">
        <f>_xlfn.XLOOKUP(A254,'Team Stats'!$B$2:$B$366,'Team Stats'!$K$2:$K$366)/_xlfn.XLOOKUP(A254,'Team Stats'!$B$2:$B$366,'Team Stats'!$F$2:$F$366)*100</f>
        <v>23.226950354609929</v>
      </c>
      <c r="F254" s="146">
        <f>_xlfn.XLOOKUP(A254,'Team Stats'!$B$2:$B$366,'Team Stats'!$F$2:$F$366)+0.44*_xlfn.XLOOKUP(A254,'Team Stats'!$B$2:$B$366,'Team Stats'!$L$2:$L$366)+_xlfn.XLOOKUP(A254,'Team Stats'!$B$2:$B$366,'Team Stats'!$T$2:$T$366)-_xlfn.XLOOKUP(A254,'Team Stats'!$B$2:$B$366,'Team Stats'!$N$2:$N$366)</f>
        <v>68.932000000000002</v>
      </c>
      <c r="G254">
        <f>_xlfn.XLOOKUP(A254,'Team Stats'!$B$2:$B$366,'Team Stats'!$D$2:$D$366)/F254</f>
        <v>1.0604653861776823</v>
      </c>
      <c r="H254">
        <f>_xlfn.XLOOKUP(A254,'Team Stats'!$B$2:$B$366,'Team Stats'!$D$2:$D$366)</f>
        <v>73.099999999999994</v>
      </c>
    </row>
    <row r="255" spans="1:8" ht="15" customHeight="1" x14ac:dyDescent="0.25">
      <c r="A255" t="s">
        <v>298</v>
      </c>
      <c r="B255" s="146">
        <f t="array" ref="B255">_xlfn.XLOOKUP(A255,'Team Stats'!$B$2:$B$366,('Team Stats'!$E$2:$E$366+'Team Stats'!$H$2:$H$366/2)/'Team Stats'!$F$2:$F$366)*100</f>
        <v>52.92504570383911</v>
      </c>
      <c r="C255" s="146">
        <f>_xlfn.XLOOKUP(A255,'Team Stats'!$B$2:$B$366,'Team Stats'!$T$2:$T$366)/( _xlfn.XLOOKUP(A255,'Team Stats'!$B$2:$B$366,'Team Stats'!$T$2:$T$366)+_xlfn.XLOOKUP(A255,'Team Stats'!$B$2:$B$366,'Team Stats'!$F$2:$F$366)+0.44*_xlfn.XLOOKUP(A255,'Team Stats'!$B$2:$B$366,'Team Stats'!$L$2:$L$366)+_xlfn.XLOOKUP(A255,'Team Stats'!$B$2:$B$366,'Team Stats'!$Q$2:$Q$366))*100</f>
        <v>14.444541714085613</v>
      </c>
      <c r="D255" s="146">
        <f>_xlfn.XLOOKUP(A255,'Team Stats'!$B$2:$B$366,'Team Stats'!$N$2:$N$366)/(_xlfn.XLOOKUP(A255,'Team Stats'!$B$2:$B$366,'Team Stats'!$N$2:$N$366)+_xlfn.XLOOKUP(A255,'Opponents stats vs'!$B$2:$B$366,'Opponents stats vs'!$O$2:$O$366))*100</f>
        <v>25.460122699386506</v>
      </c>
      <c r="E255" s="146">
        <f>_xlfn.XLOOKUP(A255,'Team Stats'!$B$2:$B$366,'Team Stats'!$K$2:$K$366)/_xlfn.XLOOKUP(A255,'Team Stats'!$B$2:$B$366,'Team Stats'!$F$2:$F$366)*100</f>
        <v>27.787934186471663</v>
      </c>
      <c r="F255" s="146">
        <f>_xlfn.XLOOKUP(A255,'Team Stats'!$B$2:$B$366,'Team Stats'!$F$2:$F$366)+0.44*_xlfn.XLOOKUP(A255,'Team Stats'!$B$2:$B$366,'Team Stats'!$L$2:$L$366)+_xlfn.XLOOKUP(A255,'Team Stats'!$B$2:$B$366,'Team Stats'!$T$2:$T$366)-_xlfn.XLOOKUP(A255,'Team Stats'!$B$2:$B$366,'Team Stats'!$N$2:$N$366)</f>
        <v>68.884</v>
      </c>
      <c r="G255">
        <f>_xlfn.XLOOKUP(A255,'Team Stats'!$B$2:$B$366,'Team Stats'!$D$2:$D$366)/F255</f>
        <v>1.05975262760583</v>
      </c>
      <c r="H255">
        <f>_xlfn.XLOOKUP(A255,'Team Stats'!$B$2:$B$366,'Team Stats'!$D$2:$D$366)</f>
        <v>73</v>
      </c>
    </row>
    <row r="256" spans="1:8" ht="15" customHeight="1" x14ac:dyDescent="0.25">
      <c r="A256" t="s">
        <v>415</v>
      </c>
      <c r="B256" s="146">
        <f t="array" ref="B256">_xlfn.XLOOKUP(A256,'Team Stats'!$B$2:$B$366,('Team Stats'!$E$2:$E$366+'Team Stats'!$H$2:$H$366/2)/'Team Stats'!$F$2:$F$366)*100</f>
        <v>49.648506151142357</v>
      </c>
      <c r="C256" s="146">
        <f>_xlfn.XLOOKUP(A256,'Team Stats'!$B$2:$B$366,'Team Stats'!$T$2:$T$366)/( _xlfn.XLOOKUP(A256,'Team Stats'!$B$2:$B$366,'Team Stats'!$T$2:$T$366)+_xlfn.XLOOKUP(A256,'Team Stats'!$B$2:$B$366,'Team Stats'!$F$2:$F$366)+0.44*_xlfn.XLOOKUP(A256,'Team Stats'!$B$2:$B$366,'Team Stats'!$L$2:$L$366)+_xlfn.XLOOKUP(A256,'Team Stats'!$B$2:$B$366,'Team Stats'!$Q$2:$Q$366))*100</f>
        <v>14.178716772014891</v>
      </c>
      <c r="D256" s="146">
        <f>_xlfn.XLOOKUP(A256,'Team Stats'!$B$2:$B$366,'Team Stats'!$N$2:$N$366)/(_xlfn.XLOOKUP(A256,'Team Stats'!$B$2:$B$366,'Team Stats'!$N$2:$N$366)+_xlfn.XLOOKUP(A256,'Opponents stats vs'!$B$2:$B$366,'Opponents stats vs'!$O$2:$O$366))*100</f>
        <v>31.976744186046513</v>
      </c>
      <c r="E256" s="146">
        <f>_xlfn.XLOOKUP(A256,'Team Stats'!$B$2:$B$366,'Team Stats'!$K$2:$K$366)/_xlfn.XLOOKUP(A256,'Team Stats'!$B$2:$B$366,'Team Stats'!$F$2:$F$366)*100</f>
        <v>31.282952548330407</v>
      </c>
      <c r="F256" s="146">
        <f>_xlfn.XLOOKUP(A256,'Team Stats'!$B$2:$B$366,'Team Stats'!$F$2:$F$366)+0.44*_xlfn.XLOOKUP(A256,'Team Stats'!$B$2:$B$366,'Team Stats'!$L$2:$L$366)+_xlfn.XLOOKUP(A256,'Team Stats'!$B$2:$B$366,'Team Stats'!$T$2:$T$366)-_xlfn.XLOOKUP(A256,'Team Stats'!$B$2:$B$366,'Team Stats'!$N$2:$N$366)</f>
        <v>69.691999999999993</v>
      </c>
      <c r="G256">
        <f>_xlfn.XLOOKUP(A256,'Team Stats'!$B$2:$B$366,'Team Stats'!$D$2:$D$366)/F256</f>
        <v>1.0661194972163233</v>
      </c>
      <c r="H256">
        <f>_xlfn.XLOOKUP(A256,'Team Stats'!$B$2:$B$366,'Team Stats'!$D$2:$D$366)</f>
        <v>74.3</v>
      </c>
    </row>
    <row r="257" spans="1:8" ht="15" customHeight="1" x14ac:dyDescent="0.25">
      <c r="A257" t="s">
        <v>427</v>
      </c>
      <c r="B257" s="146">
        <f t="array" ref="B257">_xlfn.XLOOKUP(A257,'Team Stats'!$B$2:$B$366,('Team Stats'!$E$2:$E$366+'Team Stats'!$H$2:$H$366/2)/'Team Stats'!$F$2:$F$366)*100</f>
        <v>50.881834215167544</v>
      </c>
      <c r="C257" s="146">
        <f>_xlfn.XLOOKUP(A257,'Team Stats'!$B$2:$B$366,'Team Stats'!$T$2:$T$366)/( _xlfn.XLOOKUP(A257,'Team Stats'!$B$2:$B$366,'Team Stats'!$T$2:$T$366)+_xlfn.XLOOKUP(A257,'Team Stats'!$B$2:$B$366,'Team Stats'!$F$2:$F$366)+0.44*_xlfn.XLOOKUP(A257,'Team Stats'!$B$2:$B$366,'Team Stats'!$L$2:$L$366)+_xlfn.XLOOKUP(A257,'Team Stats'!$B$2:$B$366,'Team Stats'!$Q$2:$Q$366))*100</f>
        <v>14.000172309813044</v>
      </c>
      <c r="D257" s="146">
        <f>_xlfn.XLOOKUP(A257,'Team Stats'!$B$2:$B$366,'Team Stats'!$N$2:$N$366)/(_xlfn.XLOOKUP(A257,'Team Stats'!$B$2:$B$366,'Team Stats'!$N$2:$N$366)+_xlfn.XLOOKUP(A257,'Opponents stats vs'!$B$2:$B$366,'Opponents stats vs'!$O$2:$O$366))*100</f>
        <v>32.853025936599423</v>
      </c>
      <c r="E257" s="146">
        <f>_xlfn.XLOOKUP(A257,'Team Stats'!$B$2:$B$366,'Team Stats'!$K$2:$K$366)/_xlfn.XLOOKUP(A257,'Team Stats'!$B$2:$B$366,'Team Stats'!$F$2:$F$366)*100</f>
        <v>26.807760141093475</v>
      </c>
      <c r="F257" s="146">
        <f>_xlfn.XLOOKUP(A257,'Team Stats'!$B$2:$B$366,'Team Stats'!$F$2:$F$366)+0.44*_xlfn.XLOOKUP(A257,'Team Stats'!$B$2:$B$366,'Team Stats'!$L$2:$L$366)+_xlfn.XLOOKUP(A257,'Team Stats'!$B$2:$B$366,'Team Stats'!$T$2:$T$366)-_xlfn.XLOOKUP(A257,'Team Stats'!$B$2:$B$366,'Team Stats'!$N$2:$N$366)</f>
        <v>68.155999999999992</v>
      </c>
      <c r="G257">
        <f>_xlfn.XLOOKUP(A257,'Team Stats'!$B$2:$B$366,'Team Stats'!$D$2:$D$366)/F257</f>
        <v>1.0696050237690007</v>
      </c>
      <c r="H257">
        <f>_xlfn.XLOOKUP(A257,'Team Stats'!$B$2:$B$366,'Team Stats'!$D$2:$D$366)</f>
        <v>72.900000000000006</v>
      </c>
    </row>
    <row r="258" spans="1:8" ht="15" customHeight="1" x14ac:dyDescent="0.25">
      <c r="A258" t="s">
        <v>285</v>
      </c>
      <c r="B258" s="146">
        <f t="array" ref="B258">_xlfn.XLOOKUP(A258,'Team Stats'!$B$2:$B$366,('Team Stats'!$E$2:$E$366+'Team Stats'!$H$2:$H$366/2)/'Team Stats'!$F$2:$F$366)*100</f>
        <v>51.939291736930862</v>
      </c>
      <c r="C258" s="146">
        <f>_xlfn.XLOOKUP(A258,'Team Stats'!$B$2:$B$366,'Team Stats'!$T$2:$T$366)/( _xlfn.XLOOKUP(A258,'Team Stats'!$B$2:$B$366,'Team Stats'!$T$2:$T$366)+_xlfn.XLOOKUP(A258,'Team Stats'!$B$2:$B$366,'Team Stats'!$F$2:$F$366)+0.44*_xlfn.XLOOKUP(A258,'Team Stats'!$B$2:$B$366,'Team Stats'!$L$2:$L$366)+_xlfn.XLOOKUP(A258,'Team Stats'!$B$2:$B$366,'Team Stats'!$Q$2:$Q$366))*100</f>
        <v>12.909333448082963</v>
      </c>
      <c r="D258" s="146">
        <f>_xlfn.XLOOKUP(A258,'Team Stats'!$B$2:$B$366,'Team Stats'!$N$2:$N$366)/(_xlfn.XLOOKUP(A258,'Team Stats'!$B$2:$B$366,'Team Stats'!$N$2:$N$366)+_xlfn.XLOOKUP(A258,'Opponents stats vs'!$B$2:$B$366,'Opponents stats vs'!$O$2:$O$366))*100</f>
        <v>27.731092436974791</v>
      </c>
      <c r="E258" s="146">
        <f>_xlfn.XLOOKUP(A258,'Team Stats'!$B$2:$B$366,'Team Stats'!$K$2:$K$366)/_xlfn.XLOOKUP(A258,'Team Stats'!$B$2:$B$366,'Team Stats'!$F$2:$F$366)*100</f>
        <v>20.741989881956158</v>
      </c>
      <c r="F258" s="146">
        <f>_xlfn.XLOOKUP(A258,'Team Stats'!$B$2:$B$366,'Team Stats'!$F$2:$F$366)+0.44*_xlfn.XLOOKUP(A258,'Team Stats'!$B$2:$B$366,'Team Stats'!$L$2:$L$366)+_xlfn.XLOOKUP(A258,'Team Stats'!$B$2:$B$366,'Team Stats'!$T$2:$T$366)-_xlfn.XLOOKUP(A258,'Team Stats'!$B$2:$B$366,'Team Stats'!$N$2:$N$366)</f>
        <v>69.055999999999997</v>
      </c>
      <c r="G258">
        <f>_xlfn.XLOOKUP(A258,'Team Stats'!$B$2:$B$366,'Team Stats'!$D$2:$D$366)/F258</f>
        <v>1.0686978683966635</v>
      </c>
      <c r="H258">
        <f>_xlfn.XLOOKUP(A258,'Team Stats'!$B$2:$B$366,'Team Stats'!$D$2:$D$366)</f>
        <v>73.8</v>
      </c>
    </row>
    <row r="259" spans="1:8" ht="15" customHeight="1" x14ac:dyDescent="0.25">
      <c r="A259" t="s">
        <v>65</v>
      </c>
      <c r="B259" s="146">
        <f t="array" ref="B259">_xlfn.XLOOKUP(A259,'Team Stats'!$B$2:$B$366,('Team Stats'!$E$2:$E$366+'Team Stats'!$H$2:$H$366/2)/'Team Stats'!$F$2:$F$366)*100</f>
        <v>53.397212543554005</v>
      </c>
      <c r="C259" s="146">
        <f>_xlfn.XLOOKUP(A259,'Team Stats'!$B$2:$B$366,'Team Stats'!$T$2:$T$366)/( _xlfn.XLOOKUP(A259,'Team Stats'!$B$2:$B$366,'Team Stats'!$T$2:$T$366)+_xlfn.XLOOKUP(A259,'Team Stats'!$B$2:$B$366,'Team Stats'!$F$2:$F$366)+0.44*_xlfn.XLOOKUP(A259,'Team Stats'!$B$2:$B$366,'Team Stats'!$L$2:$L$366)+_xlfn.XLOOKUP(A259,'Team Stats'!$B$2:$B$366,'Team Stats'!$Q$2:$Q$366))*100</f>
        <v>14.38756227452328</v>
      </c>
      <c r="D259" s="146">
        <f>_xlfn.XLOOKUP(A259,'Team Stats'!$B$2:$B$366,'Team Stats'!$N$2:$N$366)/(_xlfn.XLOOKUP(A259,'Team Stats'!$B$2:$B$366,'Team Stats'!$N$2:$N$366)+_xlfn.XLOOKUP(A259,'Opponents stats vs'!$B$2:$B$366,'Opponents stats vs'!$O$2:$O$366))*100</f>
        <v>34.939759036144572</v>
      </c>
      <c r="E259" s="146">
        <f>_xlfn.XLOOKUP(A259,'Team Stats'!$B$2:$B$366,'Team Stats'!$K$2:$K$366)/_xlfn.XLOOKUP(A259,'Team Stats'!$B$2:$B$366,'Team Stats'!$F$2:$F$366)*100</f>
        <v>22.648083623693381</v>
      </c>
      <c r="F259" s="146">
        <f>_xlfn.XLOOKUP(A259,'Team Stats'!$B$2:$B$366,'Team Stats'!$F$2:$F$366)+0.44*_xlfn.XLOOKUP(A259,'Team Stats'!$B$2:$B$366,'Team Stats'!$L$2:$L$366)+_xlfn.XLOOKUP(A259,'Team Stats'!$B$2:$B$366,'Team Stats'!$T$2:$T$366)-_xlfn.XLOOKUP(A259,'Team Stats'!$B$2:$B$366,'Team Stats'!$N$2:$N$366)</f>
        <v>67.736000000000004</v>
      </c>
      <c r="G259">
        <f>_xlfn.XLOOKUP(A259,'Team Stats'!$B$2:$B$366,'Team Stats'!$D$2:$D$366)/F259</f>
        <v>1.0969056336364709</v>
      </c>
      <c r="H259">
        <f>_xlfn.XLOOKUP(A259,'Team Stats'!$B$2:$B$366,'Team Stats'!$D$2:$D$366)</f>
        <v>74.3</v>
      </c>
    </row>
    <row r="260" spans="1:8" ht="15" customHeight="1" x14ac:dyDescent="0.25">
      <c r="A260" t="s">
        <v>213</v>
      </c>
      <c r="B260" s="146">
        <f t="array" ref="B260">_xlfn.XLOOKUP(A260,'Team Stats'!$B$2:$B$366,('Team Stats'!$E$2:$E$366+'Team Stats'!$H$2:$H$366/2)/'Team Stats'!$F$2:$F$366)*100</f>
        <v>48.057432432432428</v>
      </c>
      <c r="C260" s="146">
        <f>_xlfn.XLOOKUP(A260,'Team Stats'!$B$2:$B$366,'Team Stats'!$T$2:$T$366)/( _xlfn.XLOOKUP(A260,'Team Stats'!$B$2:$B$366,'Team Stats'!$T$2:$T$366)+_xlfn.XLOOKUP(A260,'Team Stats'!$B$2:$B$366,'Team Stats'!$F$2:$F$366)+0.44*_xlfn.XLOOKUP(A260,'Team Stats'!$B$2:$B$366,'Team Stats'!$L$2:$L$366)+_xlfn.XLOOKUP(A260,'Team Stats'!$B$2:$B$366,'Team Stats'!$Q$2:$Q$366))*100</f>
        <v>13.533571989871648</v>
      </c>
      <c r="D260" s="146">
        <f>_xlfn.XLOOKUP(A260,'Team Stats'!$B$2:$B$366,'Team Stats'!$N$2:$N$366)/(_xlfn.XLOOKUP(A260,'Team Stats'!$B$2:$B$366,'Team Stats'!$N$2:$N$366)+_xlfn.XLOOKUP(A260,'Opponents stats vs'!$B$2:$B$366,'Opponents stats vs'!$O$2:$O$366))*100</f>
        <v>38.274932614555262</v>
      </c>
      <c r="E260" s="146">
        <f>_xlfn.XLOOKUP(A260,'Team Stats'!$B$2:$B$366,'Team Stats'!$K$2:$K$366)/_xlfn.XLOOKUP(A260,'Team Stats'!$B$2:$B$366,'Team Stats'!$F$2:$F$366)*100</f>
        <v>26.689189189189189</v>
      </c>
      <c r="F260" s="146">
        <f>_xlfn.XLOOKUP(A260,'Team Stats'!$B$2:$B$366,'Team Stats'!$F$2:$F$366)+0.44*_xlfn.XLOOKUP(A260,'Team Stats'!$B$2:$B$366,'Team Stats'!$L$2:$L$366)+_xlfn.XLOOKUP(A260,'Team Stats'!$B$2:$B$366,'Team Stats'!$T$2:$T$366)-_xlfn.XLOOKUP(A260,'Team Stats'!$B$2:$B$366,'Team Stats'!$N$2:$N$366)</f>
        <v>67.124000000000009</v>
      </c>
      <c r="G260">
        <f>_xlfn.XLOOKUP(A260,'Team Stats'!$B$2:$B$366,'Team Stats'!$D$2:$D$366)/F260</f>
        <v>1.0815803587390498</v>
      </c>
      <c r="H260">
        <f>_xlfn.XLOOKUP(A260,'Team Stats'!$B$2:$B$366,'Team Stats'!$D$2:$D$366)</f>
        <v>72.599999999999994</v>
      </c>
    </row>
    <row r="261" spans="1:8" ht="15" customHeight="1" x14ac:dyDescent="0.25">
      <c r="A261" t="s">
        <v>420</v>
      </c>
      <c r="B261" s="146">
        <f t="array" ref="B261">_xlfn.XLOOKUP(A261,'Team Stats'!$B$2:$B$366,('Team Stats'!$E$2:$E$366+'Team Stats'!$H$2:$H$366/2)/'Team Stats'!$F$2:$F$366)*100</f>
        <v>53.9612676056338</v>
      </c>
      <c r="C261" s="146">
        <f>_xlfn.XLOOKUP(A261,'Team Stats'!$B$2:$B$366,'Team Stats'!$T$2:$T$366)/( _xlfn.XLOOKUP(A261,'Team Stats'!$B$2:$B$366,'Team Stats'!$T$2:$T$366)+_xlfn.XLOOKUP(A261,'Team Stats'!$B$2:$B$366,'Team Stats'!$F$2:$F$366)+0.44*_xlfn.XLOOKUP(A261,'Team Stats'!$B$2:$B$366,'Team Stats'!$L$2:$L$366)+_xlfn.XLOOKUP(A261,'Team Stats'!$B$2:$B$366,'Team Stats'!$Q$2:$Q$366))*100</f>
        <v>13.531509085441815</v>
      </c>
      <c r="D261" s="146">
        <f>_xlfn.XLOOKUP(A261,'Team Stats'!$B$2:$B$366,'Team Stats'!$N$2:$N$366)/(_xlfn.XLOOKUP(A261,'Team Stats'!$B$2:$B$366,'Team Stats'!$N$2:$N$366)+_xlfn.XLOOKUP(A261,'Opponents stats vs'!$B$2:$B$366,'Opponents stats vs'!$O$2:$O$366))*100</f>
        <v>28.52941176470588</v>
      </c>
      <c r="E261" s="146">
        <f>_xlfn.XLOOKUP(A261,'Team Stats'!$B$2:$B$366,'Team Stats'!$K$2:$K$366)/_xlfn.XLOOKUP(A261,'Team Stats'!$B$2:$B$366,'Team Stats'!$F$2:$F$366)*100</f>
        <v>22.535211267605636</v>
      </c>
      <c r="F261" s="146">
        <f>_xlfn.XLOOKUP(A261,'Team Stats'!$B$2:$B$366,'Team Stats'!$F$2:$F$366)+0.44*_xlfn.XLOOKUP(A261,'Team Stats'!$B$2:$B$366,'Team Stats'!$L$2:$L$366)+_xlfn.XLOOKUP(A261,'Team Stats'!$B$2:$B$366,'Team Stats'!$T$2:$T$366)-_xlfn.XLOOKUP(A261,'Team Stats'!$B$2:$B$366,'Team Stats'!$N$2:$N$366)</f>
        <v>68.015999999999991</v>
      </c>
      <c r="G261">
        <f>_xlfn.XLOOKUP(A261,'Team Stats'!$B$2:$B$366,'Team Stats'!$D$2:$D$366)/F261</f>
        <v>1.0894495412844036</v>
      </c>
      <c r="H261">
        <f>_xlfn.XLOOKUP(A261,'Team Stats'!$B$2:$B$366,'Team Stats'!$D$2:$D$366)</f>
        <v>74.099999999999994</v>
      </c>
    </row>
    <row r="262" spans="1:8" ht="15" customHeight="1" x14ac:dyDescent="0.25">
      <c r="A262" t="s">
        <v>433</v>
      </c>
      <c r="B262" s="146">
        <f t="array" ref="B262">_xlfn.XLOOKUP(A262,'Team Stats'!$B$2:$B$366,('Team Stats'!$E$2:$E$366+'Team Stats'!$H$2:$H$366/2)/'Team Stats'!$F$2:$F$366)*100</f>
        <v>49.814471243042675</v>
      </c>
      <c r="C262" s="146">
        <f>_xlfn.XLOOKUP(A262,'Team Stats'!$B$2:$B$366,'Team Stats'!$T$2:$T$366)/( _xlfn.XLOOKUP(A262,'Team Stats'!$B$2:$B$366,'Team Stats'!$T$2:$T$366)+_xlfn.XLOOKUP(A262,'Team Stats'!$B$2:$B$366,'Team Stats'!$F$2:$F$366)+0.44*_xlfn.XLOOKUP(A262,'Team Stats'!$B$2:$B$366,'Team Stats'!$L$2:$L$366)+_xlfn.XLOOKUP(A262,'Team Stats'!$B$2:$B$366,'Team Stats'!$Q$2:$Q$366))*100</f>
        <v>12.441187115454214</v>
      </c>
      <c r="D262" s="146">
        <f>_xlfn.XLOOKUP(A262,'Team Stats'!$B$2:$B$366,'Team Stats'!$N$2:$N$366)/(_xlfn.XLOOKUP(A262,'Team Stats'!$B$2:$B$366,'Team Stats'!$N$2:$N$366)+_xlfn.XLOOKUP(A262,'Opponents stats vs'!$B$2:$B$366,'Opponents stats vs'!$O$2:$O$366))*100</f>
        <v>22.352941176470587</v>
      </c>
      <c r="E262" s="146">
        <f>_xlfn.XLOOKUP(A262,'Team Stats'!$B$2:$B$366,'Team Stats'!$K$2:$K$366)/_xlfn.XLOOKUP(A262,'Team Stats'!$B$2:$B$366,'Team Stats'!$F$2:$F$366)*100</f>
        <v>33.580705009276443</v>
      </c>
      <c r="F262" s="146">
        <f>_xlfn.XLOOKUP(A262,'Team Stats'!$B$2:$B$366,'Team Stats'!$F$2:$F$366)+0.44*_xlfn.XLOOKUP(A262,'Team Stats'!$B$2:$B$366,'Team Stats'!$L$2:$L$366)+_xlfn.XLOOKUP(A262,'Team Stats'!$B$2:$B$366,'Team Stats'!$T$2:$T$366)-_xlfn.XLOOKUP(A262,'Team Stats'!$B$2:$B$366,'Team Stats'!$N$2:$N$366)</f>
        <v>67.816000000000003</v>
      </c>
      <c r="G262">
        <f>_xlfn.XLOOKUP(A262,'Team Stats'!$B$2:$B$366,'Team Stats'!$D$2:$D$366)/F262</f>
        <v>1.0587471983012857</v>
      </c>
      <c r="H262">
        <f>_xlfn.XLOOKUP(A262,'Team Stats'!$B$2:$B$366,'Team Stats'!$D$2:$D$366)</f>
        <v>71.8</v>
      </c>
    </row>
    <row r="263" spans="1:8" ht="15" customHeight="1" x14ac:dyDescent="0.25">
      <c r="A263" t="s">
        <v>288</v>
      </c>
      <c r="B263" s="146">
        <f t="array" ref="B263">_xlfn.XLOOKUP(A263,'Team Stats'!$B$2:$B$366,('Team Stats'!$E$2:$E$366+'Team Stats'!$H$2:$H$366/2)/'Team Stats'!$F$2:$F$366)*100</f>
        <v>50.894454382826467</v>
      </c>
      <c r="C263" s="146">
        <f>_xlfn.XLOOKUP(A263,'Team Stats'!$B$2:$B$366,'Team Stats'!$T$2:$T$366)/( _xlfn.XLOOKUP(A263,'Team Stats'!$B$2:$B$366,'Team Stats'!$T$2:$T$366)+_xlfn.XLOOKUP(A263,'Team Stats'!$B$2:$B$366,'Team Stats'!$F$2:$F$366)+0.44*_xlfn.XLOOKUP(A263,'Team Stats'!$B$2:$B$366,'Team Stats'!$L$2:$L$366)+_xlfn.XLOOKUP(A263,'Team Stats'!$B$2:$B$366,'Team Stats'!$Q$2:$Q$366))*100</f>
        <v>12.573437778173401</v>
      </c>
      <c r="D263" s="146">
        <f>_xlfn.XLOOKUP(A263,'Team Stats'!$B$2:$B$366,'Team Stats'!$N$2:$N$366)/(_xlfn.XLOOKUP(A263,'Team Stats'!$B$2:$B$366,'Team Stats'!$N$2:$N$366)+_xlfn.XLOOKUP(A263,'Opponents stats vs'!$B$2:$B$366,'Opponents stats vs'!$O$2:$O$366))*100</f>
        <v>31.805157593123212</v>
      </c>
      <c r="E263" s="146">
        <f>_xlfn.XLOOKUP(A263,'Team Stats'!$B$2:$B$366,'Team Stats'!$K$2:$K$366)/_xlfn.XLOOKUP(A263,'Team Stats'!$B$2:$B$366,'Team Stats'!$F$2:$F$366)*100</f>
        <v>29.159212880143116</v>
      </c>
      <c r="F263" s="146">
        <f>_xlfn.XLOOKUP(A263,'Team Stats'!$B$2:$B$366,'Team Stats'!$F$2:$F$366)+0.44*_xlfn.XLOOKUP(A263,'Team Stats'!$B$2:$B$366,'Team Stats'!$L$2:$L$366)+_xlfn.XLOOKUP(A263,'Team Stats'!$B$2:$B$366,'Team Stats'!$T$2:$T$366)-_xlfn.XLOOKUP(A263,'Team Stats'!$B$2:$B$366,'Team Stats'!$N$2:$N$366)</f>
        <v>66.572000000000003</v>
      </c>
      <c r="G263">
        <f>_xlfn.XLOOKUP(A263,'Team Stats'!$B$2:$B$366,'Team Stats'!$D$2:$D$366)/F263</f>
        <v>1.1010635101844619</v>
      </c>
      <c r="H263">
        <f>_xlfn.XLOOKUP(A263,'Team Stats'!$B$2:$B$366,'Team Stats'!$D$2:$D$366)</f>
        <v>73.3</v>
      </c>
    </row>
    <row r="264" spans="1:8" ht="15" customHeight="1" x14ac:dyDescent="0.25">
      <c r="A264" t="s">
        <v>351</v>
      </c>
      <c r="B264" s="146">
        <f t="array" ref="B264">_xlfn.XLOOKUP(A264,'Team Stats'!$B$2:$B$366,('Team Stats'!$E$2:$E$366+'Team Stats'!$H$2:$H$366/2)/'Team Stats'!$F$2:$F$366)*100</f>
        <v>53.526220614828212</v>
      </c>
      <c r="C264" s="146">
        <f>_xlfn.XLOOKUP(A264,'Team Stats'!$B$2:$B$366,'Team Stats'!$T$2:$T$366)/( _xlfn.XLOOKUP(A264,'Team Stats'!$B$2:$B$366,'Team Stats'!$T$2:$T$366)+_xlfn.XLOOKUP(A264,'Team Stats'!$B$2:$B$366,'Team Stats'!$F$2:$F$366)+0.44*_xlfn.XLOOKUP(A264,'Team Stats'!$B$2:$B$366,'Team Stats'!$L$2:$L$366)+_xlfn.XLOOKUP(A264,'Team Stats'!$B$2:$B$366,'Team Stats'!$Q$2:$Q$366))*100</f>
        <v>12.067855829349027</v>
      </c>
      <c r="D264" s="146">
        <f>_xlfn.XLOOKUP(A264,'Team Stats'!$B$2:$B$366,'Team Stats'!$N$2:$N$366)/(_xlfn.XLOOKUP(A264,'Team Stats'!$B$2:$B$366,'Team Stats'!$N$2:$N$366)+_xlfn.XLOOKUP(A264,'Opponents stats vs'!$B$2:$B$366,'Opponents stats vs'!$O$2:$O$366))*100</f>
        <v>24.390243902439028</v>
      </c>
      <c r="E264" s="146">
        <f>_xlfn.XLOOKUP(A264,'Team Stats'!$B$2:$B$366,'Team Stats'!$K$2:$K$366)/_xlfn.XLOOKUP(A264,'Team Stats'!$B$2:$B$366,'Team Stats'!$F$2:$F$366)*100</f>
        <v>22.423146473779386</v>
      </c>
      <c r="F264" s="146">
        <f>_xlfn.XLOOKUP(A264,'Team Stats'!$B$2:$B$366,'Team Stats'!$F$2:$F$366)+0.44*_xlfn.XLOOKUP(A264,'Team Stats'!$B$2:$B$366,'Team Stats'!$L$2:$L$366)+_xlfn.XLOOKUP(A264,'Team Stats'!$B$2:$B$366,'Team Stats'!$T$2:$T$366)-_xlfn.XLOOKUP(A264,'Team Stats'!$B$2:$B$366,'Team Stats'!$N$2:$N$366)</f>
        <v>65.807999999999993</v>
      </c>
      <c r="G264">
        <f>_xlfn.XLOOKUP(A264,'Team Stats'!$B$2:$B$366,'Team Stats'!$D$2:$D$366)/F264</f>
        <v>1.0864940432774133</v>
      </c>
      <c r="H264">
        <f>_xlfn.XLOOKUP(A264,'Team Stats'!$B$2:$B$366,'Team Stats'!$D$2:$D$366)</f>
        <v>71.5</v>
      </c>
    </row>
    <row r="265" spans="1:8" ht="15" customHeight="1" x14ac:dyDescent="0.25">
      <c r="A265" t="s">
        <v>328</v>
      </c>
      <c r="B265" s="146">
        <f t="array" ref="B265">_xlfn.XLOOKUP(A265,'Team Stats'!$B$2:$B$366,('Team Stats'!$E$2:$E$366+'Team Stats'!$H$2:$H$366/2)/'Team Stats'!$F$2:$F$366)*100</f>
        <v>50</v>
      </c>
      <c r="C265" s="146">
        <f>_xlfn.XLOOKUP(A265,'Team Stats'!$B$2:$B$366,'Team Stats'!$T$2:$T$366)/( _xlfn.XLOOKUP(A265,'Team Stats'!$B$2:$B$366,'Team Stats'!$T$2:$T$366)+_xlfn.XLOOKUP(A265,'Team Stats'!$B$2:$B$366,'Team Stats'!$F$2:$F$366)+0.44*_xlfn.XLOOKUP(A265,'Team Stats'!$B$2:$B$366,'Team Stats'!$L$2:$L$366)+_xlfn.XLOOKUP(A265,'Team Stats'!$B$2:$B$366,'Team Stats'!$Q$2:$Q$366))*100</f>
        <v>12.384234331251347</v>
      </c>
      <c r="D265" s="146">
        <f>_xlfn.XLOOKUP(A265,'Team Stats'!$B$2:$B$366,'Team Stats'!$N$2:$N$366)/(_xlfn.XLOOKUP(A265,'Team Stats'!$B$2:$B$366,'Team Stats'!$N$2:$N$366)+_xlfn.XLOOKUP(A265,'Opponents stats vs'!$B$2:$B$366,'Opponents stats vs'!$O$2:$O$366))*100</f>
        <v>32.203389830508478</v>
      </c>
      <c r="E265" s="146">
        <f>_xlfn.XLOOKUP(A265,'Team Stats'!$B$2:$B$366,'Team Stats'!$K$2:$K$366)/_xlfn.XLOOKUP(A265,'Team Stats'!$B$2:$B$366,'Team Stats'!$F$2:$F$366)*100</f>
        <v>23.938879456706282</v>
      </c>
      <c r="F265" s="146">
        <f>_xlfn.XLOOKUP(A265,'Team Stats'!$B$2:$B$366,'Team Stats'!$F$2:$F$366)+0.44*_xlfn.XLOOKUP(A265,'Team Stats'!$B$2:$B$366,'Team Stats'!$L$2:$L$366)+_xlfn.XLOOKUP(A265,'Team Stats'!$B$2:$B$366,'Team Stats'!$T$2:$T$366)-_xlfn.XLOOKUP(A265,'Team Stats'!$B$2:$B$366,'Team Stats'!$N$2:$N$366)</f>
        <v>67.359999999999985</v>
      </c>
      <c r="G265">
        <f>_xlfn.XLOOKUP(A265,'Team Stats'!$B$2:$B$366,'Team Stats'!$D$2:$D$366)/F265</f>
        <v>1.0837292161520193</v>
      </c>
      <c r="H265">
        <f>_xlfn.XLOOKUP(A265,'Team Stats'!$B$2:$B$366,'Team Stats'!$D$2:$D$366)</f>
        <v>73</v>
      </c>
    </row>
    <row r="266" spans="1:8" ht="15" customHeight="1" x14ac:dyDescent="0.25">
      <c r="A266" t="s">
        <v>402</v>
      </c>
      <c r="B266" s="146">
        <f t="array" ref="B266">_xlfn.XLOOKUP(A266,'Team Stats'!$B$2:$B$366,('Team Stats'!$E$2:$E$366+'Team Stats'!$H$2:$H$366/2)/'Team Stats'!$F$2:$F$366)*100</f>
        <v>50.689655172413794</v>
      </c>
      <c r="C266" s="146">
        <f>_xlfn.XLOOKUP(A266,'Team Stats'!$B$2:$B$366,'Team Stats'!$T$2:$T$366)/( _xlfn.XLOOKUP(A266,'Team Stats'!$B$2:$B$366,'Team Stats'!$T$2:$T$366)+_xlfn.XLOOKUP(A266,'Team Stats'!$B$2:$B$366,'Team Stats'!$F$2:$F$366)+0.44*_xlfn.XLOOKUP(A266,'Team Stats'!$B$2:$B$366,'Team Stats'!$L$2:$L$366)+_xlfn.XLOOKUP(A266,'Team Stats'!$B$2:$B$366,'Team Stats'!$Q$2:$Q$366))*100</f>
        <v>12.630111928922958</v>
      </c>
      <c r="D266" s="146">
        <f>_xlfn.XLOOKUP(A266,'Team Stats'!$B$2:$B$366,'Team Stats'!$N$2:$N$366)/(_xlfn.XLOOKUP(A266,'Team Stats'!$B$2:$B$366,'Team Stats'!$N$2:$N$366)+_xlfn.XLOOKUP(A266,'Opponents stats vs'!$B$2:$B$366,'Opponents stats vs'!$O$2:$O$366))*100</f>
        <v>26.589595375722546</v>
      </c>
      <c r="E266" s="146">
        <f>_xlfn.XLOOKUP(A266,'Team Stats'!$B$2:$B$366,'Team Stats'!$K$2:$K$366)/_xlfn.XLOOKUP(A266,'Team Stats'!$B$2:$B$366,'Team Stats'!$F$2:$F$366)*100</f>
        <v>24.310344827586206</v>
      </c>
      <c r="F266" s="146">
        <f>_xlfn.XLOOKUP(A266,'Team Stats'!$B$2:$B$366,'Team Stats'!$F$2:$F$366)+0.44*_xlfn.XLOOKUP(A266,'Team Stats'!$B$2:$B$366,'Team Stats'!$L$2:$L$366)+_xlfn.XLOOKUP(A266,'Team Stats'!$B$2:$B$366,'Team Stats'!$T$2:$T$366)-_xlfn.XLOOKUP(A266,'Team Stats'!$B$2:$B$366,'Team Stats'!$N$2:$N$366)</f>
        <v>69.243999999999986</v>
      </c>
      <c r="G266">
        <f>_xlfn.XLOOKUP(A266,'Team Stats'!$B$2:$B$366,'Team Stats'!$D$2:$D$366)/F266</f>
        <v>1.0513546300040439</v>
      </c>
      <c r="H266">
        <f>_xlfn.XLOOKUP(A266,'Team Stats'!$B$2:$B$366,'Team Stats'!$D$2:$D$366)</f>
        <v>72.8</v>
      </c>
    </row>
    <row r="267" spans="1:8" ht="15" customHeight="1" x14ac:dyDescent="0.25">
      <c r="A267" t="s">
        <v>449</v>
      </c>
      <c r="B267" s="146">
        <f t="array" ref="B267">_xlfn.XLOOKUP(A267,'Team Stats'!$B$2:$B$366,('Team Stats'!$E$2:$E$366+'Team Stats'!$H$2:$H$366/2)/'Team Stats'!$F$2:$F$366)*100</f>
        <v>49.295774647887328</v>
      </c>
      <c r="C267" s="146">
        <f>_xlfn.XLOOKUP(A267,'Team Stats'!$B$2:$B$366,'Team Stats'!$T$2:$T$366)/( _xlfn.XLOOKUP(A267,'Team Stats'!$B$2:$B$366,'Team Stats'!$T$2:$T$366)+_xlfn.XLOOKUP(A267,'Team Stats'!$B$2:$B$366,'Team Stats'!$F$2:$F$366)+0.44*_xlfn.XLOOKUP(A267,'Team Stats'!$B$2:$B$366,'Team Stats'!$L$2:$L$366)+_xlfn.XLOOKUP(A267,'Team Stats'!$B$2:$B$366,'Team Stats'!$Q$2:$Q$366))*100</f>
        <v>15.305471706134943</v>
      </c>
      <c r="D267" s="146">
        <f>_xlfn.XLOOKUP(A267,'Team Stats'!$B$2:$B$366,'Team Stats'!$N$2:$N$366)/(_xlfn.XLOOKUP(A267,'Team Stats'!$B$2:$B$366,'Team Stats'!$N$2:$N$366)+_xlfn.XLOOKUP(A267,'Opponents stats vs'!$B$2:$B$366,'Opponents stats vs'!$O$2:$O$366))*100</f>
        <v>38.611111111111114</v>
      </c>
      <c r="E267" s="146">
        <f>_xlfn.XLOOKUP(A267,'Team Stats'!$B$2:$B$366,'Team Stats'!$K$2:$K$366)/_xlfn.XLOOKUP(A267,'Team Stats'!$B$2:$B$366,'Team Stats'!$F$2:$F$366)*100</f>
        <v>25.176056338028168</v>
      </c>
      <c r="F267" s="146">
        <f>_xlfn.XLOOKUP(A267,'Team Stats'!$B$2:$B$366,'Team Stats'!$F$2:$F$366)+0.44*_xlfn.XLOOKUP(A267,'Team Stats'!$B$2:$B$366,'Team Stats'!$L$2:$L$366)+_xlfn.XLOOKUP(A267,'Team Stats'!$B$2:$B$366,'Team Stats'!$T$2:$T$366)-_xlfn.XLOOKUP(A267,'Team Stats'!$B$2:$B$366,'Team Stats'!$N$2:$N$366)</f>
        <v>66.584000000000003</v>
      </c>
      <c r="G267">
        <f>_xlfn.XLOOKUP(A267,'Team Stats'!$B$2:$B$366,'Team Stats'!$D$2:$D$366)/F267</f>
        <v>1.0558092034122311</v>
      </c>
      <c r="H267">
        <f>_xlfn.XLOOKUP(A267,'Team Stats'!$B$2:$B$366,'Team Stats'!$D$2:$D$366)</f>
        <v>70.3</v>
      </c>
    </row>
    <row r="268" spans="1:8" ht="15" customHeight="1" x14ac:dyDescent="0.25">
      <c r="A268" t="s">
        <v>436</v>
      </c>
      <c r="B268" s="146">
        <f t="array" ref="B268">_xlfn.XLOOKUP(A268,'Team Stats'!$B$2:$B$366,('Team Stats'!$E$2:$E$366+'Team Stats'!$H$2:$H$366/2)/'Team Stats'!$F$2:$F$366)*100</f>
        <v>53.247863247863251</v>
      </c>
      <c r="C268" s="146">
        <f>_xlfn.XLOOKUP(A268,'Team Stats'!$B$2:$B$366,'Team Stats'!$T$2:$T$366)/( _xlfn.XLOOKUP(A268,'Team Stats'!$B$2:$B$366,'Team Stats'!$T$2:$T$366)+_xlfn.XLOOKUP(A268,'Team Stats'!$B$2:$B$366,'Team Stats'!$F$2:$F$366)+0.44*_xlfn.XLOOKUP(A268,'Team Stats'!$B$2:$B$366,'Team Stats'!$L$2:$L$366)+_xlfn.XLOOKUP(A268,'Team Stats'!$B$2:$B$366,'Team Stats'!$Q$2:$Q$366))*100</f>
        <v>13.38834994074009</v>
      </c>
      <c r="D268" s="146">
        <f>_xlfn.XLOOKUP(A268,'Team Stats'!$B$2:$B$366,'Team Stats'!$N$2:$N$366)/(_xlfn.XLOOKUP(A268,'Team Stats'!$B$2:$B$366,'Team Stats'!$N$2:$N$366)+_xlfn.XLOOKUP(A268,'Opponents stats vs'!$B$2:$B$366,'Opponents stats vs'!$O$2:$O$366))*100</f>
        <v>33.534743202416919</v>
      </c>
      <c r="E268" s="146">
        <f>_xlfn.XLOOKUP(A268,'Team Stats'!$B$2:$B$366,'Team Stats'!$K$2:$K$366)/_xlfn.XLOOKUP(A268,'Team Stats'!$B$2:$B$366,'Team Stats'!$F$2:$F$366)*100</f>
        <v>16.581196581196579</v>
      </c>
      <c r="F268" s="146">
        <f>_xlfn.XLOOKUP(A268,'Team Stats'!$B$2:$B$366,'Team Stats'!$F$2:$F$366)+0.44*_xlfn.XLOOKUP(A268,'Team Stats'!$B$2:$B$366,'Team Stats'!$L$2:$L$366)+_xlfn.XLOOKUP(A268,'Team Stats'!$B$2:$B$366,'Team Stats'!$T$2:$T$366)-_xlfn.XLOOKUP(A268,'Team Stats'!$B$2:$B$366,'Team Stats'!$N$2:$N$366)</f>
        <v>66.024000000000015</v>
      </c>
      <c r="G268">
        <f>_xlfn.XLOOKUP(A268,'Team Stats'!$B$2:$B$366,'Team Stats'!$D$2:$D$366)/F268</f>
        <v>1.087483339391736</v>
      </c>
      <c r="H268">
        <f>_xlfn.XLOOKUP(A268,'Team Stats'!$B$2:$B$366,'Team Stats'!$D$2:$D$366)</f>
        <v>71.8</v>
      </c>
    </row>
    <row r="269" spans="1:8" ht="15" customHeight="1" x14ac:dyDescent="0.25">
      <c r="A269" t="s">
        <v>346</v>
      </c>
      <c r="B269" s="146">
        <f t="array" ref="B269">_xlfn.XLOOKUP(A269,'Team Stats'!$B$2:$B$366,('Team Stats'!$E$2:$E$366+'Team Stats'!$H$2:$H$366/2)/'Team Stats'!$F$2:$F$366)*100</f>
        <v>49.559859154929576</v>
      </c>
      <c r="C269" s="146">
        <f>_xlfn.XLOOKUP(A269,'Team Stats'!$B$2:$B$366,'Team Stats'!$T$2:$T$366)/( _xlfn.XLOOKUP(A269,'Team Stats'!$B$2:$B$366,'Team Stats'!$T$2:$T$366)+_xlfn.XLOOKUP(A269,'Team Stats'!$B$2:$B$366,'Team Stats'!$F$2:$F$366)+0.44*_xlfn.XLOOKUP(A269,'Team Stats'!$B$2:$B$366,'Team Stats'!$L$2:$L$366)+_xlfn.XLOOKUP(A269,'Team Stats'!$B$2:$B$366,'Team Stats'!$Q$2:$Q$366))*100</f>
        <v>13.271471730686232</v>
      </c>
      <c r="D269" s="146">
        <f>_xlfn.XLOOKUP(A269,'Team Stats'!$B$2:$B$366,'Team Stats'!$N$2:$N$366)/(_xlfn.XLOOKUP(A269,'Team Stats'!$B$2:$B$366,'Team Stats'!$N$2:$N$366)+_xlfn.XLOOKUP(A269,'Opponents stats vs'!$B$2:$B$366,'Opponents stats vs'!$O$2:$O$366))*100</f>
        <v>30.571428571428573</v>
      </c>
      <c r="E269" s="146">
        <f>_xlfn.XLOOKUP(A269,'Team Stats'!$B$2:$B$366,'Team Stats'!$K$2:$K$366)/_xlfn.XLOOKUP(A269,'Team Stats'!$B$2:$B$366,'Team Stats'!$F$2:$F$366)*100</f>
        <v>27.992957746478876</v>
      </c>
      <c r="F269" s="146">
        <f>_xlfn.XLOOKUP(A269,'Team Stats'!$B$2:$B$366,'Team Stats'!$F$2:$F$366)+0.44*_xlfn.XLOOKUP(A269,'Team Stats'!$B$2:$B$366,'Team Stats'!$L$2:$L$366)+_xlfn.XLOOKUP(A269,'Team Stats'!$B$2:$B$366,'Team Stats'!$T$2:$T$366)-_xlfn.XLOOKUP(A269,'Team Stats'!$B$2:$B$366,'Team Stats'!$N$2:$N$366)</f>
        <v>68.079999999999984</v>
      </c>
      <c r="G269">
        <f>_xlfn.XLOOKUP(A269,'Team Stats'!$B$2:$B$366,'Team Stats'!$D$2:$D$366)/F269</f>
        <v>1.0605170387779086</v>
      </c>
      <c r="H269">
        <f>_xlfn.XLOOKUP(A269,'Team Stats'!$B$2:$B$366,'Team Stats'!$D$2:$D$366)</f>
        <v>72.2</v>
      </c>
    </row>
    <row r="270" spans="1:8" ht="15" customHeight="1" x14ac:dyDescent="0.25">
      <c r="A270" t="s">
        <v>456</v>
      </c>
      <c r="B270" s="146">
        <f t="array" ref="B270">_xlfn.XLOOKUP(A270,'Team Stats'!$B$2:$B$366,('Team Stats'!$E$2:$E$366+'Team Stats'!$H$2:$H$366/2)/'Team Stats'!$F$2:$F$366)*100</f>
        <v>48.923841059602644</v>
      </c>
      <c r="C270" s="146">
        <f>_xlfn.XLOOKUP(A270,'Team Stats'!$B$2:$B$366,'Team Stats'!$T$2:$T$366)/( _xlfn.XLOOKUP(A270,'Team Stats'!$B$2:$B$366,'Team Stats'!$T$2:$T$366)+_xlfn.XLOOKUP(A270,'Team Stats'!$B$2:$B$366,'Team Stats'!$F$2:$F$366)+0.44*_xlfn.XLOOKUP(A270,'Team Stats'!$B$2:$B$366,'Team Stats'!$L$2:$L$366)+_xlfn.XLOOKUP(A270,'Team Stats'!$B$2:$B$366,'Team Stats'!$Q$2:$Q$366))*100</f>
        <v>11.014671542494604</v>
      </c>
      <c r="D270" s="146">
        <f>_xlfn.XLOOKUP(A270,'Team Stats'!$B$2:$B$366,'Team Stats'!$N$2:$N$366)/(_xlfn.XLOOKUP(A270,'Team Stats'!$B$2:$B$366,'Team Stats'!$N$2:$N$366)+_xlfn.XLOOKUP(A270,'Opponents stats vs'!$B$2:$B$366,'Opponents stats vs'!$O$2:$O$366))*100</f>
        <v>26.493506493506491</v>
      </c>
      <c r="E270" s="146">
        <f>_xlfn.XLOOKUP(A270,'Team Stats'!$B$2:$B$366,'Team Stats'!$K$2:$K$366)/_xlfn.XLOOKUP(A270,'Team Stats'!$B$2:$B$366,'Team Stats'!$F$2:$F$366)*100</f>
        <v>21.192052980132452</v>
      </c>
      <c r="F270" s="146">
        <f>_xlfn.XLOOKUP(A270,'Team Stats'!$B$2:$B$366,'Team Stats'!$F$2:$F$366)+0.44*_xlfn.XLOOKUP(A270,'Team Stats'!$B$2:$B$366,'Team Stats'!$L$2:$L$366)+_xlfn.XLOOKUP(A270,'Team Stats'!$B$2:$B$366,'Team Stats'!$T$2:$T$366)-_xlfn.XLOOKUP(A270,'Team Stats'!$B$2:$B$366,'Team Stats'!$N$2:$N$366)</f>
        <v>67.988</v>
      </c>
      <c r="G270">
        <f>_xlfn.XLOOKUP(A270,'Team Stats'!$B$2:$B$366,'Team Stats'!$D$2:$D$366)/F270</f>
        <v>1.0590104136024003</v>
      </c>
      <c r="H270">
        <f>_xlfn.XLOOKUP(A270,'Team Stats'!$B$2:$B$366,'Team Stats'!$D$2:$D$366)</f>
        <v>72</v>
      </c>
    </row>
    <row r="271" spans="1:8" ht="15" customHeight="1" x14ac:dyDescent="0.25">
      <c r="A271" t="s">
        <v>193</v>
      </c>
      <c r="B271" s="146">
        <f t="array" ref="B271">_xlfn.XLOOKUP(A271,'Team Stats'!$B$2:$B$366,('Team Stats'!$E$2:$E$366+'Team Stats'!$H$2:$H$366/2)/'Team Stats'!$F$2:$F$366)*100</f>
        <v>49.83660130718954</v>
      </c>
      <c r="C271" s="146">
        <f>_xlfn.XLOOKUP(A271,'Team Stats'!$B$2:$B$366,'Team Stats'!$T$2:$T$366)/( _xlfn.XLOOKUP(A271,'Team Stats'!$B$2:$B$366,'Team Stats'!$T$2:$T$366)+_xlfn.XLOOKUP(A271,'Team Stats'!$B$2:$B$366,'Team Stats'!$F$2:$F$366)+0.44*_xlfn.XLOOKUP(A271,'Team Stats'!$B$2:$B$366,'Team Stats'!$L$2:$L$366)+_xlfn.XLOOKUP(A271,'Team Stats'!$B$2:$B$366,'Team Stats'!$Q$2:$Q$366))*100</f>
        <v>12.52526103065005</v>
      </c>
      <c r="D271" s="146">
        <f>_xlfn.XLOOKUP(A271,'Team Stats'!$B$2:$B$366,'Team Stats'!$N$2:$N$366)/(_xlfn.XLOOKUP(A271,'Team Stats'!$B$2:$B$366,'Team Stats'!$N$2:$N$366)+_xlfn.XLOOKUP(A271,'Opponents stats vs'!$B$2:$B$366,'Opponents stats vs'!$O$2:$O$366))*100</f>
        <v>31.134564643799468</v>
      </c>
      <c r="E271" s="146">
        <f>_xlfn.XLOOKUP(A271,'Team Stats'!$B$2:$B$366,'Team Stats'!$K$2:$K$366)/_xlfn.XLOOKUP(A271,'Team Stats'!$B$2:$B$366,'Team Stats'!$F$2:$F$366)*100</f>
        <v>18.300653594771241</v>
      </c>
      <c r="F271" s="146">
        <f>_xlfn.XLOOKUP(A271,'Team Stats'!$B$2:$B$366,'Team Stats'!$F$2:$F$366)+0.44*_xlfn.XLOOKUP(A271,'Team Stats'!$B$2:$B$366,'Team Stats'!$L$2:$L$366)+_xlfn.XLOOKUP(A271,'Team Stats'!$B$2:$B$366,'Team Stats'!$T$2:$T$366)-_xlfn.XLOOKUP(A271,'Team Stats'!$B$2:$B$366,'Team Stats'!$N$2:$N$366)</f>
        <v>68.208000000000013</v>
      </c>
      <c r="G271">
        <f>_xlfn.XLOOKUP(A271,'Team Stats'!$B$2:$B$366,'Team Stats'!$D$2:$D$366)/F271</f>
        <v>1.0585268590194696</v>
      </c>
      <c r="H271">
        <f>_xlfn.XLOOKUP(A271,'Team Stats'!$B$2:$B$366,'Team Stats'!$D$2:$D$366)</f>
        <v>72.2</v>
      </c>
    </row>
    <row r="272" spans="1:8" ht="15" customHeight="1" x14ac:dyDescent="0.25">
      <c r="A272" t="s">
        <v>225</v>
      </c>
      <c r="B272" s="146">
        <f t="array" ref="B272">_xlfn.XLOOKUP(A272,'Team Stats'!$B$2:$B$366,('Team Stats'!$E$2:$E$366+'Team Stats'!$H$2:$H$366/2)/'Team Stats'!$F$2:$F$366)*100</f>
        <v>50.576606260296543</v>
      </c>
      <c r="C272" s="146">
        <f>_xlfn.XLOOKUP(A272,'Team Stats'!$B$2:$B$366,'Team Stats'!$T$2:$T$366)/( _xlfn.XLOOKUP(A272,'Team Stats'!$B$2:$B$366,'Team Stats'!$T$2:$T$366)+_xlfn.XLOOKUP(A272,'Team Stats'!$B$2:$B$366,'Team Stats'!$F$2:$F$366)+0.44*_xlfn.XLOOKUP(A272,'Team Stats'!$B$2:$B$366,'Team Stats'!$L$2:$L$366)+_xlfn.XLOOKUP(A272,'Team Stats'!$B$2:$B$366,'Team Stats'!$Q$2:$Q$366))*100</f>
        <v>11.866925331242003</v>
      </c>
      <c r="D272" s="146">
        <f>_xlfn.XLOOKUP(A272,'Team Stats'!$B$2:$B$366,'Team Stats'!$N$2:$N$366)/(_xlfn.XLOOKUP(A272,'Team Stats'!$B$2:$B$366,'Team Stats'!$N$2:$N$366)+_xlfn.XLOOKUP(A272,'Opponents stats vs'!$B$2:$B$366,'Opponents stats vs'!$O$2:$O$366))*100</f>
        <v>30.76923076923077</v>
      </c>
      <c r="E272" s="146">
        <f>_xlfn.XLOOKUP(A272,'Team Stats'!$B$2:$B$366,'Team Stats'!$K$2:$K$366)/_xlfn.XLOOKUP(A272,'Team Stats'!$B$2:$B$366,'Team Stats'!$F$2:$F$366)*100</f>
        <v>20.428336079077429</v>
      </c>
      <c r="F272" s="146">
        <f>_xlfn.XLOOKUP(A272,'Team Stats'!$B$2:$B$366,'Team Stats'!$F$2:$F$366)+0.44*_xlfn.XLOOKUP(A272,'Team Stats'!$B$2:$B$366,'Team Stats'!$L$2:$L$366)+_xlfn.XLOOKUP(A272,'Team Stats'!$B$2:$B$366,'Team Stats'!$T$2:$T$366)-_xlfn.XLOOKUP(A272,'Team Stats'!$B$2:$B$366,'Team Stats'!$N$2:$N$366)</f>
        <v>69.007999999999996</v>
      </c>
      <c r="G272">
        <f>_xlfn.XLOOKUP(A272,'Team Stats'!$B$2:$B$366,'Team Stats'!$D$2:$D$366)/F272</f>
        <v>1.0679921168560167</v>
      </c>
      <c r="H272">
        <f>_xlfn.XLOOKUP(A272,'Team Stats'!$B$2:$B$366,'Team Stats'!$D$2:$D$366)</f>
        <v>73.7</v>
      </c>
    </row>
    <row r="273" spans="1:8" ht="15" customHeight="1" x14ac:dyDescent="0.25">
      <c r="A273" t="s">
        <v>390</v>
      </c>
      <c r="B273" s="146">
        <f t="array" ref="B273">_xlfn.XLOOKUP(A273,'Team Stats'!$B$2:$B$366,('Team Stats'!$E$2:$E$366+'Team Stats'!$H$2:$H$366/2)/'Team Stats'!$F$2:$F$366)*100</f>
        <v>50.775862068965516</v>
      </c>
      <c r="C273" s="146">
        <f>_xlfn.XLOOKUP(A273,'Team Stats'!$B$2:$B$366,'Team Stats'!$T$2:$T$366)/( _xlfn.XLOOKUP(A273,'Team Stats'!$B$2:$B$366,'Team Stats'!$T$2:$T$366)+_xlfn.XLOOKUP(A273,'Team Stats'!$B$2:$B$366,'Team Stats'!$F$2:$F$366)+0.44*_xlfn.XLOOKUP(A273,'Team Stats'!$B$2:$B$366,'Team Stats'!$L$2:$L$366)+_xlfn.XLOOKUP(A273,'Team Stats'!$B$2:$B$366,'Team Stats'!$Q$2:$Q$366))*100</f>
        <v>12.895119693162277</v>
      </c>
      <c r="D273" s="146">
        <f>_xlfn.XLOOKUP(A273,'Team Stats'!$B$2:$B$366,'Team Stats'!$N$2:$N$366)/(_xlfn.XLOOKUP(A273,'Team Stats'!$B$2:$B$366,'Team Stats'!$N$2:$N$366)+_xlfn.XLOOKUP(A273,'Opponents stats vs'!$B$2:$B$366,'Opponents stats vs'!$O$2:$O$366))*100</f>
        <v>31.41210374639769</v>
      </c>
      <c r="E273" s="146">
        <f>_xlfn.XLOOKUP(A273,'Team Stats'!$B$2:$B$366,'Team Stats'!$K$2:$K$366)/_xlfn.XLOOKUP(A273,'Team Stats'!$B$2:$B$366,'Team Stats'!$F$2:$F$366)*100</f>
        <v>20.689655172413794</v>
      </c>
      <c r="F273" s="146">
        <f>_xlfn.XLOOKUP(A273,'Team Stats'!$B$2:$B$366,'Team Stats'!$F$2:$F$366)+0.44*_xlfn.XLOOKUP(A273,'Team Stats'!$B$2:$B$366,'Team Stats'!$L$2:$L$366)+_xlfn.XLOOKUP(A273,'Team Stats'!$B$2:$B$366,'Team Stats'!$T$2:$T$366)-_xlfn.XLOOKUP(A273,'Team Stats'!$B$2:$B$366,'Team Stats'!$N$2:$N$366)</f>
        <v>66.631999999999991</v>
      </c>
      <c r="G273">
        <f>_xlfn.XLOOKUP(A273,'Team Stats'!$B$2:$B$366,'Team Stats'!$D$2:$D$366)/F273</f>
        <v>1.0655540881258256</v>
      </c>
      <c r="H273">
        <f>_xlfn.XLOOKUP(A273,'Team Stats'!$B$2:$B$366,'Team Stats'!$D$2:$D$366)</f>
        <v>71</v>
      </c>
    </row>
    <row r="274" spans="1:8" ht="15" customHeight="1" x14ac:dyDescent="0.25">
      <c r="A274" t="s">
        <v>395</v>
      </c>
      <c r="B274" s="146">
        <f t="array" ref="B274">_xlfn.XLOOKUP(A274,'Team Stats'!$B$2:$B$366,('Team Stats'!$E$2:$E$366+'Team Stats'!$H$2:$H$366/2)/'Team Stats'!$F$2:$F$366)*100</f>
        <v>47.707979626485567</v>
      </c>
      <c r="C274" s="146">
        <f>_xlfn.XLOOKUP(A274,'Team Stats'!$B$2:$B$366,'Team Stats'!$T$2:$T$366)/( _xlfn.XLOOKUP(A274,'Team Stats'!$B$2:$B$366,'Team Stats'!$T$2:$T$366)+_xlfn.XLOOKUP(A274,'Team Stats'!$B$2:$B$366,'Team Stats'!$F$2:$F$366)+0.44*_xlfn.XLOOKUP(A274,'Team Stats'!$B$2:$B$366,'Team Stats'!$L$2:$L$366)+_xlfn.XLOOKUP(A274,'Team Stats'!$B$2:$B$366,'Team Stats'!$Q$2:$Q$366))*100</f>
        <v>12.437272884582109</v>
      </c>
      <c r="D274" s="146">
        <f>_xlfn.XLOOKUP(A274,'Team Stats'!$B$2:$B$366,'Team Stats'!$N$2:$N$366)/(_xlfn.XLOOKUP(A274,'Team Stats'!$B$2:$B$366,'Team Stats'!$N$2:$N$366)+_xlfn.XLOOKUP(A274,'Opponents stats vs'!$B$2:$B$366,'Opponents stats vs'!$O$2:$O$366))*100</f>
        <v>37.398373983739837</v>
      </c>
      <c r="E274" s="146">
        <f>_xlfn.XLOOKUP(A274,'Team Stats'!$B$2:$B$366,'Team Stats'!$K$2:$K$366)/_xlfn.XLOOKUP(A274,'Team Stats'!$B$2:$B$366,'Team Stats'!$F$2:$F$366)*100</f>
        <v>25.97623089983022</v>
      </c>
      <c r="F274" s="146">
        <f>_xlfn.XLOOKUP(A274,'Team Stats'!$B$2:$B$366,'Team Stats'!$F$2:$F$366)+0.44*_xlfn.XLOOKUP(A274,'Team Stats'!$B$2:$B$366,'Team Stats'!$L$2:$L$366)+_xlfn.XLOOKUP(A274,'Team Stats'!$B$2:$B$366,'Team Stats'!$T$2:$T$366)-_xlfn.XLOOKUP(A274,'Team Stats'!$B$2:$B$366,'Team Stats'!$N$2:$N$366)</f>
        <v>65.664000000000001</v>
      </c>
      <c r="G274">
        <f>_xlfn.XLOOKUP(A274,'Team Stats'!$B$2:$B$366,'Team Stats'!$D$2:$D$366)/F274</f>
        <v>1.0873538011695907</v>
      </c>
      <c r="H274">
        <f>_xlfn.XLOOKUP(A274,'Team Stats'!$B$2:$B$366,'Team Stats'!$D$2:$D$366)</f>
        <v>71.400000000000006</v>
      </c>
    </row>
    <row r="275" spans="1:8" ht="15" customHeight="1" x14ac:dyDescent="0.25">
      <c r="A275" t="s">
        <v>367</v>
      </c>
      <c r="B275" s="146">
        <f t="array" ref="B275">_xlfn.XLOOKUP(A275,'Team Stats'!$B$2:$B$366,('Team Stats'!$E$2:$E$366+'Team Stats'!$H$2:$H$366/2)/'Team Stats'!$F$2:$F$366)*100</f>
        <v>49.211908931698765</v>
      </c>
      <c r="C275" s="146">
        <f>_xlfn.XLOOKUP(A275,'Team Stats'!$B$2:$B$366,'Team Stats'!$T$2:$T$366)/( _xlfn.XLOOKUP(A275,'Team Stats'!$B$2:$B$366,'Team Stats'!$T$2:$T$366)+_xlfn.XLOOKUP(A275,'Team Stats'!$B$2:$B$366,'Team Stats'!$F$2:$F$366)+0.44*_xlfn.XLOOKUP(A275,'Team Stats'!$B$2:$B$366,'Team Stats'!$L$2:$L$366)+_xlfn.XLOOKUP(A275,'Team Stats'!$B$2:$B$366,'Team Stats'!$Q$2:$Q$366))*100</f>
        <v>13.049719431032234</v>
      </c>
      <c r="D275" s="146">
        <f>_xlfn.XLOOKUP(A275,'Team Stats'!$B$2:$B$366,'Team Stats'!$N$2:$N$366)/(_xlfn.XLOOKUP(A275,'Team Stats'!$B$2:$B$366,'Team Stats'!$N$2:$N$366)+_xlfn.XLOOKUP(A275,'Opponents stats vs'!$B$2:$B$366,'Opponents stats vs'!$O$2:$O$366))*100</f>
        <v>32.758620689655174</v>
      </c>
      <c r="E275" s="146">
        <f>_xlfn.XLOOKUP(A275,'Team Stats'!$B$2:$B$366,'Team Stats'!$K$2:$K$366)/_xlfn.XLOOKUP(A275,'Team Stats'!$B$2:$B$366,'Team Stats'!$F$2:$F$366)*100</f>
        <v>25.218914185639228</v>
      </c>
      <c r="F275" s="146">
        <f>_xlfn.XLOOKUP(A275,'Team Stats'!$B$2:$B$366,'Team Stats'!$F$2:$F$366)+0.44*_xlfn.XLOOKUP(A275,'Team Stats'!$B$2:$B$366,'Team Stats'!$L$2:$L$366)+_xlfn.XLOOKUP(A275,'Team Stats'!$B$2:$B$366,'Team Stats'!$T$2:$T$366)-_xlfn.XLOOKUP(A275,'Team Stats'!$B$2:$B$366,'Team Stats'!$N$2:$N$366)</f>
        <v>66.455999999999989</v>
      </c>
      <c r="G275">
        <f>_xlfn.XLOOKUP(A275,'Team Stats'!$B$2:$B$366,'Team Stats'!$D$2:$D$366)/F275</f>
        <v>1.0638618032984233</v>
      </c>
      <c r="H275">
        <f>_xlfn.XLOOKUP(A275,'Team Stats'!$B$2:$B$366,'Team Stats'!$D$2:$D$366)</f>
        <v>70.7</v>
      </c>
    </row>
    <row r="276" spans="1:8" ht="15" customHeight="1" x14ac:dyDescent="0.25">
      <c r="A276" t="s">
        <v>442</v>
      </c>
      <c r="B276" s="146">
        <f t="array" ref="B276">_xlfn.XLOOKUP(A276,'Team Stats'!$B$2:$B$366,('Team Stats'!$E$2:$E$366+'Team Stats'!$H$2:$H$366/2)/'Team Stats'!$F$2:$F$366)*100</f>
        <v>47.934595524956976</v>
      </c>
      <c r="C276" s="146">
        <f>_xlfn.XLOOKUP(A276,'Team Stats'!$B$2:$B$366,'Team Stats'!$T$2:$T$366)/( _xlfn.XLOOKUP(A276,'Team Stats'!$B$2:$B$366,'Team Stats'!$T$2:$T$366)+_xlfn.XLOOKUP(A276,'Team Stats'!$B$2:$B$366,'Team Stats'!$F$2:$F$366)+0.44*_xlfn.XLOOKUP(A276,'Team Stats'!$B$2:$B$366,'Team Stats'!$L$2:$L$366)+_xlfn.XLOOKUP(A276,'Team Stats'!$B$2:$B$366,'Team Stats'!$Q$2:$Q$366))*100</f>
        <v>13.084475972144125</v>
      </c>
      <c r="D276" s="146">
        <f>_xlfn.XLOOKUP(A276,'Team Stats'!$B$2:$B$366,'Team Stats'!$N$2:$N$366)/(_xlfn.XLOOKUP(A276,'Team Stats'!$B$2:$B$366,'Team Stats'!$N$2:$N$366)+_xlfn.XLOOKUP(A276,'Opponents stats vs'!$B$2:$B$366,'Opponents stats vs'!$O$2:$O$366))*100</f>
        <v>25.203252032520325</v>
      </c>
      <c r="E276" s="146">
        <f>_xlfn.XLOOKUP(A276,'Team Stats'!$B$2:$B$366,'Team Stats'!$K$2:$K$366)/_xlfn.XLOOKUP(A276,'Team Stats'!$B$2:$B$366,'Team Stats'!$F$2:$F$366)*100</f>
        <v>28.915662650602407</v>
      </c>
      <c r="F276" s="146">
        <f>_xlfn.XLOOKUP(A276,'Team Stats'!$B$2:$B$366,'Team Stats'!$F$2:$F$366)+0.44*_xlfn.XLOOKUP(A276,'Team Stats'!$B$2:$B$366,'Team Stats'!$L$2:$L$366)+_xlfn.XLOOKUP(A276,'Team Stats'!$B$2:$B$366,'Team Stats'!$T$2:$T$366)-_xlfn.XLOOKUP(A276,'Team Stats'!$B$2:$B$366,'Team Stats'!$N$2:$N$366)</f>
        <v>70.975999999999999</v>
      </c>
      <c r="G276">
        <f>_xlfn.XLOOKUP(A276,'Team Stats'!$B$2:$B$366,'Team Stats'!$D$2:$D$366)/F276</f>
        <v>1.0200631199278631</v>
      </c>
      <c r="H276">
        <f>_xlfn.XLOOKUP(A276,'Team Stats'!$B$2:$B$366,'Team Stats'!$D$2:$D$366)</f>
        <v>72.400000000000006</v>
      </c>
    </row>
    <row r="277" spans="1:8" ht="15" customHeight="1" x14ac:dyDescent="0.25">
      <c r="A277" t="s">
        <v>383</v>
      </c>
      <c r="B277" s="146">
        <f t="array" ref="B277">_xlfn.XLOOKUP(A277,'Team Stats'!$B$2:$B$366,('Team Stats'!$E$2:$E$366+'Team Stats'!$H$2:$H$366/2)/'Team Stats'!$F$2:$F$366)*100</f>
        <v>50.18281535648994</v>
      </c>
      <c r="C277" s="146">
        <f>_xlfn.XLOOKUP(A277,'Team Stats'!$B$2:$B$366,'Team Stats'!$T$2:$T$366)/( _xlfn.XLOOKUP(A277,'Team Stats'!$B$2:$B$366,'Team Stats'!$T$2:$T$366)+_xlfn.XLOOKUP(A277,'Team Stats'!$B$2:$B$366,'Team Stats'!$F$2:$F$366)+0.44*_xlfn.XLOOKUP(A277,'Team Stats'!$B$2:$B$366,'Team Stats'!$L$2:$L$366)+_xlfn.XLOOKUP(A277,'Team Stats'!$B$2:$B$366,'Team Stats'!$Q$2:$Q$366))*100</f>
        <v>14.270828614143976</v>
      </c>
      <c r="D277" s="146">
        <f>_xlfn.XLOOKUP(A277,'Team Stats'!$B$2:$B$366,'Team Stats'!$N$2:$N$366)/(_xlfn.XLOOKUP(A277,'Team Stats'!$B$2:$B$366,'Team Stats'!$N$2:$N$366)+_xlfn.XLOOKUP(A277,'Opponents stats vs'!$B$2:$B$366,'Opponents stats vs'!$O$2:$O$366))*100</f>
        <v>31.470588235294116</v>
      </c>
      <c r="E277" s="146">
        <f>_xlfn.XLOOKUP(A277,'Team Stats'!$B$2:$B$366,'Team Stats'!$K$2:$K$366)/_xlfn.XLOOKUP(A277,'Team Stats'!$B$2:$B$366,'Team Stats'!$F$2:$F$366)*100</f>
        <v>29.067641681901279</v>
      </c>
      <c r="F277" s="146">
        <f>_xlfn.XLOOKUP(A277,'Team Stats'!$B$2:$B$366,'Team Stats'!$F$2:$F$366)+0.44*_xlfn.XLOOKUP(A277,'Team Stats'!$B$2:$B$366,'Team Stats'!$L$2:$L$366)+_xlfn.XLOOKUP(A277,'Team Stats'!$B$2:$B$366,'Team Stats'!$T$2:$T$366)-_xlfn.XLOOKUP(A277,'Team Stats'!$B$2:$B$366,'Team Stats'!$N$2:$N$366)</f>
        <v>66.191999999999993</v>
      </c>
      <c r="G277">
        <f>_xlfn.XLOOKUP(A277,'Team Stats'!$B$2:$B$366,'Team Stats'!$D$2:$D$366)/F277</f>
        <v>1.0711264201111919</v>
      </c>
      <c r="H277">
        <f>_xlfn.XLOOKUP(A277,'Team Stats'!$B$2:$B$366,'Team Stats'!$D$2:$D$366)</f>
        <v>70.900000000000006</v>
      </c>
    </row>
    <row r="278" spans="1:8" ht="15" customHeight="1" x14ac:dyDescent="0.25">
      <c r="A278" t="s">
        <v>448</v>
      </c>
      <c r="B278" s="146">
        <f t="array" ref="B278">_xlfn.XLOOKUP(A278,'Team Stats'!$B$2:$B$366,('Team Stats'!$E$2:$E$366+'Team Stats'!$H$2:$H$366/2)/'Team Stats'!$F$2:$F$366)*100</f>
        <v>48.738738738738739</v>
      </c>
      <c r="C278" s="146">
        <f>_xlfn.XLOOKUP(A278,'Team Stats'!$B$2:$B$366,'Team Stats'!$T$2:$T$366)/( _xlfn.XLOOKUP(A278,'Team Stats'!$B$2:$B$366,'Team Stats'!$T$2:$T$366)+_xlfn.XLOOKUP(A278,'Team Stats'!$B$2:$B$366,'Team Stats'!$F$2:$F$366)+0.44*_xlfn.XLOOKUP(A278,'Team Stats'!$B$2:$B$366,'Team Stats'!$L$2:$L$366)+_xlfn.XLOOKUP(A278,'Team Stats'!$B$2:$B$366,'Team Stats'!$Q$2:$Q$366))*100</f>
        <v>15.254532775453278</v>
      </c>
      <c r="D278" s="146">
        <f>_xlfn.XLOOKUP(A278,'Team Stats'!$B$2:$B$366,'Team Stats'!$N$2:$N$366)/(_xlfn.XLOOKUP(A278,'Team Stats'!$B$2:$B$366,'Team Stats'!$N$2:$N$366)+_xlfn.XLOOKUP(A278,'Opponents stats vs'!$B$2:$B$366,'Opponents stats vs'!$O$2:$O$366))*100</f>
        <v>36.227544910179645</v>
      </c>
      <c r="E278" s="146">
        <f>_xlfn.XLOOKUP(A278,'Team Stats'!$B$2:$B$366,'Team Stats'!$K$2:$K$366)/_xlfn.XLOOKUP(A278,'Team Stats'!$B$2:$B$366,'Team Stats'!$F$2:$F$366)*100</f>
        <v>29.36936936936937</v>
      </c>
      <c r="F278" s="146">
        <f>_xlfn.XLOOKUP(A278,'Team Stats'!$B$2:$B$366,'Team Stats'!$F$2:$F$366)+0.44*_xlfn.XLOOKUP(A278,'Team Stats'!$B$2:$B$366,'Team Stats'!$L$2:$L$366)+_xlfn.XLOOKUP(A278,'Team Stats'!$B$2:$B$366,'Team Stats'!$T$2:$T$366)-_xlfn.XLOOKUP(A278,'Team Stats'!$B$2:$B$366,'Team Stats'!$N$2:$N$366)</f>
        <v>67.475999999999999</v>
      </c>
      <c r="G278">
        <f>_xlfn.XLOOKUP(A278,'Team Stats'!$B$2:$B$366,'Team Stats'!$D$2:$D$366)/F278</f>
        <v>1.0433339261367005</v>
      </c>
      <c r="H278">
        <f>_xlfn.XLOOKUP(A278,'Team Stats'!$B$2:$B$366,'Team Stats'!$D$2:$D$366)</f>
        <v>70.400000000000006</v>
      </c>
    </row>
    <row r="279" spans="1:8" ht="15" customHeight="1" x14ac:dyDescent="0.25">
      <c r="A279" t="s">
        <v>210</v>
      </c>
      <c r="B279" s="146">
        <f t="array" ref="B279">_xlfn.XLOOKUP(A279,'Team Stats'!$B$2:$B$366,('Team Stats'!$E$2:$E$366+'Team Stats'!$H$2:$H$366/2)/'Team Stats'!$F$2:$F$366)*100</f>
        <v>46.173469387755098</v>
      </c>
      <c r="C279" s="146">
        <f>_xlfn.XLOOKUP(A279,'Team Stats'!$B$2:$B$366,'Team Stats'!$T$2:$T$366)/( _xlfn.XLOOKUP(A279,'Team Stats'!$B$2:$B$366,'Team Stats'!$T$2:$T$366)+_xlfn.XLOOKUP(A279,'Team Stats'!$B$2:$B$366,'Team Stats'!$F$2:$F$366)+0.44*_xlfn.XLOOKUP(A279,'Team Stats'!$B$2:$B$366,'Team Stats'!$L$2:$L$366)+_xlfn.XLOOKUP(A279,'Team Stats'!$B$2:$B$366,'Team Stats'!$Q$2:$Q$366))*100</f>
        <v>14.190105049135887</v>
      </c>
      <c r="D279" s="146">
        <f>_xlfn.XLOOKUP(A279,'Team Stats'!$B$2:$B$366,'Team Stats'!$N$2:$N$366)/(_xlfn.XLOOKUP(A279,'Team Stats'!$B$2:$B$366,'Team Stats'!$N$2:$N$366)+_xlfn.XLOOKUP(A279,'Opponents stats vs'!$B$2:$B$366,'Opponents stats vs'!$O$2:$O$366))*100</f>
        <v>30.810810810810814</v>
      </c>
      <c r="E279" s="146">
        <f>_xlfn.XLOOKUP(A279,'Team Stats'!$B$2:$B$366,'Team Stats'!$K$2:$K$366)/_xlfn.XLOOKUP(A279,'Team Stats'!$B$2:$B$366,'Team Stats'!$F$2:$F$366)*100</f>
        <v>31.632653061224492</v>
      </c>
      <c r="F279" s="146">
        <f>_xlfn.XLOOKUP(A279,'Team Stats'!$B$2:$B$366,'Team Stats'!$F$2:$F$366)+0.44*_xlfn.XLOOKUP(A279,'Team Stats'!$B$2:$B$366,'Team Stats'!$L$2:$L$366)+_xlfn.XLOOKUP(A279,'Team Stats'!$B$2:$B$366,'Team Stats'!$T$2:$T$366)-_xlfn.XLOOKUP(A279,'Team Stats'!$B$2:$B$366,'Team Stats'!$N$2:$N$366)</f>
        <v>71.932000000000002</v>
      </c>
      <c r="G279">
        <f>_xlfn.XLOOKUP(A279,'Team Stats'!$B$2:$B$366,'Team Stats'!$D$2:$D$366)/F279</f>
        <v>1.0148473558360673</v>
      </c>
      <c r="H279">
        <f>_xlfn.XLOOKUP(A279,'Team Stats'!$B$2:$B$366,'Team Stats'!$D$2:$D$366)</f>
        <v>73</v>
      </c>
    </row>
    <row r="280" spans="1:8" ht="15" customHeight="1" x14ac:dyDescent="0.25">
      <c r="A280" t="s">
        <v>422</v>
      </c>
      <c r="B280" s="146">
        <f t="array" ref="B280">_xlfn.XLOOKUP(A280,'Team Stats'!$B$2:$B$366,('Team Stats'!$E$2:$E$366+'Team Stats'!$H$2:$H$366/2)/'Team Stats'!$F$2:$F$366)*100</f>
        <v>50.254237288135592</v>
      </c>
      <c r="C280" s="146">
        <f>_xlfn.XLOOKUP(A280,'Team Stats'!$B$2:$B$366,'Team Stats'!$T$2:$T$366)/( _xlfn.XLOOKUP(A280,'Team Stats'!$B$2:$B$366,'Team Stats'!$T$2:$T$366)+_xlfn.XLOOKUP(A280,'Team Stats'!$B$2:$B$366,'Team Stats'!$F$2:$F$366)+0.44*_xlfn.XLOOKUP(A280,'Team Stats'!$B$2:$B$366,'Team Stats'!$L$2:$L$366)+_xlfn.XLOOKUP(A280,'Team Stats'!$B$2:$B$366,'Team Stats'!$Q$2:$Q$366))*100</f>
        <v>12.436715826546337</v>
      </c>
      <c r="D280" s="146">
        <f>_xlfn.XLOOKUP(A280,'Team Stats'!$B$2:$B$366,'Team Stats'!$N$2:$N$366)/(_xlfn.XLOOKUP(A280,'Team Stats'!$B$2:$B$366,'Team Stats'!$N$2:$N$366)+_xlfn.XLOOKUP(A280,'Opponents stats vs'!$B$2:$B$366,'Opponents stats vs'!$O$2:$O$366))*100</f>
        <v>28.219178082191782</v>
      </c>
      <c r="E280" s="146">
        <f>_xlfn.XLOOKUP(A280,'Team Stats'!$B$2:$B$366,'Team Stats'!$K$2:$K$366)/_xlfn.XLOOKUP(A280,'Team Stats'!$B$2:$B$366,'Team Stats'!$F$2:$F$366)*100</f>
        <v>20</v>
      </c>
      <c r="F280" s="146">
        <f>_xlfn.XLOOKUP(A280,'Team Stats'!$B$2:$B$366,'Team Stats'!$F$2:$F$366)+0.44*_xlfn.XLOOKUP(A280,'Team Stats'!$B$2:$B$366,'Team Stats'!$L$2:$L$366)+_xlfn.XLOOKUP(A280,'Team Stats'!$B$2:$B$366,'Team Stats'!$T$2:$T$366)-_xlfn.XLOOKUP(A280,'Team Stats'!$B$2:$B$366,'Team Stats'!$N$2:$N$366)</f>
        <v>67.260000000000005</v>
      </c>
      <c r="G280">
        <f>_xlfn.XLOOKUP(A280,'Team Stats'!$B$2:$B$366,'Team Stats'!$D$2:$D$366)/F280</f>
        <v>1.0585786500148677</v>
      </c>
      <c r="H280">
        <f>_xlfn.XLOOKUP(A280,'Team Stats'!$B$2:$B$366,'Team Stats'!$D$2:$D$366)</f>
        <v>71.2</v>
      </c>
    </row>
    <row r="281" spans="1:8" ht="15" customHeight="1" x14ac:dyDescent="0.25">
      <c r="A281" t="s">
        <v>287</v>
      </c>
      <c r="B281" s="146">
        <f t="array" ref="B281">_xlfn.XLOOKUP(A281,'Team Stats'!$B$2:$B$366,('Team Stats'!$E$2:$E$366+'Team Stats'!$H$2:$H$366/2)/'Team Stats'!$F$2:$F$366)*100</f>
        <v>51.655052264808369</v>
      </c>
      <c r="C281" s="146">
        <f>_xlfn.XLOOKUP(A281,'Team Stats'!$B$2:$B$366,'Team Stats'!$T$2:$T$366)/( _xlfn.XLOOKUP(A281,'Team Stats'!$B$2:$B$366,'Team Stats'!$T$2:$T$366)+_xlfn.XLOOKUP(A281,'Team Stats'!$B$2:$B$366,'Team Stats'!$F$2:$F$366)+0.44*_xlfn.XLOOKUP(A281,'Team Stats'!$B$2:$B$366,'Team Stats'!$L$2:$L$366)+_xlfn.XLOOKUP(A281,'Team Stats'!$B$2:$B$366,'Team Stats'!$Q$2:$Q$366))*100</f>
        <v>12.557180016144946</v>
      </c>
      <c r="D281" s="146">
        <f>_xlfn.XLOOKUP(A281,'Team Stats'!$B$2:$B$366,'Team Stats'!$N$2:$N$366)/(_xlfn.XLOOKUP(A281,'Team Stats'!$B$2:$B$366,'Team Stats'!$N$2:$N$366)+_xlfn.XLOOKUP(A281,'Opponents stats vs'!$B$2:$B$366,'Opponents stats vs'!$O$2:$O$366))*100</f>
        <v>33.636363636363633</v>
      </c>
      <c r="E281" s="146">
        <f>_xlfn.XLOOKUP(A281,'Team Stats'!$B$2:$B$366,'Team Stats'!$K$2:$K$366)/_xlfn.XLOOKUP(A281,'Team Stats'!$B$2:$B$366,'Team Stats'!$F$2:$F$366)*100</f>
        <v>24.041811846689896</v>
      </c>
      <c r="F281" s="146">
        <f>_xlfn.XLOOKUP(A281,'Team Stats'!$B$2:$B$366,'Team Stats'!$F$2:$F$366)+0.44*_xlfn.XLOOKUP(A281,'Team Stats'!$B$2:$B$366,'Team Stats'!$L$2:$L$366)+_xlfn.XLOOKUP(A281,'Team Stats'!$B$2:$B$366,'Team Stats'!$T$2:$T$366)-_xlfn.XLOOKUP(A281,'Team Stats'!$B$2:$B$366,'Team Stats'!$N$2:$N$366)</f>
        <v>65.992000000000004</v>
      </c>
      <c r="G281">
        <f>_xlfn.XLOOKUP(A281,'Team Stats'!$B$2:$B$366,'Team Stats'!$D$2:$D$366)/F281</f>
        <v>1.1077100254576311</v>
      </c>
      <c r="H281">
        <f>_xlfn.XLOOKUP(A281,'Team Stats'!$B$2:$B$366,'Team Stats'!$D$2:$D$366)</f>
        <v>73.099999999999994</v>
      </c>
    </row>
    <row r="282" spans="1:8" ht="15" customHeight="1" x14ac:dyDescent="0.25">
      <c r="A282" t="s">
        <v>137</v>
      </c>
      <c r="B282" s="146">
        <f t="array" ref="B282">_xlfn.XLOOKUP(A282,'Team Stats'!$B$2:$B$366,('Team Stats'!$E$2:$E$366+'Team Stats'!$H$2:$H$366/2)/'Team Stats'!$F$2:$F$366)*100</f>
        <v>49.487179487179482</v>
      </c>
      <c r="C282" s="146">
        <f>_xlfn.XLOOKUP(A282,'Team Stats'!$B$2:$B$366,'Team Stats'!$T$2:$T$366)/( _xlfn.XLOOKUP(A282,'Team Stats'!$B$2:$B$366,'Team Stats'!$T$2:$T$366)+_xlfn.XLOOKUP(A282,'Team Stats'!$B$2:$B$366,'Team Stats'!$F$2:$F$366)+0.44*_xlfn.XLOOKUP(A282,'Team Stats'!$B$2:$B$366,'Team Stats'!$L$2:$L$366)+_xlfn.XLOOKUP(A282,'Team Stats'!$B$2:$B$366,'Team Stats'!$Q$2:$Q$366))*100</f>
        <v>14.057603983345496</v>
      </c>
      <c r="D282" s="146">
        <f>_xlfn.XLOOKUP(A282,'Team Stats'!$B$2:$B$366,'Team Stats'!$N$2:$N$366)/(_xlfn.XLOOKUP(A282,'Team Stats'!$B$2:$B$366,'Team Stats'!$N$2:$N$366)+_xlfn.XLOOKUP(A282,'Opponents stats vs'!$B$2:$B$366,'Opponents stats vs'!$O$2:$O$366))*100</f>
        <v>28.932584269662918</v>
      </c>
      <c r="E282" s="146">
        <f>_xlfn.XLOOKUP(A282,'Team Stats'!$B$2:$B$366,'Team Stats'!$K$2:$K$366)/_xlfn.XLOOKUP(A282,'Team Stats'!$B$2:$B$366,'Team Stats'!$F$2:$F$366)*100</f>
        <v>25.641025641025639</v>
      </c>
      <c r="F282" s="146">
        <f>_xlfn.XLOOKUP(A282,'Team Stats'!$B$2:$B$366,'Team Stats'!$F$2:$F$366)+0.44*_xlfn.XLOOKUP(A282,'Team Stats'!$B$2:$B$366,'Team Stats'!$L$2:$L$366)+_xlfn.XLOOKUP(A282,'Team Stats'!$B$2:$B$366,'Team Stats'!$T$2:$T$366)-_xlfn.XLOOKUP(A282,'Team Stats'!$B$2:$B$366,'Team Stats'!$N$2:$N$366)</f>
        <v>70.188000000000002</v>
      </c>
      <c r="G282">
        <f>_xlfn.XLOOKUP(A282,'Team Stats'!$B$2:$B$366,'Team Stats'!$D$2:$D$366)/F282</f>
        <v>1.0386390836040349</v>
      </c>
      <c r="H282">
        <f>_xlfn.XLOOKUP(A282,'Team Stats'!$B$2:$B$366,'Team Stats'!$D$2:$D$366)</f>
        <v>72.900000000000006</v>
      </c>
    </row>
    <row r="283" spans="1:8" ht="15" customHeight="1" x14ac:dyDescent="0.25">
      <c r="A283" t="s">
        <v>366</v>
      </c>
      <c r="B283" s="146">
        <f t="array" ref="B283">_xlfn.XLOOKUP(A283,'Team Stats'!$B$2:$B$366,('Team Stats'!$E$2:$E$366+'Team Stats'!$H$2:$H$366/2)/'Team Stats'!$F$2:$F$366)*100</f>
        <v>50.173913043478265</v>
      </c>
      <c r="C283" s="146">
        <f>_xlfn.XLOOKUP(A283,'Team Stats'!$B$2:$B$366,'Team Stats'!$T$2:$T$366)/( _xlfn.XLOOKUP(A283,'Team Stats'!$B$2:$B$366,'Team Stats'!$T$2:$T$366)+_xlfn.XLOOKUP(A283,'Team Stats'!$B$2:$B$366,'Team Stats'!$F$2:$F$366)+0.44*_xlfn.XLOOKUP(A283,'Team Stats'!$B$2:$B$366,'Team Stats'!$L$2:$L$366)+_xlfn.XLOOKUP(A283,'Team Stats'!$B$2:$B$366,'Team Stats'!$Q$2:$Q$366))*100</f>
        <v>14.465956058298893</v>
      </c>
      <c r="D283" s="146">
        <f>_xlfn.XLOOKUP(A283,'Team Stats'!$B$2:$B$366,'Team Stats'!$N$2:$N$366)/(_xlfn.XLOOKUP(A283,'Team Stats'!$B$2:$B$366,'Team Stats'!$N$2:$N$366)+_xlfn.XLOOKUP(A283,'Opponents stats vs'!$B$2:$B$366,'Opponents stats vs'!$O$2:$O$366))*100</f>
        <v>29.714285714285715</v>
      </c>
      <c r="E283" s="146">
        <f>_xlfn.XLOOKUP(A283,'Team Stats'!$B$2:$B$366,'Team Stats'!$K$2:$K$366)/_xlfn.XLOOKUP(A283,'Team Stats'!$B$2:$B$366,'Team Stats'!$F$2:$F$366)*100</f>
        <v>27.130434782608699</v>
      </c>
      <c r="F283" s="146">
        <f>_xlfn.XLOOKUP(A283,'Team Stats'!$B$2:$B$366,'Team Stats'!$F$2:$F$366)+0.44*_xlfn.XLOOKUP(A283,'Team Stats'!$B$2:$B$366,'Team Stats'!$L$2:$L$366)+_xlfn.XLOOKUP(A283,'Team Stats'!$B$2:$B$366,'Team Stats'!$T$2:$T$366)-_xlfn.XLOOKUP(A283,'Team Stats'!$B$2:$B$366,'Team Stats'!$N$2:$N$366)</f>
        <v>69.639999999999986</v>
      </c>
      <c r="G283">
        <f>_xlfn.XLOOKUP(A283,'Team Stats'!$B$2:$B$366,'Team Stats'!$D$2:$D$366)/F283</f>
        <v>1.0525560022975302</v>
      </c>
      <c r="H283">
        <f>_xlfn.XLOOKUP(A283,'Team Stats'!$B$2:$B$366,'Team Stats'!$D$2:$D$366)</f>
        <v>73.3</v>
      </c>
    </row>
    <row r="284" spans="1:8" ht="15" customHeight="1" x14ac:dyDescent="0.25">
      <c r="A284" t="s">
        <v>376</v>
      </c>
      <c r="B284" s="146">
        <f t="array" ref="B284">_xlfn.XLOOKUP(A284,'Team Stats'!$B$2:$B$366,('Team Stats'!$E$2:$E$366+'Team Stats'!$H$2:$H$366/2)/'Team Stats'!$F$2:$F$366)*100</f>
        <v>51.926605504587151</v>
      </c>
      <c r="C284" s="146">
        <f>_xlfn.XLOOKUP(A284,'Team Stats'!$B$2:$B$366,'Team Stats'!$T$2:$T$366)/( _xlfn.XLOOKUP(A284,'Team Stats'!$B$2:$B$366,'Team Stats'!$T$2:$T$366)+_xlfn.XLOOKUP(A284,'Team Stats'!$B$2:$B$366,'Team Stats'!$F$2:$F$366)+0.44*_xlfn.XLOOKUP(A284,'Team Stats'!$B$2:$B$366,'Team Stats'!$L$2:$L$366)+_xlfn.XLOOKUP(A284,'Team Stats'!$B$2:$B$366,'Team Stats'!$Q$2:$Q$366))*100</f>
        <v>14.315518465909092</v>
      </c>
      <c r="D284" s="146">
        <f>_xlfn.XLOOKUP(A284,'Team Stats'!$B$2:$B$366,'Team Stats'!$N$2:$N$366)/(_xlfn.XLOOKUP(A284,'Team Stats'!$B$2:$B$366,'Team Stats'!$N$2:$N$366)+_xlfn.XLOOKUP(A284,'Opponents stats vs'!$B$2:$B$366,'Opponents stats vs'!$O$2:$O$366))*100</f>
        <v>34.25925925925926</v>
      </c>
      <c r="E284" s="146">
        <f>_xlfn.XLOOKUP(A284,'Team Stats'!$B$2:$B$366,'Team Stats'!$K$2:$K$366)/_xlfn.XLOOKUP(A284,'Team Stats'!$B$2:$B$366,'Team Stats'!$F$2:$F$366)*100</f>
        <v>27.88990825688073</v>
      </c>
      <c r="F284" s="146">
        <f>_xlfn.XLOOKUP(A284,'Team Stats'!$B$2:$B$366,'Team Stats'!$F$2:$F$366)+0.44*_xlfn.XLOOKUP(A284,'Team Stats'!$B$2:$B$366,'Team Stats'!$L$2:$L$366)+_xlfn.XLOOKUP(A284,'Team Stats'!$B$2:$B$366,'Team Stats'!$T$2:$T$366)-_xlfn.XLOOKUP(A284,'Team Stats'!$B$2:$B$366,'Team Stats'!$N$2:$N$366)</f>
        <v>66.112000000000009</v>
      </c>
      <c r="G284">
        <f>_xlfn.XLOOKUP(A284,'Team Stats'!$B$2:$B$366,'Team Stats'!$D$2:$D$366)/F284</f>
        <v>1.0860358180058081</v>
      </c>
      <c r="H284">
        <f>_xlfn.XLOOKUP(A284,'Team Stats'!$B$2:$B$366,'Team Stats'!$D$2:$D$366)</f>
        <v>71.8</v>
      </c>
    </row>
    <row r="285" spans="1:8" ht="15" customHeight="1" x14ac:dyDescent="0.25">
      <c r="A285" t="s">
        <v>238</v>
      </c>
      <c r="B285" s="146">
        <f t="array" ref="B285">_xlfn.XLOOKUP(A285,'Team Stats'!$B$2:$B$366,('Team Stats'!$E$2:$E$366+'Team Stats'!$H$2:$H$366/2)/'Team Stats'!$F$2:$F$366)*100</f>
        <v>50.355871886120994</v>
      </c>
      <c r="C285" s="146">
        <f>_xlfn.XLOOKUP(A285,'Team Stats'!$B$2:$B$366,'Team Stats'!$T$2:$T$366)/( _xlfn.XLOOKUP(A285,'Team Stats'!$B$2:$B$366,'Team Stats'!$T$2:$T$366)+_xlfn.XLOOKUP(A285,'Team Stats'!$B$2:$B$366,'Team Stats'!$F$2:$F$366)+0.44*_xlfn.XLOOKUP(A285,'Team Stats'!$B$2:$B$366,'Team Stats'!$L$2:$L$366)+_xlfn.XLOOKUP(A285,'Team Stats'!$B$2:$B$366,'Team Stats'!$Q$2:$Q$366))*100</f>
        <v>13.2131871940389</v>
      </c>
      <c r="D285" s="146">
        <f>_xlfn.XLOOKUP(A285,'Team Stats'!$B$2:$B$366,'Team Stats'!$N$2:$N$366)/(_xlfn.XLOOKUP(A285,'Team Stats'!$B$2:$B$366,'Team Stats'!$N$2:$N$366)+_xlfn.XLOOKUP(A285,'Opponents stats vs'!$B$2:$B$366,'Opponents stats vs'!$O$2:$O$366))*100</f>
        <v>30.059523809523807</v>
      </c>
      <c r="E285" s="146">
        <f>_xlfn.XLOOKUP(A285,'Team Stats'!$B$2:$B$366,'Team Stats'!$K$2:$K$366)/_xlfn.XLOOKUP(A285,'Team Stats'!$B$2:$B$366,'Team Stats'!$F$2:$F$366)*100</f>
        <v>25.088967971530245</v>
      </c>
      <c r="F285" s="146">
        <f>_xlfn.XLOOKUP(A285,'Team Stats'!$B$2:$B$366,'Team Stats'!$F$2:$F$366)+0.44*_xlfn.XLOOKUP(A285,'Team Stats'!$B$2:$B$366,'Team Stats'!$L$2:$L$366)+_xlfn.XLOOKUP(A285,'Team Stats'!$B$2:$B$366,'Team Stats'!$T$2:$T$366)-_xlfn.XLOOKUP(A285,'Team Stats'!$B$2:$B$366,'Team Stats'!$N$2:$N$366)</f>
        <v>67.232000000000014</v>
      </c>
      <c r="G285">
        <f>_xlfn.XLOOKUP(A285,'Team Stats'!$B$2:$B$366,'Team Stats'!$D$2:$D$366)/F285</f>
        <v>1.0515825797239409</v>
      </c>
      <c r="H285">
        <f>_xlfn.XLOOKUP(A285,'Team Stats'!$B$2:$B$366,'Team Stats'!$D$2:$D$366)</f>
        <v>70.7</v>
      </c>
    </row>
    <row r="286" spans="1:8" ht="15" customHeight="1" x14ac:dyDescent="0.25">
      <c r="A286" t="s">
        <v>403</v>
      </c>
      <c r="B286" s="146">
        <f t="array" ref="B286">_xlfn.XLOOKUP(A286,'Team Stats'!$B$2:$B$366,('Team Stats'!$E$2:$E$366+'Team Stats'!$H$2:$H$366/2)/'Team Stats'!$F$2:$F$366)*100</f>
        <v>47.934595524956961</v>
      </c>
      <c r="C286" s="146">
        <f>_xlfn.XLOOKUP(A286,'Team Stats'!$B$2:$B$366,'Team Stats'!$T$2:$T$366)/( _xlfn.XLOOKUP(A286,'Team Stats'!$B$2:$B$366,'Team Stats'!$T$2:$T$366)+_xlfn.XLOOKUP(A286,'Team Stats'!$B$2:$B$366,'Team Stats'!$F$2:$F$366)+0.44*_xlfn.XLOOKUP(A286,'Team Stats'!$B$2:$B$366,'Team Stats'!$L$2:$L$366)+_xlfn.XLOOKUP(A286,'Team Stats'!$B$2:$B$366,'Team Stats'!$Q$2:$Q$366))*100</f>
        <v>12.339477592382284</v>
      </c>
      <c r="D286" s="146">
        <f>_xlfn.XLOOKUP(A286,'Team Stats'!$B$2:$B$366,'Team Stats'!$N$2:$N$366)/(_xlfn.XLOOKUP(A286,'Team Stats'!$B$2:$B$366,'Team Stats'!$N$2:$N$366)+_xlfn.XLOOKUP(A286,'Opponents stats vs'!$B$2:$B$366,'Opponents stats vs'!$O$2:$O$366))*100</f>
        <v>35.919540229885058</v>
      </c>
      <c r="E286" s="146">
        <f>_xlfn.XLOOKUP(A286,'Team Stats'!$B$2:$B$366,'Team Stats'!$K$2:$K$366)/_xlfn.XLOOKUP(A286,'Team Stats'!$B$2:$B$366,'Team Stats'!$F$2:$F$366)*100</f>
        <v>25.473321858864029</v>
      </c>
      <c r="F286" s="146">
        <f>_xlfn.XLOOKUP(A286,'Team Stats'!$B$2:$B$366,'Team Stats'!$F$2:$F$366)+0.44*_xlfn.XLOOKUP(A286,'Team Stats'!$B$2:$B$366,'Team Stats'!$L$2:$L$366)+_xlfn.XLOOKUP(A286,'Team Stats'!$B$2:$B$366,'Team Stats'!$T$2:$T$366)-_xlfn.XLOOKUP(A286,'Team Stats'!$B$2:$B$366,'Team Stats'!$N$2:$N$366)</f>
        <v>65.875999999999991</v>
      </c>
      <c r="G286">
        <f>_xlfn.XLOOKUP(A286,'Team Stats'!$B$2:$B$366,'Team Stats'!$D$2:$D$366)/F286</f>
        <v>1.0701924828465603</v>
      </c>
      <c r="H286">
        <f>_xlfn.XLOOKUP(A286,'Team Stats'!$B$2:$B$366,'Team Stats'!$D$2:$D$366)</f>
        <v>70.5</v>
      </c>
    </row>
    <row r="287" spans="1:8" ht="15" customHeight="1" x14ac:dyDescent="0.25">
      <c r="A287" t="s">
        <v>460</v>
      </c>
      <c r="B287" s="146">
        <f t="array" ref="B287">_xlfn.XLOOKUP(A287,'Team Stats'!$B$2:$B$366,('Team Stats'!$E$2:$E$366+'Team Stats'!$H$2:$H$366/2)/'Team Stats'!$F$2:$F$366)*100</f>
        <v>50.429553264604806</v>
      </c>
      <c r="C287" s="146">
        <f>_xlfn.XLOOKUP(A287,'Team Stats'!$B$2:$B$366,'Team Stats'!$T$2:$T$366)/( _xlfn.XLOOKUP(A287,'Team Stats'!$B$2:$B$366,'Team Stats'!$T$2:$T$366)+_xlfn.XLOOKUP(A287,'Team Stats'!$B$2:$B$366,'Team Stats'!$F$2:$F$366)+0.44*_xlfn.XLOOKUP(A287,'Team Stats'!$B$2:$B$366,'Team Stats'!$L$2:$L$366)+_xlfn.XLOOKUP(A287,'Team Stats'!$B$2:$B$366,'Team Stats'!$Q$2:$Q$366))*100</f>
        <v>13.977461343583473</v>
      </c>
      <c r="D287" s="146">
        <f>_xlfn.XLOOKUP(A287,'Team Stats'!$B$2:$B$366,'Team Stats'!$N$2:$N$366)/(_xlfn.XLOOKUP(A287,'Team Stats'!$B$2:$B$366,'Team Stats'!$N$2:$N$366)+_xlfn.XLOOKUP(A287,'Opponents stats vs'!$B$2:$B$366,'Opponents stats vs'!$O$2:$O$366))*100</f>
        <v>34</v>
      </c>
      <c r="E287" s="146">
        <f>_xlfn.XLOOKUP(A287,'Team Stats'!$B$2:$B$366,'Team Stats'!$K$2:$K$366)/_xlfn.XLOOKUP(A287,'Team Stats'!$B$2:$B$366,'Team Stats'!$F$2:$F$366)*100</f>
        <v>22.336769759450171</v>
      </c>
      <c r="F287" s="146">
        <f>_xlfn.XLOOKUP(A287,'Team Stats'!$B$2:$B$366,'Team Stats'!$F$2:$F$366)+0.44*_xlfn.XLOOKUP(A287,'Team Stats'!$B$2:$B$366,'Team Stats'!$L$2:$L$366)+_xlfn.XLOOKUP(A287,'Team Stats'!$B$2:$B$366,'Team Stats'!$T$2:$T$366)-_xlfn.XLOOKUP(A287,'Team Stats'!$B$2:$B$366,'Team Stats'!$N$2:$N$366)</f>
        <v>66.975999999999999</v>
      </c>
      <c r="G287">
        <f>_xlfn.XLOOKUP(A287,'Team Stats'!$B$2:$B$366,'Team Stats'!$D$2:$D$366)/F287</f>
        <v>1.0720258002866698</v>
      </c>
      <c r="H287">
        <f>_xlfn.XLOOKUP(A287,'Team Stats'!$B$2:$B$366,'Team Stats'!$D$2:$D$366)</f>
        <v>71.8</v>
      </c>
    </row>
    <row r="288" spans="1:8" ht="15" customHeight="1" x14ac:dyDescent="0.25">
      <c r="A288" t="s">
        <v>297</v>
      </c>
      <c r="B288" s="146">
        <f t="array" ref="B288">_xlfn.XLOOKUP(A288,'Team Stats'!$B$2:$B$366,('Team Stats'!$E$2:$E$366+'Team Stats'!$H$2:$H$366/2)/'Team Stats'!$F$2:$F$366)*100</f>
        <v>48.580968280467445</v>
      </c>
      <c r="C288" s="146">
        <f>_xlfn.XLOOKUP(A288,'Team Stats'!$B$2:$B$366,'Team Stats'!$T$2:$T$366)/( _xlfn.XLOOKUP(A288,'Team Stats'!$B$2:$B$366,'Team Stats'!$T$2:$T$366)+_xlfn.XLOOKUP(A288,'Team Stats'!$B$2:$B$366,'Team Stats'!$F$2:$F$366)+0.44*_xlfn.XLOOKUP(A288,'Team Stats'!$B$2:$B$366,'Team Stats'!$L$2:$L$366)+_xlfn.XLOOKUP(A288,'Team Stats'!$B$2:$B$366,'Team Stats'!$Q$2:$Q$366))*100</f>
        <v>12.806283616494493</v>
      </c>
      <c r="D288" s="146">
        <f>_xlfn.XLOOKUP(A288,'Team Stats'!$B$2:$B$366,'Team Stats'!$N$2:$N$366)/(_xlfn.XLOOKUP(A288,'Team Stats'!$B$2:$B$366,'Team Stats'!$N$2:$N$366)+_xlfn.XLOOKUP(A288,'Opponents stats vs'!$B$2:$B$366,'Opponents stats vs'!$O$2:$O$366))*100</f>
        <v>36.065573770491802</v>
      </c>
      <c r="E288" s="146">
        <f>_xlfn.XLOOKUP(A288,'Team Stats'!$B$2:$B$366,'Team Stats'!$K$2:$K$366)/_xlfn.XLOOKUP(A288,'Team Stats'!$B$2:$B$366,'Team Stats'!$F$2:$F$366)*100</f>
        <v>19.532554257095157</v>
      </c>
      <c r="F288" s="146">
        <f>_xlfn.XLOOKUP(A288,'Team Stats'!$B$2:$B$366,'Team Stats'!$F$2:$F$366)+0.44*_xlfn.XLOOKUP(A288,'Team Stats'!$B$2:$B$366,'Team Stats'!$L$2:$L$366)+_xlfn.XLOOKUP(A288,'Team Stats'!$B$2:$B$366,'Team Stats'!$T$2:$T$366)-_xlfn.XLOOKUP(A288,'Team Stats'!$B$2:$B$366,'Team Stats'!$N$2:$N$366)</f>
        <v>66.003999999999991</v>
      </c>
      <c r="G288">
        <f>_xlfn.XLOOKUP(A288,'Team Stats'!$B$2:$B$366,'Team Stats'!$D$2:$D$366)/F288</f>
        <v>1.0590267256529911</v>
      </c>
      <c r="H288">
        <f>_xlfn.XLOOKUP(A288,'Team Stats'!$B$2:$B$366,'Team Stats'!$D$2:$D$366)</f>
        <v>69.900000000000006</v>
      </c>
    </row>
    <row r="289" spans="1:8" ht="15" customHeight="1" x14ac:dyDescent="0.25">
      <c r="A289" t="s">
        <v>393</v>
      </c>
      <c r="B289" s="146">
        <f t="array" ref="B289">_xlfn.XLOOKUP(A289,'Team Stats'!$B$2:$B$366,('Team Stats'!$E$2:$E$366+'Team Stats'!$H$2:$H$366/2)/'Team Stats'!$F$2:$F$366)*100</f>
        <v>49.49579831932774</v>
      </c>
      <c r="C289" s="146">
        <f>_xlfn.XLOOKUP(A289,'Team Stats'!$B$2:$B$366,'Team Stats'!$T$2:$T$366)/( _xlfn.XLOOKUP(A289,'Team Stats'!$B$2:$B$366,'Team Stats'!$T$2:$T$366)+_xlfn.XLOOKUP(A289,'Team Stats'!$B$2:$B$366,'Team Stats'!$F$2:$F$366)+0.44*_xlfn.XLOOKUP(A289,'Team Stats'!$B$2:$B$366,'Team Stats'!$L$2:$L$366)+_xlfn.XLOOKUP(A289,'Team Stats'!$B$2:$B$366,'Team Stats'!$Q$2:$Q$366))*100</f>
        <v>13.751492410028995</v>
      </c>
      <c r="D289" s="146">
        <f>_xlfn.XLOOKUP(A289,'Team Stats'!$B$2:$B$366,'Team Stats'!$N$2:$N$366)/(_xlfn.XLOOKUP(A289,'Team Stats'!$B$2:$B$366,'Team Stats'!$N$2:$N$366)+_xlfn.XLOOKUP(A289,'Opponents stats vs'!$B$2:$B$366,'Opponents stats vs'!$O$2:$O$366))*100</f>
        <v>28.767123287671232</v>
      </c>
      <c r="E289" s="146">
        <f>_xlfn.XLOOKUP(A289,'Team Stats'!$B$2:$B$366,'Team Stats'!$K$2:$K$366)/_xlfn.XLOOKUP(A289,'Team Stats'!$B$2:$B$366,'Team Stats'!$F$2:$F$366)*100</f>
        <v>21.176470588235293</v>
      </c>
      <c r="F289" s="146">
        <f>_xlfn.XLOOKUP(A289,'Team Stats'!$B$2:$B$366,'Team Stats'!$F$2:$F$366)+0.44*_xlfn.XLOOKUP(A289,'Team Stats'!$B$2:$B$366,'Team Stats'!$L$2:$L$366)+_xlfn.XLOOKUP(A289,'Team Stats'!$B$2:$B$366,'Team Stats'!$T$2:$T$366)-_xlfn.XLOOKUP(A289,'Team Stats'!$B$2:$B$366,'Team Stats'!$N$2:$N$366)</f>
        <v>69.908000000000001</v>
      </c>
      <c r="G289">
        <f>_xlfn.XLOOKUP(A289,'Team Stats'!$B$2:$B$366,'Team Stats'!$D$2:$D$366)/F289</f>
        <v>1.0227727870916061</v>
      </c>
      <c r="H289">
        <f>_xlfn.XLOOKUP(A289,'Team Stats'!$B$2:$B$366,'Team Stats'!$D$2:$D$366)</f>
        <v>71.5</v>
      </c>
    </row>
    <row r="290" spans="1:8" ht="15" customHeight="1" x14ac:dyDescent="0.25">
      <c r="A290" t="s">
        <v>316</v>
      </c>
      <c r="B290" s="146">
        <f t="array" ref="B290">_xlfn.XLOOKUP(A290,'Team Stats'!$B$2:$B$366,('Team Stats'!$E$2:$E$366+'Team Stats'!$H$2:$H$366/2)/'Team Stats'!$F$2:$F$366)*100</f>
        <v>47.898423817863403</v>
      </c>
      <c r="C290" s="146">
        <f>_xlfn.XLOOKUP(A290,'Team Stats'!$B$2:$B$366,'Team Stats'!$T$2:$T$366)/( _xlfn.XLOOKUP(A290,'Team Stats'!$B$2:$B$366,'Team Stats'!$T$2:$T$366)+_xlfn.XLOOKUP(A290,'Team Stats'!$B$2:$B$366,'Team Stats'!$F$2:$F$366)+0.44*_xlfn.XLOOKUP(A290,'Team Stats'!$B$2:$B$366,'Team Stats'!$L$2:$L$366)+_xlfn.XLOOKUP(A290,'Team Stats'!$B$2:$B$366,'Team Stats'!$Q$2:$Q$366))*100</f>
        <v>13.991493172151333</v>
      </c>
      <c r="D290" s="146">
        <f>_xlfn.XLOOKUP(A290,'Team Stats'!$B$2:$B$366,'Team Stats'!$N$2:$N$366)/(_xlfn.XLOOKUP(A290,'Team Stats'!$B$2:$B$366,'Team Stats'!$N$2:$N$366)+_xlfn.XLOOKUP(A290,'Opponents stats vs'!$B$2:$B$366,'Opponents stats vs'!$O$2:$O$366))*100</f>
        <v>33.516483516483511</v>
      </c>
      <c r="E290" s="146">
        <f>_xlfn.XLOOKUP(A290,'Team Stats'!$B$2:$B$366,'Team Stats'!$K$2:$K$366)/_xlfn.XLOOKUP(A290,'Team Stats'!$B$2:$B$366,'Team Stats'!$F$2:$F$366)*100</f>
        <v>26.444833625218912</v>
      </c>
      <c r="F290" s="146">
        <f>_xlfn.XLOOKUP(A290,'Team Stats'!$B$2:$B$366,'Team Stats'!$F$2:$F$366)+0.44*_xlfn.XLOOKUP(A290,'Team Stats'!$B$2:$B$366,'Team Stats'!$L$2:$L$366)+_xlfn.XLOOKUP(A290,'Team Stats'!$B$2:$B$366,'Team Stats'!$T$2:$T$366)-_xlfn.XLOOKUP(A290,'Team Stats'!$B$2:$B$366,'Team Stats'!$N$2:$N$366)</f>
        <v>66.64</v>
      </c>
      <c r="G290">
        <f>_xlfn.XLOOKUP(A290,'Team Stats'!$B$2:$B$366,'Team Stats'!$D$2:$D$366)/F290</f>
        <v>1.0474189675870347</v>
      </c>
      <c r="H290">
        <f>_xlfn.XLOOKUP(A290,'Team Stats'!$B$2:$B$366,'Team Stats'!$D$2:$D$366)</f>
        <v>69.8</v>
      </c>
    </row>
    <row r="291" spans="1:8" ht="15" customHeight="1" x14ac:dyDescent="0.25">
      <c r="A291" t="s">
        <v>457</v>
      </c>
      <c r="B291" s="146">
        <f t="array" ref="B291">_xlfn.XLOOKUP(A291,'Team Stats'!$B$2:$B$366,('Team Stats'!$E$2:$E$366+'Team Stats'!$H$2:$H$366/2)/'Team Stats'!$F$2:$F$366)*100</f>
        <v>48.362068965517238</v>
      </c>
      <c r="C291" s="146">
        <f>_xlfn.XLOOKUP(A291,'Team Stats'!$B$2:$B$366,'Team Stats'!$T$2:$T$366)/( _xlfn.XLOOKUP(A291,'Team Stats'!$B$2:$B$366,'Team Stats'!$T$2:$T$366)+_xlfn.XLOOKUP(A291,'Team Stats'!$B$2:$B$366,'Team Stats'!$F$2:$F$366)+0.44*_xlfn.XLOOKUP(A291,'Team Stats'!$B$2:$B$366,'Team Stats'!$L$2:$L$366)+_xlfn.XLOOKUP(A291,'Team Stats'!$B$2:$B$366,'Team Stats'!$Q$2:$Q$366))*100</f>
        <v>11.454116809750456</v>
      </c>
      <c r="D291" s="146">
        <f>_xlfn.XLOOKUP(A291,'Team Stats'!$B$2:$B$366,'Team Stats'!$N$2:$N$366)/(_xlfn.XLOOKUP(A291,'Team Stats'!$B$2:$B$366,'Team Stats'!$N$2:$N$366)+_xlfn.XLOOKUP(A291,'Opponents stats vs'!$B$2:$B$366,'Opponents stats vs'!$O$2:$O$366))*100</f>
        <v>32.697547683923709</v>
      </c>
      <c r="E291" s="146">
        <f>_xlfn.XLOOKUP(A291,'Team Stats'!$B$2:$B$366,'Team Stats'!$K$2:$K$366)/_xlfn.XLOOKUP(A291,'Team Stats'!$B$2:$B$366,'Team Stats'!$F$2:$F$366)*100</f>
        <v>26.896551724137929</v>
      </c>
      <c r="F291" s="146">
        <f>_xlfn.XLOOKUP(A291,'Team Stats'!$B$2:$B$366,'Team Stats'!$F$2:$F$366)+0.44*_xlfn.XLOOKUP(A291,'Team Stats'!$B$2:$B$366,'Team Stats'!$L$2:$L$366)+_xlfn.XLOOKUP(A291,'Team Stats'!$B$2:$B$366,'Team Stats'!$T$2:$T$366)-_xlfn.XLOOKUP(A291,'Team Stats'!$B$2:$B$366,'Team Stats'!$N$2:$N$366)</f>
        <v>66.024000000000001</v>
      </c>
      <c r="G291">
        <f>_xlfn.XLOOKUP(A291,'Team Stats'!$B$2:$B$366,'Team Stats'!$D$2:$D$366)/F291</f>
        <v>1.0844541378892523</v>
      </c>
      <c r="H291">
        <f>_xlfn.XLOOKUP(A291,'Team Stats'!$B$2:$B$366,'Team Stats'!$D$2:$D$366)</f>
        <v>71.599999999999994</v>
      </c>
    </row>
    <row r="292" spans="1:8" ht="15" customHeight="1" x14ac:dyDescent="0.25">
      <c r="A292" t="s">
        <v>189</v>
      </c>
      <c r="B292" s="146">
        <f t="array" ref="B292">_xlfn.XLOOKUP(A292,'Team Stats'!$B$2:$B$366,('Team Stats'!$E$2:$E$366+'Team Stats'!$H$2:$H$366/2)/'Team Stats'!$F$2:$F$366)*100</f>
        <v>51.142355008787355</v>
      </c>
      <c r="C292" s="146">
        <f>_xlfn.XLOOKUP(A292,'Team Stats'!$B$2:$B$366,'Team Stats'!$T$2:$T$366)/( _xlfn.XLOOKUP(A292,'Team Stats'!$B$2:$B$366,'Team Stats'!$T$2:$T$366)+_xlfn.XLOOKUP(A292,'Team Stats'!$B$2:$B$366,'Team Stats'!$F$2:$F$366)+0.44*_xlfn.XLOOKUP(A292,'Team Stats'!$B$2:$B$366,'Team Stats'!$L$2:$L$366)+_xlfn.XLOOKUP(A292,'Team Stats'!$B$2:$B$366,'Team Stats'!$Q$2:$Q$366))*100</f>
        <v>11.167764642180309</v>
      </c>
      <c r="D292" s="146">
        <f>_xlfn.XLOOKUP(A292,'Team Stats'!$B$2:$B$366,'Team Stats'!$N$2:$N$366)/(_xlfn.XLOOKUP(A292,'Team Stats'!$B$2:$B$366,'Team Stats'!$N$2:$N$366)+_xlfn.XLOOKUP(A292,'Opponents stats vs'!$B$2:$B$366,'Opponents stats vs'!$O$2:$O$366))*100</f>
        <v>34.550561797752813</v>
      </c>
      <c r="E292" s="146">
        <f>_xlfn.XLOOKUP(A292,'Team Stats'!$B$2:$B$366,'Team Stats'!$K$2:$K$366)/_xlfn.XLOOKUP(A292,'Team Stats'!$B$2:$B$366,'Team Stats'!$F$2:$F$366)*100</f>
        <v>24.253075571177508</v>
      </c>
      <c r="F292" s="146">
        <f>_xlfn.XLOOKUP(A292,'Team Stats'!$B$2:$B$366,'Team Stats'!$F$2:$F$366)+0.44*_xlfn.XLOOKUP(A292,'Team Stats'!$B$2:$B$366,'Team Stats'!$L$2:$L$366)+_xlfn.XLOOKUP(A292,'Team Stats'!$B$2:$B$366,'Team Stats'!$T$2:$T$366)-_xlfn.XLOOKUP(A292,'Team Stats'!$B$2:$B$366,'Team Stats'!$N$2:$N$366)</f>
        <v>64.048000000000002</v>
      </c>
      <c r="G292">
        <f>_xlfn.XLOOKUP(A292,'Team Stats'!$B$2:$B$366,'Team Stats'!$D$2:$D$366)/F292</f>
        <v>1.1241568823382462</v>
      </c>
      <c r="H292">
        <f>_xlfn.XLOOKUP(A292,'Team Stats'!$B$2:$B$366,'Team Stats'!$D$2:$D$366)</f>
        <v>72</v>
      </c>
    </row>
    <row r="293" spans="1:8" ht="15" customHeight="1" x14ac:dyDescent="0.25">
      <c r="A293" t="s">
        <v>250</v>
      </c>
      <c r="B293" s="146">
        <f t="array" ref="B293">_xlfn.XLOOKUP(A293,'Team Stats'!$B$2:$B$366,('Team Stats'!$E$2:$E$366+'Team Stats'!$H$2:$H$366/2)/'Team Stats'!$F$2:$F$366)*100</f>
        <v>49.829059829059837</v>
      </c>
      <c r="C293" s="146">
        <f>_xlfn.XLOOKUP(A293,'Team Stats'!$B$2:$B$366,'Team Stats'!$T$2:$T$366)/( _xlfn.XLOOKUP(A293,'Team Stats'!$B$2:$B$366,'Team Stats'!$T$2:$T$366)+_xlfn.XLOOKUP(A293,'Team Stats'!$B$2:$B$366,'Team Stats'!$F$2:$F$366)+0.44*_xlfn.XLOOKUP(A293,'Team Stats'!$B$2:$B$366,'Team Stats'!$L$2:$L$366)+_xlfn.XLOOKUP(A293,'Team Stats'!$B$2:$B$366,'Team Stats'!$Q$2:$Q$366))*100</f>
        <v>13.205969098032311</v>
      </c>
      <c r="D293" s="146">
        <f>_xlfn.XLOOKUP(A293,'Team Stats'!$B$2:$B$366,'Team Stats'!$N$2:$N$366)/(_xlfn.XLOOKUP(A293,'Team Stats'!$B$2:$B$366,'Team Stats'!$N$2:$N$366)+_xlfn.XLOOKUP(A293,'Opponents stats vs'!$B$2:$B$366,'Opponents stats vs'!$O$2:$O$366))*100</f>
        <v>28.409090909090907</v>
      </c>
      <c r="E293" s="146">
        <f>_xlfn.XLOOKUP(A293,'Team Stats'!$B$2:$B$366,'Team Stats'!$K$2:$K$366)/_xlfn.XLOOKUP(A293,'Team Stats'!$B$2:$B$366,'Team Stats'!$F$2:$F$366)*100</f>
        <v>21.367521367521366</v>
      </c>
      <c r="F293" s="146">
        <f>_xlfn.XLOOKUP(A293,'Team Stats'!$B$2:$B$366,'Team Stats'!$F$2:$F$366)+0.44*_xlfn.XLOOKUP(A293,'Team Stats'!$B$2:$B$366,'Team Stats'!$L$2:$L$366)+_xlfn.XLOOKUP(A293,'Team Stats'!$B$2:$B$366,'Team Stats'!$T$2:$T$366)-_xlfn.XLOOKUP(A293,'Team Stats'!$B$2:$B$366,'Team Stats'!$N$2:$N$366)</f>
        <v>68.067999999999998</v>
      </c>
      <c r="G293">
        <f>_xlfn.XLOOKUP(A293,'Team Stats'!$B$2:$B$366,'Team Stats'!$D$2:$D$366)/F293</f>
        <v>1.0386672151378034</v>
      </c>
      <c r="H293">
        <f>_xlfn.XLOOKUP(A293,'Team Stats'!$B$2:$B$366,'Team Stats'!$D$2:$D$366)</f>
        <v>70.7</v>
      </c>
    </row>
    <row r="294" spans="1:8" ht="15" customHeight="1" x14ac:dyDescent="0.25">
      <c r="A294" t="s">
        <v>185</v>
      </c>
      <c r="B294" s="146">
        <f t="array" ref="B294">_xlfn.XLOOKUP(A294,'Team Stats'!$B$2:$B$366,('Team Stats'!$E$2:$E$366+'Team Stats'!$H$2:$H$366/2)/'Team Stats'!$F$2:$F$366)*100</f>
        <v>49.633027522935777</v>
      </c>
      <c r="C294" s="146">
        <f>_xlfn.XLOOKUP(A294,'Team Stats'!$B$2:$B$366,'Team Stats'!$T$2:$T$366)/( _xlfn.XLOOKUP(A294,'Team Stats'!$B$2:$B$366,'Team Stats'!$T$2:$T$366)+_xlfn.XLOOKUP(A294,'Team Stats'!$B$2:$B$366,'Team Stats'!$F$2:$F$366)+0.44*_xlfn.XLOOKUP(A294,'Team Stats'!$B$2:$B$366,'Team Stats'!$L$2:$L$366)+_xlfn.XLOOKUP(A294,'Team Stats'!$B$2:$B$366,'Team Stats'!$Q$2:$Q$366))*100</f>
        <v>12.947483190986734</v>
      </c>
      <c r="D294" s="146">
        <f>_xlfn.XLOOKUP(A294,'Team Stats'!$B$2:$B$366,'Team Stats'!$N$2:$N$366)/(_xlfn.XLOOKUP(A294,'Team Stats'!$B$2:$B$366,'Team Stats'!$N$2:$N$366)+_xlfn.XLOOKUP(A294,'Opponents stats vs'!$B$2:$B$366,'Opponents stats vs'!$O$2:$O$366))*100</f>
        <v>28.059701492537314</v>
      </c>
      <c r="E294" s="146">
        <f>_xlfn.XLOOKUP(A294,'Team Stats'!$B$2:$B$366,'Team Stats'!$K$2:$K$366)/_xlfn.XLOOKUP(A294,'Team Stats'!$B$2:$B$366,'Team Stats'!$F$2:$F$366)*100</f>
        <v>33.211009174311926</v>
      </c>
      <c r="F294" s="146">
        <f>_xlfn.XLOOKUP(A294,'Team Stats'!$B$2:$B$366,'Team Stats'!$F$2:$F$366)+0.44*_xlfn.XLOOKUP(A294,'Team Stats'!$B$2:$B$366,'Team Stats'!$L$2:$L$366)+_xlfn.XLOOKUP(A294,'Team Stats'!$B$2:$B$366,'Team Stats'!$T$2:$T$366)-_xlfn.XLOOKUP(A294,'Team Stats'!$B$2:$B$366,'Team Stats'!$N$2:$N$366)</f>
        <v>67.147999999999996</v>
      </c>
      <c r="G294">
        <f>_xlfn.XLOOKUP(A294,'Team Stats'!$B$2:$B$366,'Team Stats'!$D$2:$D$366)/F294</f>
        <v>1.0752367903735034</v>
      </c>
      <c r="H294">
        <f>_xlfn.XLOOKUP(A294,'Team Stats'!$B$2:$B$366,'Team Stats'!$D$2:$D$366)</f>
        <v>72.2</v>
      </c>
    </row>
    <row r="295" spans="1:8" ht="15" customHeight="1" x14ac:dyDescent="0.25">
      <c r="A295" t="s">
        <v>353</v>
      </c>
      <c r="B295" s="146">
        <f t="array" ref="B295">_xlfn.XLOOKUP(A295,'Team Stats'!$B$2:$B$366,('Team Stats'!$E$2:$E$366+'Team Stats'!$H$2:$H$366/2)/'Team Stats'!$F$2:$F$366)*100</f>
        <v>48.941798941798943</v>
      </c>
      <c r="C295" s="146">
        <f>_xlfn.XLOOKUP(A295,'Team Stats'!$B$2:$B$366,'Team Stats'!$T$2:$T$366)/( _xlfn.XLOOKUP(A295,'Team Stats'!$B$2:$B$366,'Team Stats'!$T$2:$T$366)+_xlfn.XLOOKUP(A295,'Team Stats'!$B$2:$B$366,'Team Stats'!$F$2:$F$366)+0.44*_xlfn.XLOOKUP(A295,'Team Stats'!$B$2:$B$366,'Team Stats'!$L$2:$L$366)+_xlfn.XLOOKUP(A295,'Team Stats'!$B$2:$B$366,'Team Stats'!$Q$2:$Q$366))*100</f>
        <v>15.926948396687196</v>
      </c>
      <c r="D295" s="146">
        <f>_xlfn.XLOOKUP(A295,'Team Stats'!$B$2:$B$366,'Team Stats'!$N$2:$N$366)/(_xlfn.XLOOKUP(A295,'Team Stats'!$B$2:$B$366,'Team Stats'!$N$2:$N$366)+_xlfn.XLOOKUP(A295,'Opponents stats vs'!$B$2:$B$366,'Opponents stats vs'!$O$2:$O$366))*100</f>
        <v>33.057851239669425</v>
      </c>
      <c r="E295" s="146">
        <f>_xlfn.XLOOKUP(A295,'Team Stats'!$B$2:$B$366,'Team Stats'!$K$2:$K$366)/_xlfn.XLOOKUP(A295,'Team Stats'!$B$2:$B$366,'Team Stats'!$F$2:$F$366)*100</f>
        <v>25.925925925925924</v>
      </c>
      <c r="F295" s="146">
        <f>_xlfn.XLOOKUP(A295,'Team Stats'!$B$2:$B$366,'Team Stats'!$F$2:$F$366)+0.44*_xlfn.XLOOKUP(A295,'Team Stats'!$B$2:$B$366,'Team Stats'!$L$2:$L$366)+_xlfn.XLOOKUP(A295,'Team Stats'!$B$2:$B$366,'Team Stats'!$T$2:$T$366)-_xlfn.XLOOKUP(A295,'Team Stats'!$B$2:$B$366,'Team Stats'!$N$2:$N$366)</f>
        <v>69.38</v>
      </c>
      <c r="G295">
        <f>_xlfn.XLOOKUP(A295,'Team Stats'!$B$2:$B$366,'Team Stats'!$D$2:$D$366)/F295</f>
        <v>1.0089362928797925</v>
      </c>
      <c r="H295">
        <f>_xlfn.XLOOKUP(A295,'Team Stats'!$B$2:$B$366,'Team Stats'!$D$2:$D$366)</f>
        <v>70</v>
      </c>
    </row>
    <row r="296" spans="1:8" ht="15" customHeight="1" x14ac:dyDescent="0.25">
      <c r="A296" t="s">
        <v>404</v>
      </c>
      <c r="B296" s="146">
        <f t="array" ref="B296">_xlfn.XLOOKUP(A296,'Team Stats'!$B$2:$B$366,('Team Stats'!$E$2:$E$366+'Team Stats'!$H$2:$H$366/2)/'Team Stats'!$F$2:$F$366)*100</f>
        <v>50.900900900900901</v>
      </c>
      <c r="C296" s="146">
        <f>_xlfn.XLOOKUP(A296,'Team Stats'!$B$2:$B$366,'Team Stats'!$T$2:$T$366)/( _xlfn.XLOOKUP(A296,'Team Stats'!$B$2:$B$366,'Team Stats'!$T$2:$T$366)+_xlfn.XLOOKUP(A296,'Team Stats'!$B$2:$B$366,'Team Stats'!$F$2:$F$366)+0.44*_xlfn.XLOOKUP(A296,'Team Stats'!$B$2:$B$366,'Team Stats'!$L$2:$L$366)+_xlfn.XLOOKUP(A296,'Team Stats'!$B$2:$B$366,'Team Stats'!$Q$2:$Q$366))*100</f>
        <v>11.808135002522127</v>
      </c>
      <c r="D296" s="146">
        <f>_xlfn.XLOOKUP(A296,'Team Stats'!$B$2:$B$366,'Team Stats'!$N$2:$N$366)/(_xlfn.XLOOKUP(A296,'Team Stats'!$B$2:$B$366,'Team Stats'!$N$2:$N$366)+_xlfn.XLOOKUP(A296,'Opponents stats vs'!$B$2:$B$366,'Opponents stats vs'!$O$2:$O$366))*100</f>
        <v>31.545741324921135</v>
      </c>
      <c r="E296" s="146">
        <f>_xlfn.XLOOKUP(A296,'Team Stats'!$B$2:$B$366,'Team Stats'!$K$2:$K$366)/_xlfn.XLOOKUP(A296,'Team Stats'!$B$2:$B$366,'Team Stats'!$F$2:$F$366)*100</f>
        <v>25.765765765765771</v>
      </c>
      <c r="F296" s="146">
        <f>_xlfn.XLOOKUP(A296,'Team Stats'!$B$2:$B$366,'Team Stats'!$F$2:$F$366)+0.44*_xlfn.XLOOKUP(A296,'Team Stats'!$B$2:$B$366,'Team Stats'!$L$2:$L$366)+_xlfn.XLOOKUP(A296,'Team Stats'!$B$2:$B$366,'Team Stats'!$T$2:$T$366)-_xlfn.XLOOKUP(A296,'Team Stats'!$B$2:$B$366,'Team Stats'!$N$2:$N$366)</f>
        <v>64.028000000000006</v>
      </c>
      <c r="G296">
        <f>_xlfn.XLOOKUP(A296,'Team Stats'!$B$2:$B$366,'Team Stats'!$D$2:$D$366)/F296</f>
        <v>1.1057662272755668</v>
      </c>
      <c r="H296">
        <f>_xlfn.XLOOKUP(A296,'Team Stats'!$B$2:$B$366,'Team Stats'!$D$2:$D$366)</f>
        <v>70.8</v>
      </c>
    </row>
    <row r="297" spans="1:8" ht="15" customHeight="1" x14ac:dyDescent="0.25">
      <c r="A297" t="s">
        <v>324</v>
      </c>
      <c r="B297" s="146">
        <f t="array" ref="B297">_xlfn.XLOOKUP(A297,'Team Stats'!$B$2:$B$366,('Team Stats'!$E$2:$E$366+'Team Stats'!$H$2:$H$366/2)/'Team Stats'!$F$2:$F$366)*100</f>
        <v>53.882575757575765</v>
      </c>
      <c r="C297" s="146">
        <f>_xlfn.XLOOKUP(A297,'Team Stats'!$B$2:$B$366,'Team Stats'!$T$2:$T$366)/( _xlfn.XLOOKUP(A297,'Team Stats'!$B$2:$B$366,'Team Stats'!$T$2:$T$366)+_xlfn.XLOOKUP(A297,'Team Stats'!$B$2:$B$366,'Team Stats'!$F$2:$F$366)+0.44*_xlfn.XLOOKUP(A297,'Team Stats'!$B$2:$B$366,'Team Stats'!$L$2:$L$366)+_xlfn.XLOOKUP(A297,'Team Stats'!$B$2:$B$366,'Team Stats'!$Q$2:$Q$366))*100</f>
        <v>11.804649907811307</v>
      </c>
      <c r="D297" s="146">
        <f>_xlfn.XLOOKUP(A297,'Team Stats'!$B$2:$B$366,'Team Stats'!$N$2:$N$366)/(_xlfn.XLOOKUP(A297,'Team Stats'!$B$2:$B$366,'Team Stats'!$N$2:$N$366)+_xlfn.XLOOKUP(A297,'Opponents stats vs'!$B$2:$B$366,'Opponents stats vs'!$O$2:$O$366))*100</f>
        <v>27.27272727272727</v>
      </c>
      <c r="E297" s="146">
        <f>_xlfn.XLOOKUP(A297,'Team Stats'!$B$2:$B$366,'Team Stats'!$K$2:$K$366)/_xlfn.XLOOKUP(A297,'Team Stats'!$B$2:$B$366,'Team Stats'!$F$2:$F$366)*100</f>
        <v>25.378787878787879</v>
      </c>
      <c r="F297" s="146">
        <f>_xlfn.XLOOKUP(A297,'Team Stats'!$B$2:$B$366,'Team Stats'!$F$2:$F$366)+0.44*_xlfn.XLOOKUP(A297,'Team Stats'!$B$2:$B$366,'Team Stats'!$L$2:$L$366)+_xlfn.XLOOKUP(A297,'Team Stats'!$B$2:$B$366,'Team Stats'!$T$2:$T$366)-_xlfn.XLOOKUP(A297,'Team Stats'!$B$2:$B$366,'Team Stats'!$N$2:$N$366)</f>
        <v>63.047999999999988</v>
      </c>
      <c r="G297">
        <f>_xlfn.XLOOKUP(A297,'Team Stats'!$B$2:$B$366,'Team Stats'!$D$2:$D$366)/F297</f>
        <v>1.1134373810430152</v>
      </c>
      <c r="H297">
        <f>_xlfn.XLOOKUP(A297,'Team Stats'!$B$2:$B$366,'Team Stats'!$D$2:$D$366)</f>
        <v>70.2</v>
      </c>
    </row>
    <row r="298" spans="1:8" ht="15" customHeight="1" x14ac:dyDescent="0.25">
      <c r="A298" t="s">
        <v>275</v>
      </c>
      <c r="B298" s="146">
        <f t="array" ref="B298">_xlfn.XLOOKUP(A298,'Team Stats'!$B$2:$B$366,('Team Stats'!$E$2:$E$366+'Team Stats'!$H$2:$H$366/2)/'Team Stats'!$F$2:$F$366)*100</f>
        <v>53.107861060329064</v>
      </c>
      <c r="C298" s="146">
        <f>_xlfn.XLOOKUP(A298,'Team Stats'!$B$2:$B$366,'Team Stats'!$T$2:$T$366)/( _xlfn.XLOOKUP(A298,'Team Stats'!$B$2:$B$366,'Team Stats'!$T$2:$T$366)+_xlfn.XLOOKUP(A298,'Team Stats'!$B$2:$B$366,'Team Stats'!$F$2:$F$366)+0.44*_xlfn.XLOOKUP(A298,'Team Stats'!$B$2:$B$366,'Team Stats'!$L$2:$L$366)+_xlfn.XLOOKUP(A298,'Team Stats'!$B$2:$B$366,'Team Stats'!$Q$2:$Q$366))*100</f>
        <v>12.66617086548294</v>
      </c>
      <c r="D298" s="146">
        <f>_xlfn.XLOOKUP(A298,'Team Stats'!$B$2:$B$366,'Team Stats'!$N$2:$N$366)/(_xlfn.XLOOKUP(A298,'Team Stats'!$B$2:$B$366,'Team Stats'!$N$2:$N$366)+_xlfn.XLOOKUP(A298,'Opponents stats vs'!$B$2:$B$366,'Opponents stats vs'!$O$2:$O$366))*100</f>
        <v>26.860841423948223</v>
      </c>
      <c r="E298" s="146">
        <f>_xlfn.XLOOKUP(A298,'Team Stats'!$B$2:$B$366,'Team Stats'!$K$2:$K$366)/_xlfn.XLOOKUP(A298,'Team Stats'!$B$2:$B$366,'Team Stats'!$F$2:$F$366)*100</f>
        <v>21.755027422303471</v>
      </c>
      <c r="F298" s="146">
        <f>_xlfn.XLOOKUP(A298,'Team Stats'!$B$2:$B$366,'Team Stats'!$F$2:$F$366)+0.44*_xlfn.XLOOKUP(A298,'Team Stats'!$B$2:$B$366,'Team Stats'!$L$2:$L$366)+_xlfn.XLOOKUP(A298,'Team Stats'!$B$2:$B$366,'Team Stats'!$T$2:$T$366)-_xlfn.XLOOKUP(A298,'Team Stats'!$B$2:$B$366,'Team Stats'!$N$2:$N$366)</f>
        <v>63.856000000000009</v>
      </c>
      <c r="G298">
        <f>_xlfn.XLOOKUP(A298,'Team Stats'!$B$2:$B$366,'Team Stats'!$D$2:$D$366)/F298</f>
        <v>1.0962164870959659</v>
      </c>
      <c r="H298">
        <f>_xlfn.XLOOKUP(A298,'Team Stats'!$B$2:$B$366,'Team Stats'!$D$2:$D$366)</f>
        <v>70</v>
      </c>
    </row>
    <row r="299" spans="1:8" ht="15" customHeight="1" x14ac:dyDescent="0.25">
      <c r="A299" t="s">
        <v>261</v>
      </c>
      <c r="B299" s="146">
        <f t="array" ref="B299">_xlfn.XLOOKUP(A299,'Team Stats'!$B$2:$B$366,('Team Stats'!$E$2:$E$366+'Team Stats'!$H$2:$H$366/2)/'Team Stats'!$F$2:$F$366)*100</f>
        <v>49.668874172185433</v>
      </c>
      <c r="C299" s="146">
        <f>_xlfn.XLOOKUP(A299,'Team Stats'!$B$2:$B$366,'Team Stats'!$T$2:$T$366)/( _xlfn.XLOOKUP(A299,'Team Stats'!$B$2:$B$366,'Team Stats'!$T$2:$T$366)+_xlfn.XLOOKUP(A299,'Team Stats'!$B$2:$B$366,'Team Stats'!$F$2:$F$366)+0.44*_xlfn.XLOOKUP(A299,'Team Stats'!$B$2:$B$366,'Team Stats'!$L$2:$L$366)+_xlfn.XLOOKUP(A299,'Team Stats'!$B$2:$B$366,'Team Stats'!$Q$2:$Q$366))*100</f>
        <v>12.17095342725432</v>
      </c>
      <c r="D299" s="146">
        <f>_xlfn.XLOOKUP(A299,'Team Stats'!$B$2:$B$366,'Team Stats'!$N$2:$N$366)/(_xlfn.XLOOKUP(A299,'Team Stats'!$B$2:$B$366,'Team Stats'!$N$2:$N$366)+_xlfn.XLOOKUP(A299,'Opponents stats vs'!$B$2:$B$366,'Opponents stats vs'!$O$2:$O$366))*100</f>
        <v>35.45706371191136</v>
      </c>
      <c r="E299" s="146">
        <f>_xlfn.XLOOKUP(A299,'Team Stats'!$B$2:$B$366,'Team Stats'!$K$2:$K$366)/_xlfn.XLOOKUP(A299,'Team Stats'!$B$2:$B$366,'Team Stats'!$F$2:$F$366)*100</f>
        <v>17.3841059602649</v>
      </c>
      <c r="F299" s="146">
        <f>_xlfn.XLOOKUP(A299,'Team Stats'!$B$2:$B$366,'Team Stats'!$F$2:$F$366)+0.44*_xlfn.XLOOKUP(A299,'Team Stats'!$B$2:$B$366,'Team Stats'!$L$2:$L$366)+_xlfn.XLOOKUP(A299,'Team Stats'!$B$2:$B$366,'Team Stats'!$T$2:$T$366)-_xlfn.XLOOKUP(A299,'Team Stats'!$B$2:$B$366,'Team Stats'!$N$2:$N$366)</f>
        <v>65.543999999999997</v>
      </c>
      <c r="G299">
        <f>_xlfn.XLOOKUP(A299,'Team Stats'!$B$2:$B$366,'Team Stats'!$D$2:$D$366)/F299</f>
        <v>1.0740876357866473</v>
      </c>
      <c r="H299">
        <f>_xlfn.XLOOKUP(A299,'Team Stats'!$B$2:$B$366,'Team Stats'!$D$2:$D$366)</f>
        <v>70.400000000000006</v>
      </c>
    </row>
    <row r="300" spans="1:8" ht="15" customHeight="1" x14ac:dyDescent="0.25">
      <c r="A300" t="s">
        <v>247</v>
      </c>
      <c r="B300" s="146">
        <f t="array" ref="B300">_xlfn.XLOOKUP(A300,'Team Stats'!$B$2:$B$366,('Team Stats'!$E$2:$E$366+'Team Stats'!$H$2:$H$366/2)/'Team Stats'!$F$2:$F$366)*100</f>
        <v>50.874125874125873</v>
      </c>
      <c r="C300" s="146">
        <f>_xlfn.XLOOKUP(A300,'Team Stats'!$B$2:$B$366,'Team Stats'!$T$2:$T$366)/( _xlfn.XLOOKUP(A300,'Team Stats'!$B$2:$B$366,'Team Stats'!$T$2:$T$366)+_xlfn.XLOOKUP(A300,'Team Stats'!$B$2:$B$366,'Team Stats'!$F$2:$F$366)+0.44*_xlfn.XLOOKUP(A300,'Team Stats'!$B$2:$B$366,'Team Stats'!$L$2:$L$366)+_xlfn.XLOOKUP(A300,'Team Stats'!$B$2:$B$366,'Team Stats'!$Q$2:$Q$366))*100</f>
        <v>13.718734047983663</v>
      </c>
      <c r="D300" s="146">
        <f>_xlfn.XLOOKUP(A300,'Team Stats'!$B$2:$B$366,'Team Stats'!$N$2:$N$366)/(_xlfn.XLOOKUP(A300,'Team Stats'!$B$2:$B$366,'Team Stats'!$N$2:$N$366)+_xlfn.XLOOKUP(A300,'Opponents stats vs'!$B$2:$B$366,'Opponents stats vs'!$O$2:$O$366))*100</f>
        <v>26.704545454545453</v>
      </c>
      <c r="E300" s="146">
        <f>_xlfn.XLOOKUP(A300,'Team Stats'!$B$2:$B$366,'Team Stats'!$K$2:$K$366)/_xlfn.XLOOKUP(A300,'Team Stats'!$B$2:$B$366,'Team Stats'!$F$2:$F$366)*100</f>
        <v>21.15384615384615</v>
      </c>
      <c r="F300" s="146">
        <f>_xlfn.XLOOKUP(A300,'Team Stats'!$B$2:$B$366,'Team Stats'!$F$2:$F$366)+0.44*_xlfn.XLOOKUP(A300,'Team Stats'!$B$2:$B$366,'Team Stats'!$L$2:$L$366)+_xlfn.XLOOKUP(A300,'Team Stats'!$B$2:$B$366,'Team Stats'!$T$2:$T$366)-_xlfn.XLOOKUP(A300,'Team Stats'!$B$2:$B$366,'Team Stats'!$N$2:$N$366)</f>
        <v>68.532000000000011</v>
      </c>
      <c r="G300">
        <f>_xlfn.XLOOKUP(A300,'Team Stats'!$B$2:$B$366,'Team Stats'!$D$2:$D$366)/F300</f>
        <v>1.02433899492208</v>
      </c>
      <c r="H300">
        <f>_xlfn.XLOOKUP(A300,'Team Stats'!$B$2:$B$366,'Team Stats'!$D$2:$D$366)</f>
        <v>70.2</v>
      </c>
    </row>
    <row r="301" spans="1:8" ht="15" customHeight="1" x14ac:dyDescent="0.25">
      <c r="A301" t="s">
        <v>372</v>
      </c>
      <c r="B301" s="146">
        <f t="array" ref="B301">_xlfn.XLOOKUP(A301,'Team Stats'!$B$2:$B$366,('Team Stats'!$E$2:$E$366+'Team Stats'!$H$2:$H$366/2)/'Team Stats'!$F$2:$F$366)*100</f>
        <v>48.813559322033903</v>
      </c>
      <c r="C301" s="146">
        <f>_xlfn.XLOOKUP(A301,'Team Stats'!$B$2:$B$366,'Team Stats'!$T$2:$T$366)/( _xlfn.XLOOKUP(A301,'Team Stats'!$B$2:$B$366,'Team Stats'!$T$2:$T$366)+_xlfn.XLOOKUP(A301,'Team Stats'!$B$2:$B$366,'Team Stats'!$F$2:$F$366)+0.44*_xlfn.XLOOKUP(A301,'Team Stats'!$B$2:$B$366,'Team Stats'!$L$2:$L$366)+_xlfn.XLOOKUP(A301,'Team Stats'!$B$2:$B$366,'Team Stats'!$Q$2:$Q$366))*100</f>
        <v>13.547840812870451</v>
      </c>
      <c r="D301" s="146">
        <f>_xlfn.XLOOKUP(A301,'Team Stats'!$B$2:$B$366,'Team Stats'!$N$2:$N$366)/(_xlfn.XLOOKUP(A301,'Team Stats'!$B$2:$B$366,'Team Stats'!$N$2:$N$366)+_xlfn.XLOOKUP(A301,'Opponents stats vs'!$B$2:$B$366,'Opponents stats vs'!$O$2:$O$366))*100</f>
        <v>31.267605633802813</v>
      </c>
      <c r="E301" s="146">
        <f>_xlfn.XLOOKUP(A301,'Team Stats'!$B$2:$B$366,'Team Stats'!$K$2:$K$366)/_xlfn.XLOOKUP(A301,'Team Stats'!$B$2:$B$366,'Team Stats'!$F$2:$F$366)*100</f>
        <v>24.915254237288135</v>
      </c>
      <c r="F301" s="146">
        <f>_xlfn.XLOOKUP(A301,'Team Stats'!$B$2:$B$366,'Team Stats'!$F$2:$F$366)+0.44*_xlfn.XLOOKUP(A301,'Team Stats'!$B$2:$B$366,'Team Stats'!$L$2:$L$366)+_xlfn.XLOOKUP(A301,'Team Stats'!$B$2:$B$366,'Team Stats'!$T$2:$T$366)-_xlfn.XLOOKUP(A301,'Team Stats'!$B$2:$B$366,'Team Stats'!$N$2:$N$366)</f>
        <v>69.28</v>
      </c>
      <c r="G301">
        <f>_xlfn.XLOOKUP(A301,'Team Stats'!$B$2:$B$366,'Team Stats'!$D$2:$D$366)/F301</f>
        <v>1.0435912240184757</v>
      </c>
      <c r="H301">
        <f>_xlfn.XLOOKUP(A301,'Team Stats'!$B$2:$B$366,'Team Stats'!$D$2:$D$366)</f>
        <v>72.3</v>
      </c>
    </row>
    <row r="302" spans="1:8" ht="15" customHeight="1" x14ac:dyDescent="0.25">
      <c r="A302" t="s">
        <v>349</v>
      </c>
      <c r="B302" s="146">
        <f t="array" ref="B302">_xlfn.XLOOKUP(A302,'Team Stats'!$B$2:$B$366,('Team Stats'!$E$2:$E$366+'Team Stats'!$H$2:$H$366/2)/'Team Stats'!$F$2:$F$366)*100</f>
        <v>47.9020979020979</v>
      </c>
      <c r="C302" s="146">
        <f>_xlfn.XLOOKUP(A302,'Team Stats'!$B$2:$B$366,'Team Stats'!$T$2:$T$366)/( _xlfn.XLOOKUP(A302,'Team Stats'!$B$2:$B$366,'Team Stats'!$T$2:$T$366)+_xlfn.XLOOKUP(A302,'Team Stats'!$B$2:$B$366,'Team Stats'!$F$2:$F$366)+0.44*_xlfn.XLOOKUP(A302,'Team Stats'!$B$2:$B$366,'Team Stats'!$L$2:$L$366)+_xlfn.XLOOKUP(A302,'Team Stats'!$B$2:$B$366,'Team Stats'!$Q$2:$Q$366))*100</f>
        <v>12.671338534091408</v>
      </c>
      <c r="D302" s="146">
        <f>_xlfn.XLOOKUP(A302,'Team Stats'!$B$2:$B$366,'Team Stats'!$N$2:$N$366)/(_xlfn.XLOOKUP(A302,'Team Stats'!$B$2:$B$366,'Team Stats'!$N$2:$N$366)+_xlfn.XLOOKUP(A302,'Opponents stats vs'!$B$2:$B$366,'Opponents stats vs'!$O$2:$O$366))*100</f>
        <v>33.988764044943821</v>
      </c>
      <c r="E302" s="146">
        <f>_xlfn.XLOOKUP(A302,'Team Stats'!$B$2:$B$366,'Team Stats'!$K$2:$K$366)/_xlfn.XLOOKUP(A302,'Team Stats'!$B$2:$B$366,'Team Stats'!$F$2:$F$366)*100</f>
        <v>27.0979020979021</v>
      </c>
      <c r="F302" s="146">
        <f>_xlfn.XLOOKUP(A302,'Team Stats'!$B$2:$B$366,'Team Stats'!$F$2:$F$366)+0.44*_xlfn.XLOOKUP(A302,'Team Stats'!$B$2:$B$366,'Team Stats'!$L$2:$L$366)+_xlfn.XLOOKUP(A302,'Team Stats'!$B$2:$B$366,'Team Stats'!$T$2:$T$366)-_xlfn.XLOOKUP(A302,'Team Stats'!$B$2:$B$366,'Team Stats'!$N$2:$N$366)</f>
        <v>66.456000000000003</v>
      </c>
      <c r="G302">
        <f>_xlfn.XLOOKUP(A302,'Team Stats'!$B$2:$B$366,'Team Stats'!$D$2:$D$366)/F302</f>
        <v>1.0593475382207778</v>
      </c>
      <c r="H302">
        <f>_xlfn.XLOOKUP(A302,'Team Stats'!$B$2:$B$366,'Team Stats'!$D$2:$D$366)</f>
        <v>70.400000000000006</v>
      </c>
    </row>
    <row r="303" spans="1:8" ht="15" customHeight="1" x14ac:dyDescent="0.25">
      <c r="A303" t="s">
        <v>271</v>
      </c>
      <c r="B303" s="146">
        <f t="array" ref="B303">_xlfn.XLOOKUP(A303,'Team Stats'!$B$2:$B$366,('Team Stats'!$E$2:$E$366+'Team Stats'!$H$2:$H$366/2)/'Team Stats'!$F$2:$F$366)*100</f>
        <v>49.089253187613849</v>
      </c>
      <c r="C303" s="146">
        <f>_xlfn.XLOOKUP(A303,'Team Stats'!$B$2:$B$366,'Team Stats'!$T$2:$T$366)/( _xlfn.XLOOKUP(A303,'Team Stats'!$B$2:$B$366,'Team Stats'!$T$2:$T$366)+_xlfn.XLOOKUP(A303,'Team Stats'!$B$2:$B$366,'Team Stats'!$F$2:$F$366)+0.44*_xlfn.XLOOKUP(A303,'Team Stats'!$B$2:$B$366,'Team Stats'!$L$2:$L$366)+_xlfn.XLOOKUP(A303,'Team Stats'!$B$2:$B$366,'Team Stats'!$Q$2:$Q$366))*100</f>
        <v>16.065573770491802</v>
      </c>
      <c r="D303" s="146">
        <f>_xlfn.XLOOKUP(A303,'Team Stats'!$B$2:$B$366,'Team Stats'!$N$2:$N$366)/(_xlfn.XLOOKUP(A303,'Team Stats'!$B$2:$B$366,'Team Stats'!$N$2:$N$366)+_xlfn.XLOOKUP(A303,'Opponents stats vs'!$B$2:$B$366,'Opponents stats vs'!$O$2:$O$366))*100</f>
        <v>30.746268656716421</v>
      </c>
      <c r="E303" s="146">
        <f>_xlfn.XLOOKUP(A303,'Team Stats'!$B$2:$B$366,'Team Stats'!$K$2:$K$366)/_xlfn.XLOOKUP(A303,'Team Stats'!$B$2:$B$366,'Team Stats'!$F$2:$F$366)*100</f>
        <v>30.05464480874317</v>
      </c>
      <c r="F303" s="146">
        <f>_xlfn.XLOOKUP(A303,'Team Stats'!$B$2:$B$366,'Team Stats'!$F$2:$F$366)+0.44*_xlfn.XLOOKUP(A303,'Team Stats'!$B$2:$B$366,'Team Stats'!$L$2:$L$366)+_xlfn.XLOOKUP(A303,'Team Stats'!$B$2:$B$366,'Team Stats'!$T$2:$T$366)-_xlfn.XLOOKUP(A303,'Team Stats'!$B$2:$B$366,'Team Stats'!$N$2:$N$366)</f>
        <v>69.2</v>
      </c>
      <c r="G303">
        <f>_xlfn.XLOOKUP(A303,'Team Stats'!$B$2:$B$366,'Team Stats'!$D$2:$D$366)/F303</f>
        <v>1.0158959537572254</v>
      </c>
      <c r="H303">
        <f>_xlfn.XLOOKUP(A303,'Team Stats'!$B$2:$B$366,'Team Stats'!$D$2:$D$366)</f>
        <v>70.3</v>
      </c>
    </row>
    <row r="304" spans="1:8" ht="15" customHeight="1" x14ac:dyDescent="0.25">
      <c r="A304" t="s">
        <v>302</v>
      </c>
      <c r="B304" s="146">
        <f t="array" ref="B304">_xlfn.XLOOKUP(A304,'Team Stats'!$B$2:$B$366,('Team Stats'!$E$2:$E$366+'Team Stats'!$H$2:$H$366/2)/'Team Stats'!$F$2:$F$366)*100</f>
        <v>50.084459459459453</v>
      </c>
      <c r="C304" s="146">
        <f>_xlfn.XLOOKUP(A304,'Team Stats'!$B$2:$B$366,'Team Stats'!$T$2:$T$366)/( _xlfn.XLOOKUP(A304,'Team Stats'!$B$2:$B$366,'Team Stats'!$T$2:$T$366)+_xlfn.XLOOKUP(A304,'Team Stats'!$B$2:$B$366,'Team Stats'!$F$2:$F$366)+0.44*_xlfn.XLOOKUP(A304,'Team Stats'!$B$2:$B$366,'Team Stats'!$L$2:$L$366)+_xlfn.XLOOKUP(A304,'Team Stats'!$B$2:$B$366,'Team Stats'!$Q$2:$Q$366))*100</f>
        <v>13.712130950850582</v>
      </c>
      <c r="D304" s="146">
        <f>_xlfn.XLOOKUP(A304,'Team Stats'!$B$2:$B$366,'Team Stats'!$N$2:$N$366)/(_xlfn.XLOOKUP(A304,'Team Stats'!$B$2:$B$366,'Team Stats'!$N$2:$N$366)+_xlfn.XLOOKUP(A304,'Opponents stats vs'!$B$2:$B$366,'Opponents stats vs'!$O$2:$O$366))*100</f>
        <v>32.102272727272727</v>
      </c>
      <c r="E304" s="146">
        <f>_xlfn.XLOOKUP(A304,'Team Stats'!$B$2:$B$366,'Team Stats'!$K$2:$K$366)/_xlfn.XLOOKUP(A304,'Team Stats'!$B$2:$B$366,'Team Stats'!$F$2:$F$366)*100</f>
        <v>19.087837837837839</v>
      </c>
      <c r="F304" s="146">
        <f>_xlfn.XLOOKUP(A304,'Team Stats'!$B$2:$B$366,'Team Stats'!$F$2:$F$366)+0.44*_xlfn.XLOOKUP(A304,'Team Stats'!$B$2:$B$366,'Team Stats'!$L$2:$L$366)+_xlfn.XLOOKUP(A304,'Team Stats'!$B$2:$B$366,'Team Stats'!$T$2:$T$366)-_xlfn.XLOOKUP(A304,'Team Stats'!$B$2:$B$366,'Team Stats'!$N$2:$N$366)</f>
        <v>68.048000000000002</v>
      </c>
      <c r="G304">
        <f>_xlfn.XLOOKUP(A304,'Team Stats'!$B$2:$B$366,'Team Stats'!$D$2:$D$366)/F304</f>
        <v>1.0360333881965671</v>
      </c>
      <c r="H304">
        <f>_xlfn.XLOOKUP(A304,'Team Stats'!$B$2:$B$366,'Team Stats'!$D$2:$D$366)</f>
        <v>70.5</v>
      </c>
    </row>
    <row r="305" spans="1:8" ht="15" customHeight="1" x14ac:dyDescent="0.25">
      <c r="A305" t="s">
        <v>269</v>
      </c>
      <c r="B305" s="146">
        <f t="array" ref="B305">_xlfn.XLOOKUP(A305,'Team Stats'!$B$2:$B$366,('Team Stats'!$E$2:$E$366+'Team Stats'!$H$2:$H$366/2)/'Team Stats'!$F$2:$F$366)*100</f>
        <v>45.262267343485618</v>
      </c>
      <c r="C305" s="146">
        <f>_xlfn.XLOOKUP(A305,'Team Stats'!$B$2:$B$366,'Team Stats'!$T$2:$T$366)/( _xlfn.XLOOKUP(A305,'Team Stats'!$B$2:$B$366,'Team Stats'!$T$2:$T$366)+_xlfn.XLOOKUP(A305,'Team Stats'!$B$2:$B$366,'Team Stats'!$F$2:$F$366)+0.44*_xlfn.XLOOKUP(A305,'Team Stats'!$B$2:$B$366,'Team Stats'!$L$2:$L$366)+_xlfn.XLOOKUP(A305,'Team Stats'!$B$2:$B$366,'Team Stats'!$Q$2:$Q$366))*100</f>
        <v>11.958572870496337</v>
      </c>
      <c r="D305" s="146">
        <f>_xlfn.XLOOKUP(A305,'Team Stats'!$B$2:$B$366,'Team Stats'!$N$2:$N$366)/(_xlfn.XLOOKUP(A305,'Team Stats'!$B$2:$B$366,'Team Stats'!$N$2:$N$366)+_xlfn.XLOOKUP(A305,'Opponents stats vs'!$B$2:$B$366,'Opponents stats vs'!$O$2:$O$366))*100</f>
        <v>28.381962864721483</v>
      </c>
      <c r="E305" s="146">
        <f>_xlfn.XLOOKUP(A305,'Team Stats'!$B$2:$B$366,'Team Stats'!$K$2:$K$366)/_xlfn.XLOOKUP(A305,'Team Stats'!$B$2:$B$366,'Team Stats'!$F$2:$F$366)*100</f>
        <v>28.76480541455161</v>
      </c>
      <c r="F305" s="146">
        <f>_xlfn.XLOOKUP(A305,'Team Stats'!$B$2:$B$366,'Team Stats'!$F$2:$F$366)+0.44*_xlfn.XLOOKUP(A305,'Team Stats'!$B$2:$B$366,'Team Stats'!$L$2:$L$366)+_xlfn.XLOOKUP(A305,'Team Stats'!$B$2:$B$366,'Team Stats'!$T$2:$T$366)-_xlfn.XLOOKUP(A305,'Team Stats'!$B$2:$B$366,'Team Stats'!$N$2:$N$366)</f>
        <v>68.847999999999999</v>
      </c>
      <c r="G305">
        <f>_xlfn.XLOOKUP(A305,'Team Stats'!$B$2:$B$366,'Team Stats'!$D$2:$D$366)/F305</f>
        <v>1.0225424122705091</v>
      </c>
      <c r="H305">
        <f>_xlfn.XLOOKUP(A305,'Team Stats'!$B$2:$B$366,'Team Stats'!$D$2:$D$366)</f>
        <v>70.400000000000006</v>
      </c>
    </row>
    <row r="306" spans="1:8" ht="15" customHeight="1" x14ac:dyDescent="0.25">
      <c r="A306" t="s">
        <v>344</v>
      </c>
      <c r="B306" s="146">
        <f t="array" ref="B306">_xlfn.XLOOKUP(A306,'Team Stats'!$B$2:$B$366,('Team Stats'!$E$2:$E$366+'Team Stats'!$H$2:$H$366/2)/'Team Stats'!$F$2:$F$366)*100</f>
        <v>48.754448398576507</v>
      </c>
      <c r="C306" s="146">
        <f>_xlfn.XLOOKUP(A306,'Team Stats'!$B$2:$B$366,'Team Stats'!$T$2:$T$366)/( _xlfn.XLOOKUP(A306,'Team Stats'!$B$2:$B$366,'Team Stats'!$T$2:$T$366)+_xlfn.XLOOKUP(A306,'Team Stats'!$B$2:$B$366,'Team Stats'!$F$2:$F$366)+0.44*_xlfn.XLOOKUP(A306,'Team Stats'!$B$2:$B$366,'Team Stats'!$L$2:$L$366)+_xlfn.XLOOKUP(A306,'Team Stats'!$B$2:$B$366,'Team Stats'!$Q$2:$Q$366))*100</f>
        <v>13.099232430941765</v>
      </c>
      <c r="D306" s="146">
        <f>_xlfn.XLOOKUP(A306,'Team Stats'!$B$2:$B$366,'Team Stats'!$N$2:$N$366)/(_xlfn.XLOOKUP(A306,'Team Stats'!$B$2:$B$366,'Team Stats'!$N$2:$N$366)+_xlfn.XLOOKUP(A306,'Opponents stats vs'!$B$2:$B$366,'Opponents stats vs'!$O$2:$O$366))*100</f>
        <v>31.428571428571427</v>
      </c>
      <c r="E306" s="146">
        <f>_xlfn.XLOOKUP(A306,'Team Stats'!$B$2:$B$366,'Team Stats'!$K$2:$K$366)/_xlfn.XLOOKUP(A306,'Team Stats'!$B$2:$B$366,'Team Stats'!$F$2:$F$366)*100</f>
        <v>25.978647686832741</v>
      </c>
      <c r="F306" s="146">
        <f>_xlfn.XLOOKUP(A306,'Team Stats'!$B$2:$B$366,'Team Stats'!$F$2:$F$366)+0.44*_xlfn.XLOOKUP(A306,'Team Stats'!$B$2:$B$366,'Team Stats'!$L$2:$L$366)+_xlfn.XLOOKUP(A306,'Team Stats'!$B$2:$B$366,'Team Stats'!$T$2:$T$366)-_xlfn.XLOOKUP(A306,'Team Stats'!$B$2:$B$366,'Team Stats'!$N$2:$N$366)</f>
        <v>65.928000000000011</v>
      </c>
      <c r="G306">
        <f>_xlfn.XLOOKUP(A306,'Team Stats'!$B$2:$B$366,'Team Stats'!$D$2:$D$366)/F306</f>
        <v>1.0526635117097438</v>
      </c>
      <c r="H306">
        <f>_xlfn.XLOOKUP(A306,'Team Stats'!$B$2:$B$366,'Team Stats'!$D$2:$D$366)</f>
        <v>69.400000000000006</v>
      </c>
    </row>
    <row r="307" spans="1:8" ht="15" customHeight="1" x14ac:dyDescent="0.25">
      <c r="A307" t="s">
        <v>290</v>
      </c>
      <c r="B307" s="146">
        <f t="array" ref="B307">_xlfn.XLOOKUP(A307,'Team Stats'!$B$2:$B$366,('Team Stats'!$E$2:$E$366+'Team Stats'!$H$2:$H$366/2)/'Team Stats'!$F$2:$F$366)*100</f>
        <v>46.859504132231407</v>
      </c>
      <c r="C307" s="146">
        <f>_xlfn.XLOOKUP(A307,'Team Stats'!$B$2:$B$366,'Team Stats'!$T$2:$T$366)/( _xlfn.XLOOKUP(A307,'Team Stats'!$B$2:$B$366,'Team Stats'!$T$2:$T$366)+_xlfn.XLOOKUP(A307,'Team Stats'!$B$2:$B$366,'Team Stats'!$F$2:$F$366)+0.44*_xlfn.XLOOKUP(A307,'Team Stats'!$B$2:$B$366,'Team Stats'!$L$2:$L$366)+_xlfn.XLOOKUP(A307,'Team Stats'!$B$2:$B$366,'Team Stats'!$Q$2:$Q$366))*100</f>
        <v>13.976613178559235</v>
      </c>
      <c r="D307" s="146">
        <f>_xlfn.XLOOKUP(A307,'Team Stats'!$B$2:$B$366,'Team Stats'!$N$2:$N$366)/(_xlfn.XLOOKUP(A307,'Team Stats'!$B$2:$B$366,'Team Stats'!$N$2:$N$366)+_xlfn.XLOOKUP(A307,'Opponents stats vs'!$B$2:$B$366,'Opponents stats vs'!$O$2:$O$366))*100</f>
        <v>27.415143603133163</v>
      </c>
      <c r="E307" s="146">
        <f>_xlfn.XLOOKUP(A307,'Team Stats'!$B$2:$B$366,'Team Stats'!$K$2:$K$366)/_xlfn.XLOOKUP(A307,'Team Stats'!$B$2:$B$366,'Team Stats'!$F$2:$F$366)*100</f>
        <v>20.991735537190081</v>
      </c>
      <c r="F307" s="146">
        <f>_xlfn.XLOOKUP(A307,'Team Stats'!$B$2:$B$366,'Team Stats'!$F$2:$F$366)+0.44*_xlfn.XLOOKUP(A307,'Team Stats'!$B$2:$B$366,'Team Stats'!$L$2:$L$366)+_xlfn.XLOOKUP(A307,'Team Stats'!$B$2:$B$366,'Team Stats'!$T$2:$T$366)-_xlfn.XLOOKUP(A307,'Team Stats'!$B$2:$B$366,'Team Stats'!$N$2:$N$366)</f>
        <v>71.327999999999989</v>
      </c>
      <c r="G307">
        <f>_xlfn.XLOOKUP(A307,'Team Stats'!$B$2:$B$366,'Team Stats'!$D$2:$D$366)/F307</f>
        <v>0.97156796769851961</v>
      </c>
      <c r="H307">
        <f>_xlfn.XLOOKUP(A307,'Team Stats'!$B$2:$B$366,'Team Stats'!$D$2:$D$366)</f>
        <v>69.3</v>
      </c>
    </row>
    <row r="308" spans="1:8" ht="15" customHeight="1" x14ac:dyDescent="0.25">
      <c r="A308" t="s">
        <v>204</v>
      </c>
      <c r="B308" s="146">
        <f t="array" ref="B308">_xlfn.XLOOKUP(A308,'Team Stats'!$B$2:$B$366,('Team Stats'!$E$2:$E$366+'Team Stats'!$H$2:$H$366/2)/'Team Stats'!$F$2:$F$366)*100</f>
        <v>50.168918918918912</v>
      </c>
      <c r="C308" s="146">
        <f>_xlfn.XLOOKUP(A308,'Team Stats'!$B$2:$B$366,'Team Stats'!$T$2:$T$366)/( _xlfn.XLOOKUP(A308,'Team Stats'!$B$2:$B$366,'Team Stats'!$T$2:$T$366)+_xlfn.XLOOKUP(A308,'Team Stats'!$B$2:$B$366,'Team Stats'!$F$2:$F$366)+0.44*_xlfn.XLOOKUP(A308,'Team Stats'!$B$2:$B$366,'Team Stats'!$L$2:$L$366)+_xlfn.XLOOKUP(A308,'Team Stats'!$B$2:$B$366,'Team Stats'!$Q$2:$Q$366))*100</f>
        <v>13.245454160132242</v>
      </c>
      <c r="D308" s="146">
        <f>_xlfn.XLOOKUP(A308,'Team Stats'!$B$2:$B$366,'Team Stats'!$N$2:$N$366)/(_xlfn.XLOOKUP(A308,'Team Stats'!$B$2:$B$366,'Team Stats'!$N$2:$N$366)+_xlfn.XLOOKUP(A308,'Opponents stats vs'!$B$2:$B$366,'Opponents stats vs'!$O$2:$O$366))*100</f>
        <v>30.337078651685395</v>
      </c>
      <c r="E308" s="146">
        <f>_xlfn.XLOOKUP(A308,'Team Stats'!$B$2:$B$366,'Team Stats'!$K$2:$K$366)/_xlfn.XLOOKUP(A308,'Team Stats'!$B$2:$B$366,'Team Stats'!$F$2:$F$366)*100</f>
        <v>19.087837837837839</v>
      </c>
      <c r="F308" s="146">
        <f>_xlfn.XLOOKUP(A308,'Team Stats'!$B$2:$B$366,'Team Stats'!$F$2:$F$366)+0.44*_xlfn.XLOOKUP(A308,'Team Stats'!$B$2:$B$366,'Team Stats'!$L$2:$L$366)+_xlfn.XLOOKUP(A308,'Team Stats'!$B$2:$B$366,'Team Stats'!$T$2:$T$366)-_xlfn.XLOOKUP(A308,'Team Stats'!$B$2:$B$366,'Team Stats'!$N$2:$N$366)</f>
        <v>68.072000000000003</v>
      </c>
      <c r="G308">
        <f>_xlfn.XLOOKUP(A308,'Team Stats'!$B$2:$B$366,'Team Stats'!$D$2:$D$366)/F308</f>
        <v>1.0386061816899754</v>
      </c>
      <c r="H308">
        <f>_xlfn.XLOOKUP(A308,'Team Stats'!$B$2:$B$366,'Team Stats'!$D$2:$D$366)</f>
        <v>70.7</v>
      </c>
    </row>
    <row r="309" spans="1:8" ht="15" customHeight="1" x14ac:dyDescent="0.25">
      <c r="A309" t="s">
        <v>246</v>
      </c>
      <c r="B309" s="146">
        <f t="array" ref="B309">_xlfn.XLOOKUP(A309,'Team Stats'!$B$2:$B$366,('Team Stats'!$E$2:$E$366+'Team Stats'!$H$2:$H$366/2)/'Team Stats'!$F$2:$F$366)*100</f>
        <v>46.434634974533104</v>
      </c>
      <c r="C309" s="146">
        <f>_xlfn.XLOOKUP(A309,'Team Stats'!$B$2:$B$366,'Team Stats'!$T$2:$T$366)/( _xlfn.XLOOKUP(A309,'Team Stats'!$B$2:$B$366,'Team Stats'!$T$2:$T$366)+_xlfn.XLOOKUP(A309,'Team Stats'!$B$2:$B$366,'Team Stats'!$F$2:$F$366)+0.44*_xlfn.XLOOKUP(A309,'Team Stats'!$B$2:$B$366,'Team Stats'!$L$2:$L$366)+_xlfn.XLOOKUP(A309,'Team Stats'!$B$2:$B$366,'Team Stats'!$Q$2:$Q$366))*100</f>
        <v>13.104752083870414</v>
      </c>
      <c r="D309" s="146">
        <f>_xlfn.XLOOKUP(A309,'Team Stats'!$B$2:$B$366,'Team Stats'!$N$2:$N$366)/(_xlfn.XLOOKUP(A309,'Team Stats'!$B$2:$B$366,'Team Stats'!$N$2:$N$366)+_xlfn.XLOOKUP(A309,'Opponents stats vs'!$B$2:$B$366,'Opponents stats vs'!$O$2:$O$366))*100</f>
        <v>33.514986376021803</v>
      </c>
      <c r="E309" s="146">
        <f>_xlfn.XLOOKUP(A309,'Team Stats'!$B$2:$B$366,'Team Stats'!$K$2:$K$366)/_xlfn.XLOOKUP(A309,'Team Stats'!$B$2:$B$366,'Team Stats'!$F$2:$F$366)*100</f>
        <v>27.843803056027163</v>
      </c>
      <c r="F309" s="146">
        <f>_xlfn.XLOOKUP(A309,'Team Stats'!$B$2:$B$366,'Team Stats'!$F$2:$F$366)+0.44*_xlfn.XLOOKUP(A309,'Team Stats'!$B$2:$B$366,'Team Stats'!$L$2:$L$366)+_xlfn.XLOOKUP(A309,'Team Stats'!$B$2:$B$366,'Team Stats'!$T$2:$T$366)-_xlfn.XLOOKUP(A309,'Team Stats'!$B$2:$B$366,'Team Stats'!$N$2:$N$366)</f>
        <v>69.096000000000004</v>
      </c>
      <c r="G309">
        <f>_xlfn.XLOOKUP(A309,'Team Stats'!$B$2:$B$366,'Team Stats'!$D$2:$D$366)/F309</f>
        <v>1.0290031260854462</v>
      </c>
      <c r="H309">
        <f>_xlfn.XLOOKUP(A309,'Team Stats'!$B$2:$B$366,'Team Stats'!$D$2:$D$366)</f>
        <v>71.099999999999994</v>
      </c>
    </row>
    <row r="310" spans="1:8" ht="15" customHeight="1" x14ac:dyDescent="0.25">
      <c r="A310" t="s">
        <v>286</v>
      </c>
      <c r="B310" s="146">
        <f t="array" ref="B310">_xlfn.XLOOKUP(A310,'Team Stats'!$B$2:$B$366,('Team Stats'!$E$2:$E$366+'Team Stats'!$H$2:$H$366/2)/'Team Stats'!$F$2:$F$366)*100</f>
        <v>45.996592844974444</v>
      </c>
      <c r="C310" s="146">
        <f>_xlfn.XLOOKUP(A310,'Team Stats'!$B$2:$B$366,'Team Stats'!$T$2:$T$366)/( _xlfn.XLOOKUP(A310,'Team Stats'!$B$2:$B$366,'Team Stats'!$T$2:$T$366)+_xlfn.XLOOKUP(A310,'Team Stats'!$B$2:$B$366,'Team Stats'!$F$2:$F$366)+0.44*_xlfn.XLOOKUP(A310,'Team Stats'!$B$2:$B$366,'Team Stats'!$L$2:$L$366)+_xlfn.XLOOKUP(A310,'Team Stats'!$B$2:$B$366,'Team Stats'!$Q$2:$Q$366))*100</f>
        <v>14.812091856593002</v>
      </c>
      <c r="D310" s="146">
        <f>_xlfn.XLOOKUP(A310,'Team Stats'!$B$2:$B$366,'Team Stats'!$N$2:$N$366)/(_xlfn.XLOOKUP(A310,'Team Stats'!$B$2:$B$366,'Team Stats'!$N$2:$N$366)+_xlfn.XLOOKUP(A310,'Opponents stats vs'!$B$2:$B$366,'Opponents stats vs'!$O$2:$O$366))*100</f>
        <v>29.057591623036643</v>
      </c>
      <c r="E310" s="146">
        <f>_xlfn.XLOOKUP(A310,'Team Stats'!$B$2:$B$366,'Team Stats'!$K$2:$K$366)/_xlfn.XLOOKUP(A310,'Team Stats'!$B$2:$B$366,'Team Stats'!$F$2:$F$366)*100</f>
        <v>28.449744463373083</v>
      </c>
      <c r="F310" s="146">
        <f>_xlfn.XLOOKUP(A310,'Team Stats'!$B$2:$B$366,'Team Stats'!$F$2:$F$366)+0.44*_xlfn.XLOOKUP(A310,'Team Stats'!$B$2:$B$366,'Team Stats'!$L$2:$L$366)+_xlfn.XLOOKUP(A310,'Team Stats'!$B$2:$B$366,'Team Stats'!$T$2:$T$366)-_xlfn.XLOOKUP(A310,'Team Stats'!$B$2:$B$366,'Team Stats'!$N$2:$N$366)</f>
        <v>70.89200000000001</v>
      </c>
      <c r="G310">
        <f>_xlfn.XLOOKUP(A310,'Team Stats'!$B$2:$B$366,'Team Stats'!$D$2:$D$366)/F310</f>
        <v>0.99588105851153841</v>
      </c>
      <c r="H310">
        <f>_xlfn.XLOOKUP(A310,'Team Stats'!$B$2:$B$366,'Team Stats'!$D$2:$D$366)</f>
        <v>70.599999999999994</v>
      </c>
    </row>
    <row r="311" spans="1:8" ht="15" customHeight="1" x14ac:dyDescent="0.25">
      <c r="A311" t="s">
        <v>368</v>
      </c>
      <c r="B311" s="146">
        <f t="array" ref="B311">_xlfn.XLOOKUP(A311,'Team Stats'!$B$2:$B$366,('Team Stats'!$E$2:$E$366+'Team Stats'!$H$2:$H$366/2)/'Team Stats'!$F$2:$F$366)*100</f>
        <v>50.56818181818182</v>
      </c>
      <c r="C311" s="146">
        <f>_xlfn.XLOOKUP(A311,'Team Stats'!$B$2:$B$366,'Team Stats'!$T$2:$T$366)/( _xlfn.XLOOKUP(A311,'Team Stats'!$B$2:$B$366,'Team Stats'!$T$2:$T$366)+_xlfn.XLOOKUP(A311,'Team Stats'!$B$2:$B$366,'Team Stats'!$F$2:$F$366)+0.44*_xlfn.XLOOKUP(A311,'Team Stats'!$B$2:$B$366,'Team Stats'!$L$2:$L$366)+_xlfn.XLOOKUP(A311,'Team Stats'!$B$2:$B$366,'Team Stats'!$Q$2:$Q$366))*100</f>
        <v>13.310472408969909</v>
      </c>
      <c r="D311" s="146">
        <f>_xlfn.XLOOKUP(A311,'Team Stats'!$B$2:$B$366,'Team Stats'!$N$2:$N$366)/(_xlfn.XLOOKUP(A311,'Team Stats'!$B$2:$B$366,'Team Stats'!$N$2:$N$366)+_xlfn.XLOOKUP(A311,'Opponents stats vs'!$B$2:$B$366,'Opponents stats vs'!$O$2:$O$366))*100</f>
        <v>26.5625</v>
      </c>
      <c r="E311" s="146">
        <f>_xlfn.XLOOKUP(A311,'Team Stats'!$B$2:$B$366,'Team Stats'!$K$2:$K$366)/_xlfn.XLOOKUP(A311,'Team Stats'!$B$2:$B$366,'Team Stats'!$F$2:$F$366)*100</f>
        <v>33.901515151515149</v>
      </c>
      <c r="F311" s="146">
        <f>_xlfn.XLOOKUP(A311,'Team Stats'!$B$2:$B$366,'Team Stats'!$F$2:$F$366)+0.44*_xlfn.XLOOKUP(A311,'Team Stats'!$B$2:$B$366,'Team Stats'!$L$2:$L$366)+_xlfn.XLOOKUP(A311,'Team Stats'!$B$2:$B$366,'Team Stats'!$T$2:$T$366)-_xlfn.XLOOKUP(A311,'Team Stats'!$B$2:$B$366,'Team Stats'!$N$2:$N$366)</f>
        <v>66.352000000000004</v>
      </c>
      <c r="G311">
        <f>_xlfn.XLOOKUP(A311,'Team Stats'!$B$2:$B$366,'Team Stats'!$D$2:$D$366)/F311</f>
        <v>1.0760790933204727</v>
      </c>
      <c r="H311">
        <f>_xlfn.XLOOKUP(A311,'Team Stats'!$B$2:$B$366,'Team Stats'!$D$2:$D$366)</f>
        <v>71.400000000000006</v>
      </c>
    </row>
    <row r="312" spans="1:8" ht="15" customHeight="1" x14ac:dyDescent="0.25">
      <c r="A312" t="s">
        <v>401</v>
      </c>
      <c r="B312" s="146">
        <f t="array" ref="B312">_xlfn.XLOOKUP(A312,'Team Stats'!$B$2:$B$366,('Team Stats'!$E$2:$E$366+'Team Stats'!$H$2:$H$366/2)/'Team Stats'!$F$2:$F$366)*100</f>
        <v>50.087108013937289</v>
      </c>
      <c r="C312" s="146">
        <f>_xlfn.XLOOKUP(A312,'Team Stats'!$B$2:$B$366,'Team Stats'!$T$2:$T$366)/( _xlfn.XLOOKUP(A312,'Team Stats'!$B$2:$B$366,'Team Stats'!$T$2:$T$366)+_xlfn.XLOOKUP(A312,'Team Stats'!$B$2:$B$366,'Team Stats'!$F$2:$F$366)+0.44*_xlfn.XLOOKUP(A312,'Team Stats'!$B$2:$B$366,'Team Stats'!$L$2:$L$366)+_xlfn.XLOOKUP(A312,'Team Stats'!$B$2:$B$366,'Team Stats'!$Q$2:$Q$366))*100</f>
        <v>11.889920118206586</v>
      </c>
      <c r="D312" s="146">
        <f>_xlfn.XLOOKUP(A312,'Team Stats'!$B$2:$B$366,'Team Stats'!$N$2:$N$366)/(_xlfn.XLOOKUP(A312,'Team Stats'!$B$2:$B$366,'Team Stats'!$N$2:$N$366)+_xlfn.XLOOKUP(A312,'Opponents stats vs'!$B$2:$B$366,'Opponents stats vs'!$O$2:$O$366))*100</f>
        <v>29.855072463768117</v>
      </c>
      <c r="E312" s="146">
        <f>_xlfn.XLOOKUP(A312,'Team Stats'!$B$2:$B$366,'Team Stats'!$K$2:$K$366)/_xlfn.XLOOKUP(A312,'Team Stats'!$B$2:$B$366,'Team Stats'!$F$2:$F$366)*100</f>
        <v>24.041811846689896</v>
      </c>
      <c r="F312" s="146">
        <f>_xlfn.XLOOKUP(A312,'Team Stats'!$B$2:$B$366,'Team Stats'!$F$2:$F$366)+0.44*_xlfn.XLOOKUP(A312,'Team Stats'!$B$2:$B$366,'Team Stats'!$L$2:$L$366)+_xlfn.XLOOKUP(A312,'Team Stats'!$B$2:$B$366,'Team Stats'!$T$2:$T$366)-_xlfn.XLOOKUP(A312,'Team Stats'!$B$2:$B$366,'Team Stats'!$N$2:$N$366)</f>
        <v>65.628</v>
      </c>
      <c r="G312">
        <f>_xlfn.XLOOKUP(A312,'Team Stats'!$B$2:$B$366,'Team Stats'!$D$2:$D$366)/F312</f>
        <v>1.0849027853964772</v>
      </c>
      <c r="H312">
        <f>_xlfn.XLOOKUP(A312,'Team Stats'!$B$2:$B$366,'Team Stats'!$D$2:$D$366)</f>
        <v>71.2</v>
      </c>
    </row>
    <row r="313" spans="1:8" ht="15" customHeight="1" x14ac:dyDescent="0.25">
      <c r="A313" t="s">
        <v>466</v>
      </c>
      <c r="B313" s="146">
        <f t="array" ref="B313">_xlfn.XLOOKUP(A313,'Team Stats'!$B$2:$B$366,('Team Stats'!$E$2:$E$366+'Team Stats'!$H$2:$H$366/2)/'Team Stats'!$F$2:$F$366)*100</f>
        <v>51.175406871609397</v>
      </c>
      <c r="C313" s="146">
        <f>_xlfn.XLOOKUP(A313,'Team Stats'!$B$2:$B$366,'Team Stats'!$T$2:$T$366)/( _xlfn.XLOOKUP(A313,'Team Stats'!$B$2:$B$366,'Team Stats'!$T$2:$T$366)+_xlfn.XLOOKUP(A313,'Team Stats'!$B$2:$B$366,'Team Stats'!$F$2:$F$366)+0.44*_xlfn.XLOOKUP(A313,'Team Stats'!$B$2:$B$366,'Team Stats'!$L$2:$L$366)+_xlfn.XLOOKUP(A313,'Team Stats'!$B$2:$B$366,'Team Stats'!$Q$2:$Q$366))*100</f>
        <v>12.629135757520594</v>
      </c>
      <c r="D313" s="146">
        <f>_xlfn.XLOOKUP(A313,'Team Stats'!$B$2:$B$366,'Team Stats'!$N$2:$N$366)/(_xlfn.XLOOKUP(A313,'Team Stats'!$B$2:$B$366,'Team Stats'!$N$2:$N$366)+_xlfn.XLOOKUP(A313,'Opponents stats vs'!$B$2:$B$366,'Opponents stats vs'!$O$2:$O$366))*100</f>
        <v>31.378299120234608</v>
      </c>
      <c r="E313" s="146">
        <f>_xlfn.XLOOKUP(A313,'Team Stats'!$B$2:$B$366,'Team Stats'!$K$2:$K$366)/_xlfn.XLOOKUP(A313,'Team Stats'!$B$2:$B$366,'Team Stats'!$F$2:$F$366)*100</f>
        <v>23.508137432188068</v>
      </c>
      <c r="F313" s="146">
        <f>_xlfn.XLOOKUP(A313,'Team Stats'!$B$2:$B$366,'Team Stats'!$F$2:$F$366)+0.44*_xlfn.XLOOKUP(A313,'Team Stats'!$B$2:$B$366,'Team Stats'!$L$2:$L$366)+_xlfn.XLOOKUP(A313,'Team Stats'!$B$2:$B$366,'Team Stats'!$T$2:$T$366)-_xlfn.XLOOKUP(A313,'Team Stats'!$B$2:$B$366,'Team Stats'!$N$2:$N$366)</f>
        <v>64.191999999999993</v>
      </c>
      <c r="G313">
        <f>_xlfn.XLOOKUP(A313,'Team Stats'!$B$2:$B$366,'Team Stats'!$D$2:$D$366)/F313</f>
        <v>1.084247258225324</v>
      </c>
      <c r="H313">
        <f>_xlfn.XLOOKUP(A313,'Team Stats'!$B$2:$B$366,'Team Stats'!$D$2:$D$366)</f>
        <v>69.599999999999994</v>
      </c>
    </row>
    <row r="314" spans="1:8" ht="15" customHeight="1" x14ac:dyDescent="0.25">
      <c r="A314" t="s">
        <v>182</v>
      </c>
      <c r="B314" s="146">
        <f t="array" ref="B314">_xlfn.XLOOKUP(A314,'Team Stats'!$B$2:$B$366,('Team Stats'!$E$2:$E$366+'Team Stats'!$H$2:$H$366/2)/'Team Stats'!$F$2:$F$366)*100</f>
        <v>48.930481283422452</v>
      </c>
      <c r="C314" s="146">
        <f>_xlfn.XLOOKUP(A314,'Team Stats'!$B$2:$B$366,'Team Stats'!$T$2:$T$366)/( _xlfn.XLOOKUP(A314,'Team Stats'!$B$2:$B$366,'Team Stats'!$T$2:$T$366)+_xlfn.XLOOKUP(A314,'Team Stats'!$B$2:$B$366,'Team Stats'!$F$2:$F$366)+0.44*_xlfn.XLOOKUP(A314,'Team Stats'!$B$2:$B$366,'Team Stats'!$L$2:$L$366)+_xlfn.XLOOKUP(A314,'Team Stats'!$B$2:$B$366,'Team Stats'!$Q$2:$Q$366))*100</f>
        <v>15.502052685596993</v>
      </c>
      <c r="D314" s="146">
        <f>_xlfn.XLOOKUP(A314,'Team Stats'!$B$2:$B$366,'Team Stats'!$N$2:$N$366)/(_xlfn.XLOOKUP(A314,'Team Stats'!$B$2:$B$366,'Team Stats'!$N$2:$N$366)+_xlfn.XLOOKUP(A314,'Opponents stats vs'!$B$2:$B$366,'Opponents stats vs'!$O$2:$O$366))*100</f>
        <v>33.429394812680115</v>
      </c>
      <c r="E314" s="146">
        <f>_xlfn.XLOOKUP(A314,'Team Stats'!$B$2:$B$366,'Team Stats'!$K$2:$K$366)/_xlfn.XLOOKUP(A314,'Team Stats'!$B$2:$B$366,'Team Stats'!$F$2:$F$366)*100</f>
        <v>27.450980392156865</v>
      </c>
      <c r="F314" s="146">
        <f>_xlfn.XLOOKUP(A314,'Team Stats'!$B$2:$B$366,'Team Stats'!$F$2:$F$366)+0.44*_xlfn.XLOOKUP(A314,'Team Stats'!$B$2:$B$366,'Team Stats'!$L$2:$L$366)+_xlfn.XLOOKUP(A314,'Team Stats'!$B$2:$B$366,'Team Stats'!$T$2:$T$366)-_xlfn.XLOOKUP(A314,'Team Stats'!$B$2:$B$366,'Team Stats'!$N$2:$N$366)</f>
        <v>68.63600000000001</v>
      </c>
      <c r="G314">
        <f>_xlfn.XLOOKUP(A314,'Team Stats'!$B$2:$B$366,'Team Stats'!$D$2:$D$366)/F314</f>
        <v>1.0227868756920566</v>
      </c>
      <c r="H314">
        <f>_xlfn.XLOOKUP(A314,'Team Stats'!$B$2:$B$366,'Team Stats'!$D$2:$D$366)</f>
        <v>70.2</v>
      </c>
    </row>
    <row r="315" spans="1:8" ht="15" customHeight="1" x14ac:dyDescent="0.25">
      <c r="A315" t="s">
        <v>274</v>
      </c>
      <c r="B315" s="146">
        <f t="array" ref="B315">_xlfn.XLOOKUP(A315,'Team Stats'!$B$2:$B$366,('Team Stats'!$E$2:$E$366+'Team Stats'!$H$2:$H$366/2)/'Team Stats'!$F$2:$F$366)*100</f>
        <v>47.309027777777779</v>
      </c>
      <c r="C315" s="146">
        <f>_xlfn.XLOOKUP(A315,'Team Stats'!$B$2:$B$366,'Team Stats'!$T$2:$T$366)/( _xlfn.XLOOKUP(A315,'Team Stats'!$B$2:$B$366,'Team Stats'!$T$2:$T$366)+_xlfn.XLOOKUP(A315,'Team Stats'!$B$2:$B$366,'Team Stats'!$F$2:$F$366)+0.44*_xlfn.XLOOKUP(A315,'Team Stats'!$B$2:$B$366,'Team Stats'!$L$2:$L$366)+_xlfn.XLOOKUP(A315,'Team Stats'!$B$2:$B$366,'Team Stats'!$Q$2:$Q$366))*100</f>
        <v>12.375143640060106</v>
      </c>
      <c r="D315" s="146">
        <f>_xlfn.XLOOKUP(A315,'Team Stats'!$B$2:$B$366,'Team Stats'!$N$2:$N$366)/(_xlfn.XLOOKUP(A315,'Team Stats'!$B$2:$B$366,'Team Stats'!$N$2:$N$366)+_xlfn.XLOOKUP(A315,'Opponents stats vs'!$B$2:$B$366,'Opponents stats vs'!$O$2:$O$366))*100</f>
        <v>33.333333333333329</v>
      </c>
      <c r="E315" s="146">
        <f>_xlfn.XLOOKUP(A315,'Team Stats'!$B$2:$B$366,'Team Stats'!$K$2:$K$366)/_xlfn.XLOOKUP(A315,'Team Stats'!$B$2:$B$366,'Team Stats'!$F$2:$F$366)*100</f>
        <v>27.083333333333332</v>
      </c>
      <c r="F315" s="146">
        <f>_xlfn.XLOOKUP(A315,'Team Stats'!$B$2:$B$366,'Team Stats'!$F$2:$F$366)+0.44*_xlfn.XLOOKUP(A315,'Team Stats'!$B$2:$B$366,'Team Stats'!$L$2:$L$366)+_xlfn.XLOOKUP(A315,'Team Stats'!$B$2:$B$366,'Team Stats'!$T$2:$T$366)-_xlfn.XLOOKUP(A315,'Team Stats'!$B$2:$B$366,'Team Stats'!$N$2:$N$366)</f>
        <v>66.004000000000005</v>
      </c>
      <c r="G315">
        <f>_xlfn.XLOOKUP(A315,'Team Stats'!$B$2:$B$366,'Team Stats'!$D$2:$D$366)/F315</f>
        <v>1.0605417853463426</v>
      </c>
      <c r="H315">
        <f>_xlfn.XLOOKUP(A315,'Team Stats'!$B$2:$B$366,'Team Stats'!$D$2:$D$366)</f>
        <v>70</v>
      </c>
    </row>
    <row r="316" spans="1:8" ht="15" customHeight="1" x14ac:dyDescent="0.25">
      <c r="A316" t="s">
        <v>356</v>
      </c>
      <c r="B316" s="146">
        <f t="array" ref="B316">_xlfn.XLOOKUP(A316,'Team Stats'!$B$2:$B$366,('Team Stats'!$E$2:$E$366+'Team Stats'!$H$2:$H$366/2)/'Team Stats'!$F$2:$F$366)*100</f>
        <v>49.718045112781951</v>
      </c>
      <c r="C316" s="146">
        <f>_xlfn.XLOOKUP(A316,'Team Stats'!$B$2:$B$366,'Team Stats'!$T$2:$T$366)/( _xlfn.XLOOKUP(A316,'Team Stats'!$B$2:$B$366,'Team Stats'!$T$2:$T$366)+_xlfn.XLOOKUP(A316,'Team Stats'!$B$2:$B$366,'Team Stats'!$F$2:$F$366)+0.44*_xlfn.XLOOKUP(A316,'Team Stats'!$B$2:$B$366,'Team Stats'!$L$2:$L$366)+_xlfn.XLOOKUP(A316,'Team Stats'!$B$2:$B$366,'Team Stats'!$Q$2:$Q$366))*100</f>
        <v>13.447716206816601</v>
      </c>
      <c r="D316" s="146">
        <f>_xlfn.XLOOKUP(A316,'Team Stats'!$B$2:$B$366,'Team Stats'!$N$2:$N$366)/(_xlfn.XLOOKUP(A316,'Team Stats'!$B$2:$B$366,'Team Stats'!$N$2:$N$366)+_xlfn.XLOOKUP(A316,'Opponents stats vs'!$B$2:$B$366,'Opponents stats vs'!$O$2:$O$366))*100</f>
        <v>26.769230769230766</v>
      </c>
      <c r="E316" s="146">
        <f>_xlfn.XLOOKUP(A316,'Team Stats'!$B$2:$B$366,'Team Stats'!$K$2:$K$366)/_xlfn.XLOOKUP(A316,'Team Stats'!$B$2:$B$366,'Team Stats'!$F$2:$F$366)*100</f>
        <v>30.075187969924812</v>
      </c>
      <c r="F316" s="146">
        <f>_xlfn.XLOOKUP(A316,'Team Stats'!$B$2:$B$366,'Team Stats'!$F$2:$F$366)+0.44*_xlfn.XLOOKUP(A316,'Team Stats'!$B$2:$B$366,'Team Stats'!$L$2:$L$366)+_xlfn.XLOOKUP(A316,'Team Stats'!$B$2:$B$366,'Team Stats'!$T$2:$T$366)-_xlfn.XLOOKUP(A316,'Team Stats'!$B$2:$B$366,'Team Stats'!$N$2:$N$366)</f>
        <v>65.56</v>
      </c>
      <c r="G316">
        <f>_xlfn.XLOOKUP(A316,'Team Stats'!$B$2:$B$366,'Team Stats'!$D$2:$D$366)/F316</f>
        <v>1.0524710189139719</v>
      </c>
      <c r="H316">
        <f>_xlfn.XLOOKUP(A316,'Team Stats'!$B$2:$B$366,'Team Stats'!$D$2:$D$366)</f>
        <v>69</v>
      </c>
    </row>
    <row r="317" spans="1:8" ht="15" customHeight="1" x14ac:dyDescent="0.25">
      <c r="A317" t="s">
        <v>337</v>
      </c>
      <c r="B317" s="146">
        <f t="array" ref="B317">_xlfn.XLOOKUP(A317,'Team Stats'!$B$2:$B$366,('Team Stats'!$E$2:$E$366+'Team Stats'!$H$2:$H$366/2)/'Team Stats'!$F$2:$F$366)*100</f>
        <v>47.364085667215811</v>
      </c>
      <c r="C317" s="146">
        <f>_xlfn.XLOOKUP(A317,'Team Stats'!$B$2:$B$366,'Team Stats'!$T$2:$T$366)/( _xlfn.XLOOKUP(A317,'Team Stats'!$B$2:$B$366,'Team Stats'!$T$2:$T$366)+_xlfn.XLOOKUP(A317,'Team Stats'!$B$2:$B$366,'Team Stats'!$F$2:$F$366)+0.44*_xlfn.XLOOKUP(A317,'Team Stats'!$B$2:$B$366,'Team Stats'!$L$2:$L$366)+_xlfn.XLOOKUP(A317,'Team Stats'!$B$2:$B$366,'Team Stats'!$Q$2:$Q$366))*100</f>
        <v>12.340781876680328</v>
      </c>
      <c r="D317" s="146">
        <f>_xlfn.XLOOKUP(A317,'Team Stats'!$B$2:$B$366,'Team Stats'!$N$2:$N$366)/(_xlfn.XLOOKUP(A317,'Team Stats'!$B$2:$B$366,'Team Stats'!$N$2:$N$366)+_xlfn.XLOOKUP(A317,'Opponents stats vs'!$B$2:$B$366,'Opponents stats vs'!$O$2:$O$366))*100</f>
        <v>27.249357326478151</v>
      </c>
      <c r="E317" s="146">
        <f>_xlfn.XLOOKUP(A317,'Team Stats'!$B$2:$B$366,'Team Stats'!$K$2:$K$366)/_xlfn.XLOOKUP(A317,'Team Stats'!$B$2:$B$366,'Team Stats'!$F$2:$F$366)*100</f>
        <v>19.110378912685334</v>
      </c>
      <c r="F317" s="146">
        <f>_xlfn.XLOOKUP(A317,'Team Stats'!$B$2:$B$366,'Team Stats'!$F$2:$F$366)+0.44*_xlfn.XLOOKUP(A317,'Team Stats'!$B$2:$B$366,'Team Stats'!$L$2:$L$366)+_xlfn.XLOOKUP(A317,'Team Stats'!$B$2:$B$366,'Team Stats'!$T$2:$T$366)-_xlfn.XLOOKUP(A317,'Team Stats'!$B$2:$B$366,'Team Stats'!$N$2:$N$366)</f>
        <v>68.956000000000017</v>
      </c>
      <c r="G317">
        <f>_xlfn.XLOOKUP(A317,'Team Stats'!$B$2:$B$366,'Team Stats'!$D$2:$D$366)/F317</f>
        <v>1.0035384883113867</v>
      </c>
      <c r="H317">
        <f>_xlfn.XLOOKUP(A317,'Team Stats'!$B$2:$B$366,'Team Stats'!$D$2:$D$366)</f>
        <v>69.2</v>
      </c>
    </row>
    <row r="318" spans="1:8" ht="15" customHeight="1" x14ac:dyDescent="0.25">
      <c r="A318" t="s">
        <v>312</v>
      </c>
      <c r="B318" s="146">
        <f t="array" ref="B318">_xlfn.XLOOKUP(A318,'Team Stats'!$B$2:$B$366,('Team Stats'!$E$2:$E$366+'Team Stats'!$H$2:$H$366/2)/'Team Stats'!$F$2:$F$366)*100</f>
        <v>50.085910652920958</v>
      </c>
      <c r="C318" s="146">
        <f>_xlfn.XLOOKUP(A318,'Team Stats'!$B$2:$B$366,'Team Stats'!$T$2:$T$366)/( _xlfn.XLOOKUP(A318,'Team Stats'!$B$2:$B$366,'Team Stats'!$T$2:$T$366)+_xlfn.XLOOKUP(A318,'Team Stats'!$B$2:$B$366,'Team Stats'!$F$2:$F$366)+0.44*_xlfn.XLOOKUP(A318,'Team Stats'!$B$2:$B$366,'Team Stats'!$L$2:$L$366)+_xlfn.XLOOKUP(A318,'Team Stats'!$B$2:$B$366,'Team Stats'!$Q$2:$Q$366))*100</f>
        <v>12.00863740525295</v>
      </c>
      <c r="D318" s="146">
        <f>_xlfn.XLOOKUP(A318,'Team Stats'!$B$2:$B$366,'Team Stats'!$N$2:$N$366)/(_xlfn.XLOOKUP(A318,'Team Stats'!$B$2:$B$366,'Team Stats'!$N$2:$N$366)+_xlfn.XLOOKUP(A318,'Opponents stats vs'!$B$2:$B$366,'Opponents stats vs'!$O$2:$O$366))*100</f>
        <v>28.82352941176471</v>
      </c>
      <c r="E318" s="146">
        <f>_xlfn.XLOOKUP(A318,'Team Stats'!$B$2:$B$366,'Team Stats'!$K$2:$K$366)/_xlfn.XLOOKUP(A318,'Team Stats'!$B$2:$B$366,'Team Stats'!$F$2:$F$366)*100</f>
        <v>19.93127147766323</v>
      </c>
      <c r="F318" s="146">
        <f>_xlfn.XLOOKUP(A318,'Team Stats'!$B$2:$B$366,'Team Stats'!$F$2:$F$366)+0.44*_xlfn.XLOOKUP(A318,'Team Stats'!$B$2:$B$366,'Team Stats'!$L$2:$L$366)+_xlfn.XLOOKUP(A318,'Team Stats'!$B$2:$B$366,'Team Stats'!$T$2:$T$366)-_xlfn.XLOOKUP(A318,'Team Stats'!$B$2:$B$366,'Team Stats'!$N$2:$N$366)</f>
        <v>65.768000000000015</v>
      </c>
      <c r="G318">
        <f>_xlfn.XLOOKUP(A318,'Team Stats'!$B$2:$B$366,'Team Stats'!$D$2:$D$366)/F318</f>
        <v>1.0628269067023475</v>
      </c>
      <c r="H318">
        <f>_xlfn.XLOOKUP(A318,'Team Stats'!$B$2:$B$366,'Team Stats'!$D$2:$D$366)</f>
        <v>69.900000000000006</v>
      </c>
    </row>
    <row r="319" spans="1:8" ht="15" customHeight="1" x14ac:dyDescent="0.25">
      <c r="A319" t="s">
        <v>388</v>
      </c>
      <c r="B319" s="146">
        <f t="array" ref="B319">_xlfn.XLOOKUP(A319,'Team Stats'!$B$2:$B$366,('Team Stats'!$E$2:$E$366+'Team Stats'!$H$2:$H$366/2)/'Team Stats'!$F$2:$F$366)*100</f>
        <v>47.327586206896548</v>
      </c>
      <c r="C319" s="146">
        <f>_xlfn.XLOOKUP(A319,'Team Stats'!$B$2:$B$366,'Team Stats'!$T$2:$T$366)/( _xlfn.XLOOKUP(A319,'Team Stats'!$B$2:$B$366,'Team Stats'!$T$2:$T$366)+_xlfn.XLOOKUP(A319,'Team Stats'!$B$2:$B$366,'Team Stats'!$F$2:$F$366)+0.44*_xlfn.XLOOKUP(A319,'Team Stats'!$B$2:$B$366,'Team Stats'!$L$2:$L$366)+_xlfn.XLOOKUP(A319,'Team Stats'!$B$2:$B$366,'Team Stats'!$Q$2:$Q$366))*100</f>
        <v>11.396138720057202</v>
      </c>
      <c r="D319" s="146">
        <f>_xlfn.XLOOKUP(A319,'Team Stats'!$B$2:$B$366,'Team Stats'!$N$2:$N$366)/(_xlfn.XLOOKUP(A319,'Team Stats'!$B$2:$B$366,'Team Stats'!$N$2:$N$366)+_xlfn.XLOOKUP(A319,'Opponents stats vs'!$B$2:$B$366,'Opponents stats vs'!$O$2:$O$366))*100</f>
        <v>30.470914127423821</v>
      </c>
      <c r="E319" s="146">
        <f>_xlfn.XLOOKUP(A319,'Team Stats'!$B$2:$B$366,'Team Stats'!$K$2:$K$366)/_xlfn.XLOOKUP(A319,'Team Stats'!$B$2:$B$366,'Team Stats'!$F$2:$F$366)*100</f>
        <v>27.413793103448274</v>
      </c>
      <c r="F319" s="146">
        <f>_xlfn.XLOOKUP(A319,'Team Stats'!$B$2:$B$366,'Team Stats'!$F$2:$F$366)+0.44*_xlfn.XLOOKUP(A319,'Team Stats'!$B$2:$B$366,'Team Stats'!$L$2:$L$366)+_xlfn.XLOOKUP(A319,'Team Stats'!$B$2:$B$366,'Team Stats'!$T$2:$T$366)-_xlfn.XLOOKUP(A319,'Team Stats'!$B$2:$B$366,'Team Stats'!$N$2:$N$366)</f>
        <v>66.704000000000008</v>
      </c>
      <c r="G319">
        <f>_xlfn.XLOOKUP(A319,'Team Stats'!$B$2:$B$366,'Team Stats'!$D$2:$D$366)/F319</f>
        <v>1.0614056128568001</v>
      </c>
      <c r="H319">
        <f>_xlfn.XLOOKUP(A319,'Team Stats'!$B$2:$B$366,'Team Stats'!$D$2:$D$366)</f>
        <v>70.8</v>
      </c>
    </row>
    <row r="320" spans="1:8" ht="15" customHeight="1" x14ac:dyDescent="0.25">
      <c r="A320" t="s">
        <v>373</v>
      </c>
      <c r="B320" s="146">
        <f t="array" ref="B320">_xlfn.XLOOKUP(A320,'Team Stats'!$B$2:$B$366,('Team Stats'!$E$2:$E$366+'Team Stats'!$H$2:$H$366/2)/'Team Stats'!$F$2:$F$366)*100</f>
        <v>50.869565217391298</v>
      </c>
      <c r="C320" s="146">
        <f>_xlfn.XLOOKUP(A320,'Team Stats'!$B$2:$B$366,'Team Stats'!$T$2:$T$366)/( _xlfn.XLOOKUP(A320,'Team Stats'!$B$2:$B$366,'Team Stats'!$T$2:$T$366)+_xlfn.XLOOKUP(A320,'Team Stats'!$B$2:$B$366,'Team Stats'!$F$2:$F$366)+0.44*_xlfn.XLOOKUP(A320,'Team Stats'!$B$2:$B$366,'Team Stats'!$L$2:$L$366)+_xlfn.XLOOKUP(A320,'Team Stats'!$B$2:$B$366,'Team Stats'!$Q$2:$Q$366))*100</f>
        <v>12.56169682956112</v>
      </c>
      <c r="D320" s="146">
        <f>_xlfn.XLOOKUP(A320,'Team Stats'!$B$2:$B$366,'Team Stats'!$N$2:$N$366)/(_xlfn.XLOOKUP(A320,'Team Stats'!$B$2:$B$366,'Team Stats'!$N$2:$N$366)+_xlfn.XLOOKUP(A320,'Opponents stats vs'!$B$2:$B$366,'Opponents stats vs'!$O$2:$O$366))*100</f>
        <v>33.618233618233617</v>
      </c>
      <c r="E320" s="146">
        <f>_xlfn.XLOOKUP(A320,'Team Stats'!$B$2:$B$366,'Team Stats'!$K$2:$K$366)/_xlfn.XLOOKUP(A320,'Team Stats'!$B$2:$B$366,'Team Stats'!$F$2:$F$366)*100</f>
        <v>20.34782608695652</v>
      </c>
      <c r="F320" s="146">
        <f>_xlfn.XLOOKUP(A320,'Team Stats'!$B$2:$B$366,'Team Stats'!$F$2:$F$366)+0.44*_xlfn.XLOOKUP(A320,'Team Stats'!$B$2:$B$366,'Team Stats'!$L$2:$L$366)+_xlfn.XLOOKUP(A320,'Team Stats'!$B$2:$B$366,'Team Stats'!$T$2:$T$366)-_xlfn.XLOOKUP(A320,'Team Stats'!$B$2:$B$366,'Team Stats'!$N$2:$N$366)</f>
        <v>64.656000000000006</v>
      </c>
      <c r="G320">
        <f>_xlfn.XLOOKUP(A320,'Team Stats'!$B$2:$B$366,'Team Stats'!$D$2:$D$366)/F320</f>
        <v>1.0841994555803016</v>
      </c>
      <c r="H320">
        <f>_xlfn.XLOOKUP(A320,'Team Stats'!$B$2:$B$366,'Team Stats'!$D$2:$D$366)</f>
        <v>70.099999999999994</v>
      </c>
    </row>
    <row r="321" spans="1:8" ht="15" customHeight="1" x14ac:dyDescent="0.25">
      <c r="A321" t="s">
        <v>256</v>
      </c>
      <c r="B321" s="146">
        <f t="array" ref="B321">_xlfn.XLOOKUP(A321,'Team Stats'!$B$2:$B$366,('Team Stats'!$E$2:$E$366+'Team Stats'!$H$2:$H$366/2)/'Team Stats'!$F$2:$F$366)*100</f>
        <v>49.733096085409251</v>
      </c>
      <c r="C321" s="146">
        <f>_xlfn.XLOOKUP(A321,'Team Stats'!$B$2:$B$366,'Team Stats'!$T$2:$T$366)/( _xlfn.XLOOKUP(A321,'Team Stats'!$B$2:$B$366,'Team Stats'!$T$2:$T$366)+_xlfn.XLOOKUP(A321,'Team Stats'!$B$2:$B$366,'Team Stats'!$F$2:$F$366)+0.44*_xlfn.XLOOKUP(A321,'Team Stats'!$B$2:$B$366,'Team Stats'!$L$2:$L$366)+_xlfn.XLOOKUP(A321,'Team Stats'!$B$2:$B$366,'Team Stats'!$Q$2:$Q$366))*100</f>
        <v>16.114477246358128</v>
      </c>
      <c r="D321" s="146">
        <f>_xlfn.XLOOKUP(A321,'Team Stats'!$B$2:$B$366,'Team Stats'!$N$2:$N$366)/(_xlfn.XLOOKUP(A321,'Team Stats'!$B$2:$B$366,'Team Stats'!$N$2:$N$366)+_xlfn.XLOOKUP(A321,'Opponents stats vs'!$B$2:$B$366,'Opponents stats vs'!$O$2:$O$366))*100</f>
        <v>30.635838150289015</v>
      </c>
      <c r="E321" s="146">
        <f>_xlfn.XLOOKUP(A321,'Team Stats'!$B$2:$B$366,'Team Stats'!$K$2:$K$366)/_xlfn.XLOOKUP(A321,'Team Stats'!$B$2:$B$366,'Team Stats'!$F$2:$F$366)*100</f>
        <v>25.800711743772244</v>
      </c>
      <c r="F321" s="146">
        <f>_xlfn.XLOOKUP(A321,'Team Stats'!$B$2:$B$366,'Team Stats'!$F$2:$F$366)+0.44*_xlfn.XLOOKUP(A321,'Team Stats'!$B$2:$B$366,'Team Stats'!$L$2:$L$366)+_xlfn.XLOOKUP(A321,'Team Stats'!$B$2:$B$366,'Team Stats'!$T$2:$T$366)-_xlfn.XLOOKUP(A321,'Team Stats'!$B$2:$B$366,'Team Stats'!$N$2:$N$366)</f>
        <v>69.884000000000015</v>
      </c>
      <c r="G321">
        <f>_xlfn.XLOOKUP(A321,'Team Stats'!$B$2:$B$366,'Team Stats'!$D$2:$D$366)/F321</f>
        <v>1.0073836643580789</v>
      </c>
      <c r="H321">
        <f>_xlfn.XLOOKUP(A321,'Team Stats'!$B$2:$B$366,'Team Stats'!$D$2:$D$366)</f>
        <v>70.400000000000006</v>
      </c>
    </row>
    <row r="322" spans="1:8" ht="15" customHeight="1" x14ac:dyDescent="0.25">
      <c r="A322" t="s">
        <v>451</v>
      </c>
      <c r="B322" s="146">
        <f t="array" ref="B322">_xlfn.XLOOKUP(A322,'Team Stats'!$B$2:$B$366,('Team Stats'!$E$2:$E$366+'Team Stats'!$H$2:$H$366/2)/'Team Stats'!$F$2:$F$366)*100</f>
        <v>49.206349206349202</v>
      </c>
      <c r="C322" s="146">
        <f>_xlfn.XLOOKUP(A322,'Team Stats'!$B$2:$B$366,'Team Stats'!$T$2:$T$366)/( _xlfn.XLOOKUP(A322,'Team Stats'!$B$2:$B$366,'Team Stats'!$T$2:$T$366)+_xlfn.XLOOKUP(A322,'Team Stats'!$B$2:$B$366,'Team Stats'!$F$2:$F$366)+0.44*_xlfn.XLOOKUP(A322,'Team Stats'!$B$2:$B$366,'Team Stats'!$L$2:$L$366)+_xlfn.XLOOKUP(A322,'Team Stats'!$B$2:$B$366,'Team Stats'!$Q$2:$Q$366))*100</f>
        <v>13.05306747085565</v>
      </c>
      <c r="D322" s="146">
        <f>_xlfn.XLOOKUP(A322,'Team Stats'!$B$2:$B$366,'Team Stats'!$N$2:$N$366)/(_xlfn.XLOOKUP(A322,'Team Stats'!$B$2:$B$366,'Team Stats'!$N$2:$N$366)+_xlfn.XLOOKUP(A322,'Opponents stats vs'!$B$2:$B$366,'Opponents stats vs'!$O$2:$O$366))*100</f>
        <v>28.04532577903683</v>
      </c>
      <c r="E322" s="146">
        <f>_xlfn.XLOOKUP(A322,'Team Stats'!$B$2:$B$366,'Team Stats'!$K$2:$K$366)/_xlfn.XLOOKUP(A322,'Team Stats'!$B$2:$B$366,'Team Stats'!$F$2:$F$366)*100</f>
        <v>24.338624338624339</v>
      </c>
      <c r="F322" s="146">
        <f>_xlfn.XLOOKUP(A322,'Team Stats'!$B$2:$B$366,'Team Stats'!$F$2:$F$366)+0.44*_xlfn.XLOOKUP(A322,'Team Stats'!$B$2:$B$366,'Team Stats'!$L$2:$L$366)+_xlfn.XLOOKUP(A322,'Team Stats'!$B$2:$B$366,'Team Stats'!$T$2:$T$366)-_xlfn.XLOOKUP(A322,'Team Stats'!$B$2:$B$366,'Team Stats'!$N$2:$N$366)</f>
        <v>67.067999999999984</v>
      </c>
      <c r="G322">
        <f>_xlfn.XLOOKUP(A322,'Team Stats'!$B$2:$B$366,'Team Stats'!$D$2:$D$366)/F322</f>
        <v>1.0377527285739847</v>
      </c>
      <c r="H322">
        <f>_xlfn.XLOOKUP(A322,'Team Stats'!$B$2:$B$366,'Team Stats'!$D$2:$D$366)</f>
        <v>69.599999999999994</v>
      </c>
    </row>
    <row r="323" spans="1:8" ht="15" customHeight="1" x14ac:dyDescent="0.25">
      <c r="A323" t="s">
        <v>452</v>
      </c>
      <c r="B323" s="146">
        <f t="array" ref="B323">_xlfn.XLOOKUP(A323,'Team Stats'!$B$2:$B$366,('Team Stats'!$E$2:$E$366+'Team Stats'!$H$2:$H$366/2)/'Team Stats'!$F$2:$F$366)*100</f>
        <v>46.122778675282717</v>
      </c>
      <c r="C323" s="146">
        <f>_xlfn.XLOOKUP(A323,'Team Stats'!$B$2:$B$366,'Team Stats'!$T$2:$T$366)/( _xlfn.XLOOKUP(A323,'Team Stats'!$B$2:$B$366,'Team Stats'!$T$2:$T$366)+_xlfn.XLOOKUP(A323,'Team Stats'!$B$2:$B$366,'Team Stats'!$F$2:$F$366)+0.44*_xlfn.XLOOKUP(A323,'Team Stats'!$B$2:$B$366,'Team Stats'!$L$2:$L$366)+_xlfn.XLOOKUP(A323,'Team Stats'!$B$2:$B$366,'Team Stats'!$Q$2:$Q$366))*100</f>
        <v>13.142019993105825</v>
      </c>
      <c r="D323" s="146">
        <f>_xlfn.XLOOKUP(A323,'Team Stats'!$B$2:$B$366,'Team Stats'!$N$2:$N$366)/(_xlfn.XLOOKUP(A323,'Team Stats'!$B$2:$B$366,'Team Stats'!$N$2:$N$366)+_xlfn.XLOOKUP(A323,'Opponents stats vs'!$B$2:$B$366,'Opponents stats vs'!$O$2:$O$366))*100</f>
        <v>30.808080808080813</v>
      </c>
      <c r="E323" s="146">
        <f>_xlfn.XLOOKUP(A323,'Team Stats'!$B$2:$B$366,'Team Stats'!$K$2:$K$366)/_xlfn.XLOOKUP(A323,'Team Stats'!$B$2:$B$366,'Team Stats'!$F$2:$F$366)*100</f>
        <v>20.032310177705977</v>
      </c>
      <c r="F323" s="146">
        <f>_xlfn.XLOOKUP(A323,'Team Stats'!$B$2:$B$366,'Team Stats'!$F$2:$F$366)+0.44*_xlfn.XLOOKUP(A323,'Team Stats'!$B$2:$B$366,'Team Stats'!$L$2:$L$366)+_xlfn.XLOOKUP(A323,'Team Stats'!$B$2:$B$366,'Team Stats'!$T$2:$T$366)-_xlfn.XLOOKUP(A323,'Team Stats'!$B$2:$B$366,'Team Stats'!$N$2:$N$366)</f>
        <v>69.731999999999999</v>
      </c>
      <c r="G323">
        <f>_xlfn.XLOOKUP(A323,'Team Stats'!$B$2:$B$366,'Team Stats'!$D$2:$D$366)/F323</f>
        <v>0.99523891470200199</v>
      </c>
      <c r="H323">
        <f>_xlfn.XLOOKUP(A323,'Team Stats'!$B$2:$B$366,'Team Stats'!$D$2:$D$366)</f>
        <v>69.400000000000006</v>
      </c>
    </row>
    <row r="324" spans="1:8" ht="15" customHeight="1" x14ac:dyDescent="0.25">
      <c r="A324" t="s">
        <v>432</v>
      </c>
      <c r="B324" s="146">
        <f t="array" ref="B324">_xlfn.XLOOKUP(A324,'Team Stats'!$B$2:$B$366,('Team Stats'!$E$2:$E$366+'Team Stats'!$H$2:$H$366/2)/'Team Stats'!$F$2:$F$366)*100</f>
        <v>47.483221476510067</v>
      </c>
      <c r="C324" s="146">
        <f>_xlfn.XLOOKUP(A324,'Team Stats'!$B$2:$B$366,'Team Stats'!$T$2:$T$366)/( _xlfn.XLOOKUP(A324,'Team Stats'!$B$2:$B$366,'Team Stats'!$T$2:$T$366)+_xlfn.XLOOKUP(A324,'Team Stats'!$B$2:$B$366,'Team Stats'!$F$2:$F$366)+0.44*_xlfn.XLOOKUP(A324,'Team Stats'!$B$2:$B$366,'Team Stats'!$L$2:$L$366)+_xlfn.XLOOKUP(A324,'Team Stats'!$B$2:$B$366,'Team Stats'!$Q$2:$Q$366))*100</f>
        <v>11.894512664823962</v>
      </c>
      <c r="D324" s="146">
        <f>_xlfn.XLOOKUP(A324,'Team Stats'!$B$2:$B$366,'Team Stats'!$N$2:$N$366)/(_xlfn.XLOOKUP(A324,'Team Stats'!$B$2:$B$366,'Team Stats'!$N$2:$N$366)+_xlfn.XLOOKUP(A324,'Opponents stats vs'!$B$2:$B$366,'Opponents stats vs'!$O$2:$O$366))*100</f>
        <v>36.193029490616624</v>
      </c>
      <c r="E324" s="146">
        <f>_xlfn.XLOOKUP(A324,'Team Stats'!$B$2:$B$366,'Team Stats'!$K$2:$K$366)/_xlfn.XLOOKUP(A324,'Team Stats'!$B$2:$B$366,'Team Stats'!$F$2:$F$366)*100</f>
        <v>20.63758389261745</v>
      </c>
      <c r="F324" s="146">
        <f>_xlfn.XLOOKUP(A324,'Team Stats'!$B$2:$B$366,'Team Stats'!$F$2:$F$366)+0.44*_xlfn.XLOOKUP(A324,'Team Stats'!$B$2:$B$366,'Team Stats'!$L$2:$L$366)+_xlfn.XLOOKUP(A324,'Team Stats'!$B$2:$B$366,'Team Stats'!$T$2:$T$366)-_xlfn.XLOOKUP(A324,'Team Stats'!$B$2:$B$366,'Team Stats'!$N$2:$N$366)</f>
        <v>64.475999999999999</v>
      </c>
      <c r="G324">
        <f>_xlfn.XLOOKUP(A324,'Team Stats'!$B$2:$B$366,'Team Stats'!$D$2:$D$366)/F324</f>
        <v>1.0670637136298777</v>
      </c>
      <c r="H324">
        <f>_xlfn.XLOOKUP(A324,'Team Stats'!$B$2:$B$366,'Team Stats'!$D$2:$D$366)</f>
        <v>68.8</v>
      </c>
    </row>
    <row r="325" spans="1:8" ht="15" customHeight="1" x14ac:dyDescent="0.25">
      <c r="A325" t="s">
        <v>306</v>
      </c>
      <c r="B325" s="146">
        <f t="array" ref="B325">_xlfn.XLOOKUP(A325,'Team Stats'!$B$2:$B$366,('Team Stats'!$E$2:$E$366+'Team Stats'!$H$2:$H$366/2)/'Team Stats'!$F$2:$F$366)*100</f>
        <v>49.134948096885807</v>
      </c>
      <c r="C325" s="146">
        <f>_xlfn.XLOOKUP(A325,'Team Stats'!$B$2:$B$366,'Team Stats'!$T$2:$T$366)/( _xlfn.XLOOKUP(A325,'Team Stats'!$B$2:$B$366,'Team Stats'!$T$2:$T$366)+_xlfn.XLOOKUP(A325,'Team Stats'!$B$2:$B$366,'Team Stats'!$F$2:$F$366)+0.44*_xlfn.XLOOKUP(A325,'Team Stats'!$B$2:$B$366,'Team Stats'!$L$2:$L$366)+_xlfn.XLOOKUP(A325,'Team Stats'!$B$2:$B$366,'Team Stats'!$Q$2:$Q$366))*100</f>
        <v>13.882815916047223</v>
      </c>
      <c r="D325" s="146">
        <f>_xlfn.XLOOKUP(A325,'Team Stats'!$B$2:$B$366,'Team Stats'!$N$2:$N$366)/(_xlfn.XLOOKUP(A325,'Team Stats'!$B$2:$B$366,'Team Stats'!$N$2:$N$366)+_xlfn.XLOOKUP(A325,'Opponents stats vs'!$B$2:$B$366,'Opponents stats vs'!$O$2:$O$366))*100</f>
        <v>36.901408450704224</v>
      </c>
      <c r="E325" s="146">
        <f>_xlfn.XLOOKUP(A325,'Team Stats'!$B$2:$B$366,'Team Stats'!$K$2:$K$366)/_xlfn.XLOOKUP(A325,'Team Stats'!$B$2:$B$366,'Team Stats'!$F$2:$F$366)*100</f>
        <v>22.145328719723185</v>
      </c>
      <c r="F325" s="146">
        <f>_xlfn.XLOOKUP(A325,'Team Stats'!$B$2:$B$366,'Team Stats'!$F$2:$F$366)+0.44*_xlfn.XLOOKUP(A325,'Team Stats'!$B$2:$B$366,'Team Stats'!$L$2:$L$366)+_xlfn.XLOOKUP(A325,'Team Stats'!$B$2:$B$366,'Team Stats'!$T$2:$T$366)-_xlfn.XLOOKUP(A325,'Team Stats'!$B$2:$B$366,'Team Stats'!$N$2:$N$366)</f>
        <v>65.98</v>
      </c>
      <c r="G325">
        <f>_xlfn.XLOOKUP(A325,'Team Stats'!$B$2:$B$366,'Team Stats'!$D$2:$D$366)/F325</f>
        <v>1.053349499848439</v>
      </c>
      <c r="H325">
        <f>_xlfn.XLOOKUP(A325,'Team Stats'!$B$2:$B$366,'Team Stats'!$D$2:$D$366)</f>
        <v>69.5</v>
      </c>
    </row>
    <row r="326" spans="1:8" ht="15" customHeight="1" x14ac:dyDescent="0.25">
      <c r="A326" t="s">
        <v>430</v>
      </c>
      <c r="B326" s="146">
        <f t="array" ref="B326">_xlfn.XLOOKUP(A326,'Team Stats'!$B$2:$B$366,('Team Stats'!$E$2:$E$366+'Team Stats'!$H$2:$H$366/2)/'Team Stats'!$F$2:$F$366)*100</f>
        <v>49.743589743589737</v>
      </c>
      <c r="C326" s="146">
        <f>_xlfn.XLOOKUP(A326,'Team Stats'!$B$2:$B$366,'Team Stats'!$T$2:$T$366)/( _xlfn.XLOOKUP(A326,'Team Stats'!$B$2:$B$366,'Team Stats'!$T$2:$T$366)+_xlfn.XLOOKUP(A326,'Team Stats'!$B$2:$B$366,'Team Stats'!$F$2:$F$366)+0.44*_xlfn.XLOOKUP(A326,'Team Stats'!$B$2:$B$366,'Team Stats'!$L$2:$L$366)+_xlfn.XLOOKUP(A326,'Team Stats'!$B$2:$B$366,'Team Stats'!$Q$2:$Q$366))*100</f>
        <v>11.905296733905388</v>
      </c>
      <c r="D326" s="146">
        <f>_xlfn.XLOOKUP(A326,'Team Stats'!$B$2:$B$366,'Team Stats'!$N$2:$N$366)/(_xlfn.XLOOKUP(A326,'Team Stats'!$B$2:$B$366,'Team Stats'!$N$2:$N$366)+_xlfn.XLOOKUP(A326,'Opponents stats vs'!$B$2:$B$366,'Opponents stats vs'!$O$2:$O$366))*100</f>
        <v>28.610354223433237</v>
      </c>
      <c r="E326" s="146">
        <f>_xlfn.XLOOKUP(A326,'Team Stats'!$B$2:$B$366,'Team Stats'!$K$2:$K$366)/_xlfn.XLOOKUP(A326,'Team Stats'!$B$2:$B$366,'Team Stats'!$F$2:$F$366)*100</f>
        <v>19.658119658119659</v>
      </c>
      <c r="F326" s="146">
        <f>_xlfn.XLOOKUP(A326,'Team Stats'!$B$2:$B$366,'Team Stats'!$F$2:$F$366)+0.44*_xlfn.XLOOKUP(A326,'Team Stats'!$B$2:$B$366,'Team Stats'!$L$2:$L$366)+_xlfn.XLOOKUP(A326,'Team Stats'!$B$2:$B$366,'Team Stats'!$T$2:$T$366)-_xlfn.XLOOKUP(A326,'Team Stats'!$B$2:$B$366,'Team Stats'!$N$2:$N$366)</f>
        <v>66.035999999999987</v>
      </c>
      <c r="G326">
        <f>_xlfn.XLOOKUP(A326,'Team Stats'!$B$2:$B$366,'Team Stats'!$D$2:$D$366)/F326</f>
        <v>1.0539705615119028</v>
      </c>
      <c r="H326">
        <f>_xlfn.XLOOKUP(A326,'Team Stats'!$B$2:$B$366,'Team Stats'!$D$2:$D$366)</f>
        <v>69.599999999999994</v>
      </c>
    </row>
    <row r="327" spans="1:8" ht="15" customHeight="1" x14ac:dyDescent="0.25">
      <c r="A327" t="s">
        <v>335</v>
      </c>
      <c r="B327" s="146">
        <f t="array" ref="B327">_xlfn.XLOOKUP(A327,'Team Stats'!$B$2:$B$366,('Team Stats'!$E$2:$E$366+'Team Stats'!$H$2:$H$366/2)/'Team Stats'!$F$2:$F$366)*100</f>
        <v>46.788194444444443</v>
      </c>
      <c r="C327" s="146">
        <f>_xlfn.XLOOKUP(A327,'Team Stats'!$B$2:$B$366,'Team Stats'!$T$2:$T$366)/( _xlfn.XLOOKUP(A327,'Team Stats'!$B$2:$B$366,'Team Stats'!$T$2:$T$366)+_xlfn.XLOOKUP(A327,'Team Stats'!$B$2:$B$366,'Team Stats'!$F$2:$F$366)+0.44*_xlfn.XLOOKUP(A327,'Team Stats'!$B$2:$B$366,'Team Stats'!$L$2:$L$366)+_xlfn.XLOOKUP(A327,'Team Stats'!$B$2:$B$366,'Team Stats'!$Q$2:$Q$366))*100</f>
        <v>12.877863630201979</v>
      </c>
      <c r="D327" s="146">
        <f>_xlfn.XLOOKUP(A327,'Team Stats'!$B$2:$B$366,'Team Stats'!$N$2:$N$366)/(_xlfn.XLOOKUP(A327,'Team Stats'!$B$2:$B$366,'Team Stats'!$N$2:$N$366)+_xlfn.XLOOKUP(A327,'Opponents stats vs'!$B$2:$B$366,'Opponents stats vs'!$O$2:$O$366))*100</f>
        <v>27.123287671232877</v>
      </c>
      <c r="E327" s="146">
        <f>_xlfn.XLOOKUP(A327,'Team Stats'!$B$2:$B$366,'Team Stats'!$K$2:$K$366)/_xlfn.XLOOKUP(A327,'Team Stats'!$B$2:$B$366,'Team Stats'!$F$2:$F$366)*100</f>
        <v>23.958333333333336</v>
      </c>
      <c r="F327" s="146">
        <f>_xlfn.XLOOKUP(A327,'Team Stats'!$B$2:$B$366,'Team Stats'!$F$2:$F$366)+0.44*_xlfn.XLOOKUP(A327,'Team Stats'!$B$2:$B$366,'Team Stats'!$L$2:$L$366)+_xlfn.XLOOKUP(A327,'Team Stats'!$B$2:$B$366,'Team Stats'!$T$2:$T$366)-_xlfn.XLOOKUP(A327,'Team Stats'!$B$2:$B$366,'Team Stats'!$N$2:$N$366)</f>
        <v>67.724000000000004</v>
      </c>
      <c r="G327">
        <f>_xlfn.XLOOKUP(A327,'Team Stats'!$B$2:$B$366,'Team Stats'!$D$2:$D$366)/F327</f>
        <v>0.99964562045951211</v>
      </c>
      <c r="H327">
        <f>_xlfn.XLOOKUP(A327,'Team Stats'!$B$2:$B$366,'Team Stats'!$D$2:$D$366)</f>
        <v>67.7</v>
      </c>
    </row>
    <row r="328" spans="1:8" ht="15" customHeight="1" x14ac:dyDescent="0.25">
      <c r="A328" t="s">
        <v>354</v>
      </c>
      <c r="B328" s="146">
        <f t="array" ref="B328">_xlfn.XLOOKUP(A328,'Team Stats'!$B$2:$B$366,('Team Stats'!$E$2:$E$366+'Team Stats'!$H$2:$H$366/2)/'Team Stats'!$F$2:$F$366)*100</f>
        <v>53.519855595667877</v>
      </c>
      <c r="C328" s="146">
        <f>_xlfn.XLOOKUP(A328,'Team Stats'!$B$2:$B$366,'Team Stats'!$T$2:$T$366)/( _xlfn.XLOOKUP(A328,'Team Stats'!$B$2:$B$366,'Team Stats'!$T$2:$T$366)+_xlfn.XLOOKUP(A328,'Team Stats'!$B$2:$B$366,'Team Stats'!$F$2:$F$366)+0.44*_xlfn.XLOOKUP(A328,'Team Stats'!$B$2:$B$366,'Team Stats'!$L$2:$L$366)+_xlfn.XLOOKUP(A328,'Team Stats'!$B$2:$B$366,'Team Stats'!$Q$2:$Q$366))*100</f>
        <v>10.680249753532699</v>
      </c>
      <c r="D328" s="146">
        <f>_xlfn.XLOOKUP(A328,'Team Stats'!$B$2:$B$366,'Team Stats'!$N$2:$N$366)/(_xlfn.XLOOKUP(A328,'Team Stats'!$B$2:$B$366,'Team Stats'!$N$2:$N$366)+_xlfn.XLOOKUP(A328,'Opponents stats vs'!$B$2:$B$366,'Opponents stats vs'!$O$2:$O$366))*100</f>
        <v>21.806853582554517</v>
      </c>
      <c r="E328" s="146">
        <f>_xlfn.XLOOKUP(A328,'Team Stats'!$B$2:$B$366,'Team Stats'!$K$2:$K$366)/_xlfn.XLOOKUP(A328,'Team Stats'!$B$2:$B$366,'Team Stats'!$F$2:$F$366)*100</f>
        <v>17.870036101083034</v>
      </c>
      <c r="F328" s="146">
        <f>_xlfn.XLOOKUP(A328,'Team Stats'!$B$2:$B$366,'Team Stats'!$F$2:$F$366)+0.44*_xlfn.XLOOKUP(A328,'Team Stats'!$B$2:$B$366,'Team Stats'!$L$2:$L$366)+_xlfn.XLOOKUP(A328,'Team Stats'!$B$2:$B$366,'Team Stats'!$T$2:$T$366)-_xlfn.XLOOKUP(A328,'Team Stats'!$B$2:$B$366,'Team Stats'!$N$2:$N$366)</f>
        <v>63.703999999999994</v>
      </c>
      <c r="G328">
        <f>_xlfn.XLOOKUP(A328,'Team Stats'!$B$2:$B$366,'Team Stats'!$D$2:$D$366)/F328</f>
        <v>1.0878437774708025</v>
      </c>
      <c r="H328">
        <f>_xlfn.XLOOKUP(A328,'Team Stats'!$B$2:$B$366,'Team Stats'!$D$2:$D$366)</f>
        <v>69.3</v>
      </c>
    </row>
    <row r="329" spans="1:8" ht="15" customHeight="1" x14ac:dyDescent="0.25">
      <c r="A329" t="s">
        <v>377</v>
      </c>
      <c r="B329" s="146">
        <f t="array" ref="B329">_xlfn.XLOOKUP(A329,'Team Stats'!$B$2:$B$366,('Team Stats'!$E$2:$E$366+'Team Stats'!$H$2:$H$366/2)/'Team Stats'!$F$2:$F$366)*100</f>
        <v>50.274223034734909</v>
      </c>
      <c r="C329" s="146">
        <f>_xlfn.XLOOKUP(A329,'Team Stats'!$B$2:$B$366,'Team Stats'!$T$2:$T$366)/( _xlfn.XLOOKUP(A329,'Team Stats'!$B$2:$B$366,'Team Stats'!$T$2:$T$366)+_xlfn.XLOOKUP(A329,'Team Stats'!$B$2:$B$366,'Team Stats'!$F$2:$F$366)+0.44*_xlfn.XLOOKUP(A329,'Team Stats'!$B$2:$B$366,'Team Stats'!$L$2:$L$366)+_xlfn.XLOOKUP(A329,'Team Stats'!$B$2:$B$366,'Team Stats'!$Q$2:$Q$366))*100</f>
        <v>12.555289347585695</v>
      </c>
      <c r="D329" s="146">
        <f>_xlfn.XLOOKUP(A329,'Team Stats'!$B$2:$B$366,'Team Stats'!$N$2:$N$366)/(_xlfn.XLOOKUP(A329,'Team Stats'!$B$2:$B$366,'Team Stats'!$N$2:$N$366)+_xlfn.XLOOKUP(A329,'Opponents stats vs'!$B$2:$B$366,'Opponents stats vs'!$O$2:$O$366))*100</f>
        <v>28.486646884272993</v>
      </c>
      <c r="E329" s="146">
        <f>_xlfn.XLOOKUP(A329,'Team Stats'!$B$2:$B$366,'Team Stats'!$K$2:$K$366)/_xlfn.XLOOKUP(A329,'Team Stats'!$B$2:$B$366,'Team Stats'!$F$2:$F$366)*100</f>
        <v>25.959780621572211</v>
      </c>
      <c r="F329" s="146">
        <f>_xlfn.XLOOKUP(A329,'Team Stats'!$B$2:$B$366,'Team Stats'!$F$2:$F$366)+0.44*_xlfn.XLOOKUP(A329,'Team Stats'!$B$2:$B$366,'Team Stats'!$L$2:$L$366)+_xlfn.XLOOKUP(A329,'Team Stats'!$B$2:$B$366,'Team Stats'!$T$2:$T$366)-_xlfn.XLOOKUP(A329,'Team Stats'!$B$2:$B$366,'Team Stats'!$N$2:$N$366)</f>
        <v>64.316000000000017</v>
      </c>
      <c r="G329">
        <f>_xlfn.XLOOKUP(A329,'Team Stats'!$B$2:$B$366,'Team Stats'!$D$2:$D$366)/F329</f>
        <v>1.0743827352447288</v>
      </c>
      <c r="H329">
        <f>_xlfn.XLOOKUP(A329,'Team Stats'!$B$2:$B$366,'Team Stats'!$D$2:$D$366)</f>
        <v>69.099999999999994</v>
      </c>
    </row>
    <row r="330" spans="1:8" ht="15" customHeight="1" x14ac:dyDescent="0.25">
      <c r="A330" t="s">
        <v>264</v>
      </c>
      <c r="B330" s="146">
        <f t="array" ref="B330">_xlfn.XLOOKUP(A330,'Team Stats'!$B$2:$B$366,('Team Stats'!$E$2:$E$366+'Team Stats'!$H$2:$H$366/2)/'Team Stats'!$F$2:$F$366)*100</f>
        <v>49.041811846689889</v>
      </c>
      <c r="C330" s="146">
        <f>_xlfn.XLOOKUP(A330,'Team Stats'!$B$2:$B$366,'Team Stats'!$T$2:$T$366)/( _xlfn.XLOOKUP(A330,'Team Stats'!$B$2:$B$366,'Team Stats'!$T$2:$T$366)+_xlfn.XLOOKUP(A330,'Team Stats'!$B$2:$B$366,'Team Stats'!$F$2:$F$366)+0.44*_xlfn.XLOOKUP(A330,'Team Stats'!$B$2:$B$366,'Team Stats'!$L$2:$L$366)+_xlfn.XLOOKUP(A330,'Team Stats'!$B$2:$B$366,'Team Stats'!$Q$2:$Q$366))*100</f>
        <v>15.378053160919542</v>
      </c>
      <c r="D330" s="146">
        <f>_xlfn.XLOOKUP(A330,'Team Stats'!$B$2:$B$366,'Team Stats'!$N$2:$N$366)/(_xlfn.XLOOKUP(A330,'Team Stats'!$B$2:$B$366,'Team Stats'!$N$2:$N$366)+_xlfn.XLOOKUP(A330,'Opponents stats vs'!$B$2:$B$366,'Opponents stats vs'!$O$2:$O$366))*100</f>
        <v>23.809523809523807</v>
      </c>
      <c r="E330" s="146">
        <f>_xlfn.XLOOKUP(A330,'Team Stats'!$B$2:$B$366,'Team Stats'!$K$2:$K$366)/_xlfn.XLOOKUP(A330,'Team Stats'!$B$2:$B$366,'Team Stats'!$F$2:$F$366)*100</f>
        <v>21.080139372822298</v>
      </c>
      <c r="F330" s="146">
        <f>_xlfn.XLOOKUP(A330,'Team Stats'!$B$2:$B$366,'Team Stats'!$F$2:$F$366)+0.44*_xlfn.XLOOKUP(A330,'Team Stats'!$B$2:$B$366,'Team Stats'!$L$2:$L$366)+_xlfn.XLOOKUP(A330,'Team Stats'!$B$2:$B$366,'Team Stats'!$T$2:$T$366)-_xlfn.XLOOKUP(A330,'Team Stats'!$B$2:$B$366,'Team Stats'!$N$2:$N$366)</f>
        <v>70.388000000000005</v>
      </c>
      <c r="G330">
        <f>_xlfn.XLOOKUP(A330,'Team Stats'!$B$2:$B$366,'Team Stats'!$D$2:$D$366)/F330</f>
        <v>0.97175654941183154</v>
      </c>
      <c r="H330">
        <f>_xlfn.XLOOKUP(A330,'Team Stats'!$B$2:$B$366,'Team Stats'!$D$2:$D$366)</f>
        <v>68.400000000000006</v>
      </c>
    </row>
    <row r="331" spans="1:8" ht="15" customHeight="1" x14ac:dyDescent="0.25">
      <c r="A331" t="s">
        <v>244</v>
      </c>
      <c r="B331" s="146">
        <f t="array" ref="B331">_xlfn.XLOOKUP(A331,'Team Stats'!$B$2:$B$366,('Team Stats'!$E$2:$E$366+'Team Stats'!$H$2:$H$366/2)/'Team Stats'!$F$2:$F$366)*100</f>
        <v>50.805008944543829</v>
      </c>
      <c r="C331" s="146">
        <f>_xlfn.XLOOKUP(A331,'Team Stats'!$B$2:$B$366,'Team Stats'!$T$2:$T$366)/( _xlfn.XLOOKUP(A331,'Team Stats'!$B$2:$B$366,'Team Stats'!$T$2:$T$366)+_xlfn.XLOOKUP(A331,'Team Stats'!$B$2:$B$366,'Team Stats'!$F$2:$F$366)+0.44*_xlfn.XLOOKUP(A331,'Team Stats'!$B$2:$B$366,'Team Stats'!$L$2:$L$366)+_xlfn.XLOOKUP(A331,'Team Stats'!$B$2:$B$366,'Team Stats'!$Q$2:$Q$366))*100</f>
        <v>14.007799542785424</v>
      </c>
      <c r="D331" s="146">
        <f>_xlfn.XLOOKUP(A331,'Team Stats'!$B$2:$B$366,'Team Stats'!$N$2:$N$366)/(_xlfn.XLOOKUP(A331,'Team Stats'!$B$2:$B$366,'Team Stats'!$N$2:$N$366)+_xlfn.XLOOKUP(A331,'Opponents stats vs'!$B$2:$B$366,'Opponents stats vs'!$O$2:$O$366))*100</f>
        <v>31.286549707602333</v>
      </c>
      <c r="E331" s="146">
        <f>_xlfn.XLOOKUP(A331,'Team Stats'!$B$2:$B$366,'Team Stats'!$K$2:$K$366)/_xlfn.XLOOKUP(A331,'Team Stats'!$B$2:$B$366,'Team Stats'!$F$2:$F$366)*100</f>
        <v>19.856887298747765</v>
      </c>
      <c r="F331" s="146">
        <f>_xlfn.XLOOKUP(A331,'Team Stats'!$B$2:$B$366,'Team Stats'!$F$2:$F$366)+0.44*_xlfn.XLOOKUP(A331,'Team Stats'!$B$2:$B$366,'Team Stats'!$L$2:$L$366)+_xlfn.XLOOKUP(A331,'Team Stats'!$B$2:$B$366,'Team Stats'!$T$2:$T$366)-_xlfn.XLOOKUP(A331,'Team Stats'!$B$2:$B$366,'Team Stats'!$N$2:$N$366)</f>
        <v>65.135999999999996</v>
      </c>
      <c r="G331">
        <f>_xlfn.XLOOKUP(A331,'Team Stats'!$B$2:$B$366,'Team Stats'!$D$2:$D$366)/F331</f>
        <v>1.042434291328912</v>
      </c>
      <c r="H331">
        <f>_xlfn.XLOOKUP(A331,'Team Stats'!$B$2:$B$366,'Team Stats'!$D$2:$D$366)</f>
        <v>67.900000000000006</v>
      </c>
    </row>
    <row r="332" spans="1:8" ht="15" customHeight="1" x14ac:dyDescent="0.25">
      <c r="A332" t="s">
        <v>413</v>
      </c>
      <c r="B332" s="146">
        <f t="array" ref="B332">_xlfn.XLOOKUP(A332,'Team Stats'!$B$2:$B$366,('Team Stats'!$E$2:$E$366+'Team Stats'!$H$2:$H$366/2)/'Team Stats'!$F$2:$F$366)*100</f>
        <v>44.867549668874176</v>
      </c>
      <c r="C332" s="146">
        <f>_xlfn.XLOOKUP(A332,'Team Stats'!$B$2:$B$366,'Team Stats'!$T$2:$T$366)/( _xlfn.XLOOKUP(A332,'Team Stats'!$B$2:$B$366,'Team Stats'!$T$2:$T$366)+_xlfn.XLOOKUP(A332,'Team Stats'!$B$2:$B$366,'Team Stats'!$F$2:$F$366)+0.44*_xlfn.XLOOKUP(A332,'Team Stats'!$B$2:$B$366,'Team Stats'!$L$2:$L$366)+_xlfn.XLOOKUP(A332,'Team Stats'!$B$2:$B$366,'Team Stats'!$Q$2:$Q$366))*100</f>
        <v>12.983640612827834</v>
      </c>
      <c r="D332" s="146">
        <f>_xlfn.XLOOKUP(A332,'Team Stats'!$B$2:$B$366,'Team Stats'!$N$2:$N$366)/(_xlfn.XLOOKUP(A332,'Team Stats'!$B$2:$B$366,'Team Stats'!$N$2:$N$366)+_xlfn.XLOOKUP(A332,'Opponents stats vs'!$B$2:$B$366,'Opponents stats vs'!$O$2:$O$366))*100</f>
        <v>32.195121951219512</v>
      </c>
      <c r="E332" s="146">
        <f>_xlfn.XLOOKUP(A332,'Team Stats'!$B$2:$B$366,'Team Stats'!$K$2:$K$366)/_xlfn.XLOOKUP(A332,'Team Stats'!$B$2:$B$366,'Team Stats'!$F$2:$F$366)*100</f>
        <v>24.006622516556291</v>
      </c>
      <c r="F332" s="146">
        <f>_xlfn.XLOOKUP(A332,'Team Stats'!$B$2:$B$366,'Team Stats'!$F$2:$F$366)+0.44*_xlfn.XLOOKUP(A332,'Team Stats'!$B$2:$B$366,'Team Stats'!$L$2:$L$366)+_xlfn.XLOOKUP(A332,'Team Stats'!$B$2:$B$366,'Team Stats'!$T$2:$T$366)-_xlfn.XLOOKUP(A332,'Team Stats'!$B$2:$B$366,'Team Stats'!$N$2:$N$366)</f>
        <v>68.923999999999992</v>
      </c>
      <c r="G332">
        <f>_xlfn.XLOOKUP(A332,'Team Stats'!$B$2:$B$366,'Team Stats'!$D$2:$D$366)/F332</f>
        <v>0.99675004352620289</v>
      </c>
      <c r="H332">
        <f>_xlfn.XLOOKUP(A332,'Team Stats'!$B$2:$B$366,'Team Stats'!$D$2:$D$366)</f>
        <v>68.7</v>
      </c>
    </row>
    <row r="333" spans="1:8" ht="15" customHeight="1" x14ac:dyDescent="0.25">
      <c r="A333" t="s">
        <v>48</v>
      </c>
      <c r="B333" s="146">
        <f t="array" ref="B333">_xlfn.XLOOKUP(A333,'Team Stats'!$B$2:$B$366,('Team Stats'!$E$2:$E$366+'Team Stats'!$H$2:$H$366/2)/'Team Stats'!$F$2:$F$366)*100</f>
        <v>49.622641509433961</v>
      </c>
      <c r="C333" s="146">
        <f>_xlfn.XLOOKUP(A333,'Team Stats'!$B$2:$B$366,'Team Stats'!$T$2:$T$366)/( _xlfn.XLOOKUP(A333,'Team Stats'!$B$2:$B$366,'Team Stats'!$T$2:$T$366)+_xlfn.XLOOKUP(A333,'Team Stats'!$B$2:$B$366,'Team Stats'!$F$2:$F$366)+0.44*_xlfn.XLOOKUP(A333,'Team Stats'!$B$2:$B$366,'Team Stats'!$L$2:$L$366)+_xlfn.XLOOKUP(A333,'Team Stats'!$B$2:$B$366,'Team Stats'!$Q$2:$Q$366))*100</f>
        <v>11.489079452314396</v>
      </c>
      <c r="D333" s="146">
        <f>_xlfn.XLOOKUP(A333,'Team Stats'!$B$2:$B$366,'Team Stats'!$N$2:$N$366)/(_xlfn.XLOOKUP(A333,'Team Stats'!$B$2:$B$366,'Team Stats'!$N$2:$N$366)+_xlfn.XLOOKUP(A333,'Opponents stats vs'!$B$2:$B$366,'Opponents stats vs'!$O$2:$O$366))*100</f>
        <v>24.767801857585141</v>
      </c>
      <c r="E333" s="146">
        <f>_xlfn.XLOOKUP(A333,'Team Stats'!$B$2:$B$366,'Team Stats'!$K$2:$K$366)/_xlfn.XLOOKUP(A333,'Team Stats'!$B$2:$B$366,'Team Stats'!$F$2:$F$366)*100</f>
        <v>31.509433962264151</v>
      </c>
      <c r="F333" s="146">
        <f>_xlfn.XLOOKUP(A333,'Team Stats'!$B$2:$B$366,'Team Stats'!$F$2:$F$366)+0.44*_xlfn.XLOOKUP(A333,'Team Stats'!$B$2:$B$366,'Team Stats'!$L$2:$L$366)+_xlfn.XLOOKUP(A333,'Team Stats'!$B$2:$B$366,'Team Stats'!$T$2:$T$366)-_xlfn.XLOOKUP(A333,'Team Stats'!$B$2:$B$366,'Team Stats'!$N$2:$N$366)</f>
        <v>64.028000000000006</v>
      </c>
      <c r="G333">
        <f>_xlfn.XLOOKUP(A333,'Team Stats'!$B$2:$B$366,'Team Stats'!$D$2:$D$366)/F333</f>
        <v>1.0823389766976945</v>
      </c>
      <c r="H333">
        <f>_xlfn.XLOOKUP(A333,'Team Stats'!$B$2:$B$366,'Team Stats'!$D$2:$D$366)</f>
        <v>69.3</v>
      </c>
    </row>
    <row r="334" spans="1:8" ht="15" customHeight="1" x14ac:dyDescent="0.25">
      <c r="A334" t="s">
        <v>296</v>
      </c>
      <c r="B334" s="146">
        <f t="array" ref="B334">_xlfn.XLOOKUP(A334,'Team Stats'!$B$2:$B$366,('Team Stats'!$E$2:$E$366+'Team Stats'!$H$2:$H$366/2)/'Team Stats'!$F$2:$F$366)*100</f>
        <v>49.217391304347828</v>
      </c>
      <c r="C334" s="146">
        <f>_xlfn.XLOOKUP(A334,'Team Stats'!$B$2:$B$366,'Team Stats'!$T$2:$T$366)/( _xlfn.XLOOKUP(A334,'Team Stats'!$B$2:$B$366,'Team Stats'!$T$2:$T$366)+_xlfn.XLOOKUP(A334,'Team Stats'!$B$2:$B$366,'Team Stats'!$F$2:$F$366)+0.44*_xlfn.XLOOKUP(A334,'Team Stats'!$B$2:$B$366,'Team Stats'!$L$2:$L$366)+_xlfn.XLOOKUP(A334,'Team Stats'!$B$2:$B$366,'Team Stats'!$Q$2:$Q$366))*100</f>
        <v>11.590584878744652</v>
      </c>
      <c r="D334" s="146">
        <f>_xlfn.XLOOKUP(A334,'Team Stats'!$B$2:$B$366,'Team Stats'!$N$2:$N$366)/(_xlfn.XLOOKUP(A334,'Team Stats'!$B$2:$B$366,'Team Stats'!$N$2:$N$366)+_xlfn.XLOOKUP(A334,'Opponents stats vs'!$B$2:$B$366,'Opponents stats vs'!$O$2:$O$366))*100</f>
        <v>26.123595505617981</v>
      </c>
      <c r="E334" s="146">
        <f>_xlfn.XLOOKUP(A334,'Team Stats'!$B$2:$B$366,'Team Stats'!$K$2:$K$366)/_xlfn.XLOOKUP(A334,'Team Stats'!$B$2:$B$366,'Team Stats'!$F$2:$F$366)*100</f>
        <v>22.434782608695652</v>
      </c>
      <c r="F334" s="146">
        <f>_xlfn.XLOOKUP(A334,'Team Stats'!$B$2:$B$366,'Team Stats'!$F$2:$F$366)+0.44*_xlfn.XLOOKUP(A334,'Team Stats'!$B$2:$B$366,'Team Stats'!$L$2:$L$366)+_xlfn.XLOOKUP(A334,'Team Stats'!$B$2:$B$366,'Team Stats'!$T$2:$T$366)-_xlfn.XLOOKUP(A334,'Team Stats'!$B$2:$B$366,'Team Stats'!$N$2:$N$366)</f>
        <v>66.828000000000003</v>
      </c>
      <c r="G334">
        <f>_xlfn.XLOOKUP(A334,'Team Stats'!$B$2:$B$366,'Team Stats'!$D$2:$D$366)/F334</f>
        <v>1.0384868617944574</v>
      </c>
      <c r="H334">
        <f>_xlfn.XLOOKUP(A334,'Team Stats'!$B$2:$B$366,'Team Stats'!$D$2:$D$366)</f>
        <v>69.400000000000006</v>
      </c>
    </row>
    <row r="335" spans="1:8" ht="15" customHeight="1" x14ac:dyDescent="0.25">
      <c r="A335" t="s">
        <v>333</v>
      </c>
      <c r="B335" s="146">
        <f t="array" ref="B335">_xlfn.XLOOKUP(A335,'Team Stats'!$B$2:$B$366,('Team Stats'!$E$2:$E$366+'Team Stats'!$H$2:$H$366/2)/'Team Stats'!$F$2:$F$366)*100</f>
        <v>51.272727272727266</v>
      </c>
      <c r="C335" s="146">
        <f>_xlfn.XLOOKUP(A335,'Team Stats'!$B$2:$B$366,'Team Stats'!$T$2:$T$366)/( _xlfn.XLOOKUP(A335,'Team Stats'!$B$2:$B$366,'Team Stats'!$T$2:$T$366)+_xlfn.XLOOKUP(A335,'Team Stats'!$B$2:$B$366,'Team Stats'!$F$2:$F$366)+0.44*_xlfn.XLOOKUP(A335,'Team Stats'!$B$2:$B$366,'Team Stats'!$L$2:$L$366)+_xlfn.XLOOKUP(A335,'Team Stats'!$B$2:$B$366,'Team Stats'!$Q$2:$Q$366))*100</f>
        <v>16.717325227963524</v>
      </c>
      <c r="D335" s="146">
        <f>_xlfn.XLOOKUP(A335,'Team Stats'!$B$2:$B$366,'Team Stats'!$N$2:$N$366)/(_xlfn.XLOOKUP(A335,'Team Stats'!$B$2:$B$366,'Team Stats'!$N$2:$N$366)+_xlfn.XLOOKUP(A335,'Opponents stats vs'!$B$2:$B$366,'Opponents stats vs'!$O$2:$O$366))*100</f>
        <v>32.024169184290031</v>
      </c>
      <c r="E335" s="146">
        <f>_xlfn.XLOOKUP(A335,'Team Stats'!$B$2:$B$366,'Team Stats'!$K$2:$K$366)/_xlfn.XLOOKUP(A335,'Team Stats'!$B$2:$B$366,'Team Stats'!$F$2:$F$366)*100</f>
        <v>21.818181818181817</v>
      </c>
      <c r="F335" s="146">
        <f>_xlfn.XLOOKUP(A335,'Team Stats'!$B$2:$B$366,'Team Stats'!$F$2:$F$366)+0.44*_xlfn.XLOOKUP(A335,'Team Stats'!$B$2:$B$366,'Team Stats'!$L$2:$L$366)+_xlfn.XLOOKUP(A335,'Team Stats'!$B$2:$B$366,'Team Stats'!$T$2:$T$366)-_xlfn.XLOOKUP(A335,'Team Stats'!$B$2:$B$366,'Team Stats'!$N$2:$N$366)</f>
        <v>67.720000000000013</v>
      </c>
      <c r="G335">
        <f>_xlfn.XLOOKUP(A335,'Team Stats'!$B$2:$B$366,'Team Stats'!$D$2:$D$366)/F335</f>
        <v>1.0100413467217955</v>
      </c>
      <c r="H335">
        <f>_xlfn.XLOOKUP(A335,'Team Stats'!$B$2:$B$366,'Team Stats'!$D$2:$D$366)</f>
        <v>68.400000000000006</v>
      </c>
    </row>
    <row r="336" spans="1:8" ht="15" customHeight="1" x14ac:dyDescent="0.25">
      <c r="A336" t="s">
        <v>321</v>
      </c>
      <c r="B336" s="146">
        <f t="array" ref="B336">_xlfn.XLOOKUP(A336,'Team Stats'!$B$2:$B$366,('Team Stats'!$E$2:$E$366+'Team Stats'!$H$2:$H$366/2)/'Team Stats'!$F$2:$F$366)*100</f>
        <v>50.684931506849317</v>
      </c>
      <c r="C336" s="146">
        <f>_xlfn.XLOOKUP(A336,'Team Stats'!$B$2:$B$366,'Team Stats'!$T$2:$T$366)/( _xlfn.XLOOKUP(A336,'Team Stats'!$B$2:$B$366,'Team Stats'!$T$2:$T$366)+_xlfn.XLOOKUP(A336,'Team Stats'!$B$2:$B$366,'Team Stats'!$F$2:$F$366)+0.44*_xlfn.XLOOKUP(A336,'Team Stats'!$B$2:$B$366,'Team Stats'!$L$2:$L$366)+_xlfn.XLOOKUP(A336,'Team Stats'!$B$2:$B$366,'Team Stats'!$Q$2:$Q$366))*100</f>
        <v>10.666007993892306</v>
      </c>
      <c r="D336" s="146">
        <f>_xlfn.XLOOKUP(A336,'Team Stats'!$B$2:$B$366,'Team Stats'!$N$2:$N$366)/(_xlfn.XLOOKUP(A336,'Team Stats'!$B$2:$B$366,'Team Stats'!$N$2:$N$366)+_xlfn.XLOOKUP(A336,'Opponents stats vs'!$B$2:$B$366,'Opponents stats vs'!$O$2:$O$366))*100</f>
        <v>27.299703264094948</v>
      </c>
      <c r="E336" s="146">
        <f>_xlfn.XLOOKUP(A336,'Team Stats'!$B$2:$B$366,'Team Stats'!$K$2:$K$366)/_xlfn.XLOOKUP(A336,'Team Stats'!$B$2:$B$366,'Team Stats'!$F$2:$F$366)*100</f>
        <v>18.150684931506849</v>
      </c>
      <c r="F336" s="146">
        <f>_xlfn.XLOOKUP(A336,'Team Stats'!$B$2:$B$366,'Team Stats'!$F$2:$F$366)+0.44*_xlfn.XLOOKUP(A336,'Team Stats'!$B$2:$B$366,'Team Stats'!$L$2:$L$366)+_xlfn.XLOOKUP(A336,'Team Stats'!$B$2:$B$366,'Team Stats'!$T$2:$T$366)-_xlfn.XLOOKUP(A336,'Team Stats'!$B$2:$B$366,'Team Stats'!$N$2:$N$366)</f>
        <v>65.167999999999992</v>
      </c>
      <c r="G336">
        <f>_xlfn.XLOOKUP(A336,'Team Stats'!$B$2:$B$366,'Team Stats'!$D$2:$D$366)/F336</f>
        <v>1.0710778296096244</v>
      </c>
      <c r="H336">
        <f>_xlfn.XLOOKUP(A336,'Team Stats'!$B$2:$B$366,'Team Stats'!$D$2:$D$366)</f>
        <v>69.8</v>
      </c>
    </row>
    <row r="337" spans="1:8" ht="15" customHeight="1" x14ac:dyDescent="0.25">
      <c r="A337" t="s">
        <v>278</v>
      </c>
      <c r="B337" s="146">
        <f t="array" ref="B337">_xlfn.XLOOKUP(A337,'Team Stats'!$B$2:$B$366,('Team Stats'!$E$2:$E$366+'Team Stats'!$H$2:$H$366/2)/'Team Stats'!$F$2:$F$366)*100</f>
        <v>49.814126394052053</v>
      </c>
      <c r="C337" s="146">
        <f>_xlfn.XLOOKUP(A337,'Team Stats'!$B$2:$B$366,'Team Stats'!$T$2:$T$366)/( _xlfn.XLOOKUP(A337,'Team Stats'!$B$2:$B$366,'Team Stats'!$T$2:$T$366)+_xlfn.XLOOKUP(A337,'Team Stats'!$B$2:$B$366,'Team Stats'!$F$2:$F$366)+0.44*_xlfn.XLOOKUP(A337,'Team Stats'!$B$2:$B$366,'Team Stats'!$L$2:$L$366)+_xlfn.XLOOKUP(A337,'Team Stats'!$B$2:$B$366,'Team Stats'!$Q$2:$Q$366))*100</f>
        <v>14.056947505735234</v>
      </c>
      <c r="D337" s="146">
        <f>_xlfn.XLOOKUP(A337,'Team Stats'!$B$2:$B$366,'Team Stats'!$N$2:$N$366)/(_xlfn.XLOOKUP(A337,'Team Stats'!$B$2:$B$366,'Team Stats'!$N$2:$N$366)+_xlfn.XLOOKUP(A337,'Opponents stats vs'!$B$2:$B$366,'Opponents stats vs'!$O$2:$O$366))*100</f>
        <v>31.343283582089555</v>
      </c>
      <c r="E337" s="146">
        <f>_xlfn.XLOOKUP(A337,'Team Stats'!$B$2:$B$366,'Team Stats'!$K$2:$K$366)/_xlfn.XLOOKUP(A337,'Team Stats'!$B$2:$B$366,'Team Stats'!$F$2:$F$366)*100</f>
        <v>25.464684014869889</v>
      </c>
      <c r="F337" s="146">
        <f>_xlfn.XLOOKUP(A337,'Team Stats'!$B$2:$B$366,'Team Stats'!$F$2:$F$366)+0.44*_xlfn.XLOOKUP(A337,'Team Stats'!$B$2:$B$366,'Team Stats'!$L$2:$L$366)+_xlfn.XLOOKUP(A337,'Team Stats'!$B$2:$B$366,'Team Stats'!$T$2:$T$366)-_xlfn.XLOOKUP(A337,'Team Stats'!$B$2:$B$366,'Team Stats'!$N$2:$N$366)</f>
        <v>64.424000000000007</v>
      </c>
      <c r="G337">
        <f>_xlfn.XLOOKUP(A337,'Team Stats'!$B$2:$B$366,'Team Stats'!$D$2:$D$366)/F337</f>
        <v>1.044641748416739</v>
      </c>
      <c r="H337">
        <f>_xlfn.XLOOKUP(A337,'Team Stats'!$B$2:$B$366,'Team Stats'!$D$2:$D$366)</f>
        <v>67.3</v>
      </c>
    </row>
    <row r="338" spans="1:8" ht="15" customHeight="1" x14ac:dyDescent="0.25">
      <c r="A338" t="s">
        <v>255</v>
      </c>
      <c r="B338" s="146">
        <f t="array" ref="B338">_xlfn.XLOOKUP(A338,'Team Stats'!$B$2:$B$366,('Team Stats'!$E$2:$E$366+'Team Stats'!$H$2:$H$366/2)/'Team Stats'!$F$2:$F$366)*100</f>
        <v>48.40142095914743</v>
      </c>
      <c r="C338" s="146">
        <f>_xlfn.XLOOKUP(A338,'Team Stats'!$B$2:$B$366,'Team Stats'!$T$2:$T$366)/( _xlfn.XLOOKUP(A338,'Team Stats'!$B$2:$B$366,'Team Stats'!$T$2:$T$366)+_xlfn.XLOOKUP(A338,'Team Stats'!$B$2:$B$366,'Team Stats'!$F$2:$F$366)+0.44*_xlfn.XLOOKUP(A338,'Team Stats'!$B$2:$B$366,'Team Stats'!$L$2:$L$366)+_xlfn.XLOOKUP(A338,'Team Stats'!$B$2:$B$366,'Team Stats'!$Q$2:$Q$366))*100</f>
        <v>13.384147724694889</v>
      </c>
      <c r="D338" s="146">
        <f>_xlfn.XLOOKUP(A338,'Team Stats'!$B$2:$B$366,'Team Stats'!$N$2:$N$366)/(_xlfn.XLOOKUP(A338,'Team Stats'!$B$2:$B$366,'Team Stats'!$N$2:$N$366)+_xlfn.XLOOKUP(A338,'Opponents stats vs'!$B$2:$B$366,'Opponents stats vs'!$O$2:$O$366))*100</f>
        <v>33.519553072625705</v>
      </c>
      <c r="E338" s="146">
        <f>_xlfn.XLOOKUP(A338,'Team Stats'!$B$2:$B$366,'Team Stats'!$K$2:$K$366)/_xlfn.XLOOKUP(A338,'Team Stats'!$B$2:$B$366,'Team Stats'!$F$2:$F$366)*100</f>
        <v>22.735346358792189</v>
      </c>
      <c r="F338" s="146">
        <f>_xlfn.XLOOKUP(A338,'Team Stats'!$B$2:$B$366,'Team Stats'!$F$2:$F$366)+0.44*_xlfn.XLOOKUP(A338,'Team Stats'!$B$2:$B$366,'Team Stats'!$L$2:$L$366)+_xlfn.XLOOKUP(A338,'Team Stats'!$B$2:$B$366,'Team Stats'!$T$2:$T$366)-_xlfn.XLOOKUP(A338,'Team Stats'!$B$2:$B$366,'Team Stats'!$N$2:$N$366)</f>
        <v>64.063999999999993</v>
      </c>
      <c r="G338">
        <f>_xlfn.XLOOKUP(A338,'Team Stats'!$B$2:$B$366,'Team Stats'!$D$2:$D$366)/F338</f>
        <v>1.0489510489510492</v>
      </c>
      <c r="H338">
        <f>_xlfn.XLOOKUP(A338,'Team Stats'!$B$2:$B$366,'Team Stats'!$D$2:$D$366)</f>
        <v>67.2</v>
      </c>
    </row>
    <row r="339" spans="1:8" ht="15" customHeight="1" x14ac:dyDescent="0.25">
      <c r="A339" t="s">
        <v>277</v>
      </c>
      <c r="B339" s="146">
        <f t="array" ref="B339">_xlfn.XLOOKUP(A339,'Team Stats'!$B$2:$B$366,('Team Stats'!$E$2:$E$366+'Team Stats'!$H$2:$H$366/2)/'Team Stats'!$F$2:$F$366)*100</f>
        <v>49.547920433996389</v>
      </c>
      <c r="C339" s="146">
        <f>_xlfn.XLOOKUP(A339,'Team Stats'!$B$2:$B$366,'Team Stats'!$T$2:$T$366)/( _xlfn.XLOOKUP(A339,'Team Stats'!$B$2:$B$366,'Team Stats'!$T$2:$T$366)+_xlfn.XLOOKUP(A339,'Team Stats'!$B$2:$B$366,'Team Stats'!$F$2:$F$366)+0.44*_xlfn.XLOOKUP(A339,'Team Stats'!$B$2:$B$366,'Team Stats'!$L$2:$L$366)+_xlfn.XLOOKUP(A339,'Team Stats'!$B$2:$B$366,'Team Stats'!$Q$2:$Q$366))*100</f>
        <v>12.136499928608824</v>
      </c>
      <c r="D339" s="146">
        <f>_xlfn.XLOOKUP(A339,'Team Stats'!$B$2:$B$366,'Team Stats'!$N$2:$N$366)/(_xlfn.XLOOKUP(A339,'Team Stats'!$B$2:$B$366,'Team Stats'!$N$2:$N$366)+_xlfn.XLOOKUP(A339,'Opponents stats vs'!$B$2:$B$366,'Opponents stats vs'!$O$2:$O$366))*100</f>
        <v>22.9607250755287</v>
      </c>
      <c r="E339" s="146">
        <f>_xlfn.XLOOKUP(A339,'Team Stats'!$B$2:$B$366,'Team Stats'!$K$2:$K$366)/_xlfn.XLOOKUP(A339,'Team Stats'!$B$2:$B$366,'Team Stats'!$F$2:$F$366)*100</f>
        <v>24.050632911392409</v>
      </c>
      <c r="F339" s="146">
        <f>_xlfn.XLOOKUP(A339,'Team Stats'!$B$2:$B$366,'Team Stats'!$F$2:$F$366)+0.44*_xlfn.XLOOKUP(A339,'Team Stats'!$B$2:$B$366,'Team Stats'!$L$2:$L$366)+_xlfn.XLOOKUP(A339,'Team Stats'!$B$2:$B$366,'Team Stats'!$T$2:$T$366)-_xlfn.XLOOKUP(A339,'Team Stats'!$B$2:$B$366,'Team Stats'!$N$2:$N$366)</f>
        <v>65.644000000000005</v>
      </c>
      <c r="G339">
        <f>_xlfn.XLOOKUP(A339,'Team Stats'!$B$2:$B$366,'Team Stats'!$D$2:$D$366)/F339</f>
        <v>1.0389372981536773</v>
      </c>
      <c r="H339">
        <f>_xlfn.XLOOKUP(A339,'Team Stats'!$B$2:$B$366,'Team Stats'!$D$2:$D$366)</f>
        <v>68.2</v>
      </c>
    </row>
    <row r="340" spans="1:8" ht="15" customHeight="1" x14ac:dyDescent="0.25">
      <c r="A340" t="s">
        <v>200</v>
      </c>
      <c r="B340" s="146">
        <f t="array" ref="B340">_xlfn.XLOOKUP(A340,'Team Stats'!$B$2:$B$366,('Team Stats'!$E$2:$E$366+'Team Stats'!$H$2:$H$366/2)/'Team Stats'!$F$2:$F$366)*100</f>
        <v>47.103918228279383</v>
      </c>
      <c r="C340" s="146">
        <f>_xlfn.XLOOKUP(A340,'Team Stats'!$B$2:$B$366,'Team Stats'!$T$2:$T$366)/( _xlfn.XLOOKUP(A340,'Team Stats'!$B$2:$B$366,'Team Stats'!$T$2:$T$366)+_xlfn.XLOOKUP(A340,'Team Stats'!$B$2:$B$366,'Team Stats'!$F$2:$F$366)+0.44*_xlfn.XLOOKUP(A340,'Team Stats'!$B$2:$B$366,'Team Stats'!$L$2:$L$366)+_xlfn.XLOOKUP(A340,'Team Stats'!$B$2:$B$366,'Team Stats'!$Q$2:$Q$366))*100</f>
        <v>11.750350250824782</v>
      </c>
      <c r="D340" s="146">
        <f>_xlfn.XLOOKUP(A340,'Team Stats'!$B$2:$B$366,'Team Stats'!$N$2:$N$366)/(_xlfn.XLOOKUP(A340,'Team Stats'!$B$2:$B$366,'Team Stats'!$N$2:$N$366)+_xlfn.XLOOKUP(A340,'Opponents stats vs'!$B$2:$B$366,'Opponents stats vs'!$O$2:$O$366))*100</f>
        <v>28.571428571428577</v>
      </c>
      <c r="E340" s="146">
        <f>_xlfn.XLOOKUP(A340,'Team Stats'!$B$2:$B$366,'Team Stats'!$K$2:$K$366)/_xlfn.XLOOKUP(A340,'Team Stats'!$B$2:$B$366,'Team Stats'!$F$2:$F$366)*100</f>
        <v>20.102214650766609</v>
      </c>
      <c r="F340" s="146">
        <f>_xlfn.XLOOKUP(A340,'Team Stats'!$B$2:$B$366,'Team Stats'!$F$2:$F$366)+0.44*_xlfn.XLOOKUP(A340,'Team Stats'!$B$2:$B$366,'Team Stats'!$L$2:$L$366)+_xlfn.XLOOKUP(A340,'Team Stats'!$B$2:$B$366,'Team Stats'!$T$2:$T$366)-_xlfn.XLOOKUP(A340,'Team Stats'!$B$2:$B$366,'Team Stats'!$N$2:$N$366)</f>
        <v>66.308000000000007</v>
      </c>
      <c r="G340">
        <f>_xlfn.XLOOKUP(A340,'Team Stats'!$B$2:$B$366,'Team Stats'!$D$2:$D$366)/F340</f>
        <v>1.0119442601194424</v>
      </c>
      <c r="H340">
        <f>_xlfn.XLOOKUP(A340,'Team Stats'!$B$2:$B$366,'Team Stats'!$D$2:$D$366)</f>
        <v>67.099999999999994</v>
      </c>
    </row>
    <row r="341" spans="1:8" ht="15" customHeight="1" x14ac:dyDescent="0.25">
      <c r="A341" t="s">
        <v>253</v>
      </c>
      <c r="B341" s="146">
        <f t="array" ref="B341">_xlfn.XLOOKUP(A341,'Team Stats'!$B$2:$B$366,('Team Stats'!$E$2:$E$366+'Team Stats'!$H$2:$H$366/2)/'Team Stats'!$F$2:$F$366)*100</f>
        <v>49.909255898366602</v>
      </c>
      <c r="C341" s="146">
        <f>_xlfn.XLOOKUP(A341,'Team Stats'!$B$2:$B$366,'Team Stats'!$T$2:$T$366)/( _xlfn.XLOOKUP(A341,'Team Stats'!$B$2:$B$366,'Team Stats'!$T$2:$T$366)+_xlfn.XLOOKUP(A341,'Team Stats'!$B$2:$B$366,'Team Stats'!$F$2:$F$366)+0.44*_xlfn.XLOOKUP(A341,'Team Stats'!$B$2:$B$366,'Team Stats'!$L$2:$L$366)+_xlfn.XLOOKUP(A341,'Team Stats'!$B$2:$B$366,'Team Stats'!$Q$2:$Q$366))*100</f>
        <v>14.60663979346891</v>
      </c>
      <c r="D341" s="146">
        <f>_xlfn.XLOOKUP(A341,'Team Stats'!$B$2:$B$366,'Team Stats'!$N$2:$N$366)/(_xlfn.XLOOKUP(A341,'Team Stats'!$B$2:$B$366,'Team Stats'!$N$2:$N$366)+_xlfn.XLOOKUP(A341,'Opponents stats vs'!$B$2:$B$366,'Opponents stats vs'!$O$2:$O$366))*100</f>
        <v>23.076923076923077</v>
      </c>
      <c r="E341" s="146">
        <f>_xlfn.XLOOKUP(A341,'Team Stats'!$B$2:$B$366,'Team Stats'!$K$2:$K$366)/_xlfn.XLOOKUP(A341,'Team Stats'!$B$2:$B$366,'Team Stats'!$F$2:$F$366)*100</f>
        <v>21.778584392014519</v>
      </c>
      <c r="F341" s="146">
        <f>_xlfn.XLOOKUP(A341,'Team Stats'!$B$2:$B$366,'Team Stats'!$F$2:$F$366)+0.44*_xlfn.XLOOKUP(A341,'Team Stats'!$B$2:$B$366,'Team Stats'!$L$2:$L$366)+_xlfn.XLOOKUP(A341,'Team Stats'!$B$2:$B$366,'Team Stats'!$T$2:$T$366)-_xlfn.XLOOKUP(A341,'Team Stats'!$B$2:$B$366,'Team Stats'!$N$2:$N$366)</f>
        <v>67.416000000000011</v>
      </c>
      <c r="G341">
        <f>_xlfn.XLOOKUP(A341,'Team Stats'!$B$2:$B$366,'Team Stats'!$D$2:$D$366)/F341</f>
        <v>0.99382935801590111</v>
      </c>
      <c r="H341">
        <f>_xlfn.XLOOKUP(A341,'Team Stats'!$B$2:$B$366,'Team Stats'!$D$2:$D$366)</f>
        <v>67</v>
      </c>
    </row>
    <row r="342" spans="1:8" ht="15" customHeight="1" x14ac:dyDescent="0.25">
      <c r="A342" t="s">
        <v>307</v>
      </c>
      <c r="B342" s="146">
        <f t="array" ref="B342">_xlfn.XLOOKUP(A342,'Team Stats'!$B$2:$B$366,('Team Stats'!$E$2:$E$366+'Team Stats'!$H$2:$H$366/2)/'Team Stats'!$F$2:$F$366)*100</f>
        <v>49.45155393053016</v>
      </c>
      <c r="C342" s="146">
        <f>_xlfn.XLOOKUP(A342,'Team Stats'!$B$2:$B$366,'Team Stats'!$T$2:$T$366)/( _xlfn.XLOOKUP(A342,'Team Stats'!$B$2:$B$366,'Team Stats'!$T$2:$T$366)+_xlfn.XLOOKUP(A342,'Team Stats'!$B$2:$B$366,'Team Stats'!$F$2:$F$366)+0.44*_xlfn.XLOOKUP(A342,'Team Stats'!$B$2:$B$366,'Team Stats'!$L$2:$L$366)+_xlfn.XLOOKUP(A342,'Team Stats'!$B$2:$B$366,'Team Stats'!$Q$2:$Q$366))*100</f>
        <v>14.569153432092175</v>
      </c>
      <c r="D342" s="146">
        <f>_xlfn.XLOOKUP(A342,'Team Stats'!$B$2:$B$366,'Team Stats'!$N$2:$N$366)/(_xlfn.XLOOKUP(A342,'Team Stats'!$B$2:$B$366,'Team Stats'!$N$2:$N$366)+_xlfn.XLOOKUP(A342,'Opponents stats vs'!$B$2:$B$366,'Opponents stats vs'!$O$2:$O$366))*100</f>
        <v>30.498533724340177</v>
      </c>
      <c r="E342" s="146">
        <f>_xlfn.XLOOKUP(A342,'Team Stats'!$B$2:$B$366,'Team Stats'!$K$2:$K$366)/_xlfn.XLOOKUP(A342,'Team Stats'!$B$2:$B$366,'Team Stats'!$F$2:$F$366)*100</f>
        <v>23.217550274223029</v>
      </c>
      <c r="F342" s="146">
        <f>_xlfn.XLOOKUP(A342,'Team Stats'!$B$2:$B$366,'Team Stats'!$F$2:$F$366)+0.44*_xlfn.XLOOKUP(A342,'Team Stats'!$B$2:$B$366,'Team Stats'!$L$2:$L$366)+_xlfn.XLOOKUP(A342,'Team Stats'!$B$2:$B$366,'Team Stats'!$T$2:$T$366)-_xlfn.XLOOKUP(A342,'Team Stats'!$B$2:$B$366,'Team Stats'!$N$2:$N$366)</f>
        <v>65.715999999999994</v>
      </c>
      <c r="G342">
        <f>_xlfn.XLOOKUP(A342,'Team Stats'!$B$2:$B$366,'Team Stats'!$D$2:$D$366)/F342</f>
        <v>1.0149735224298497</v>
      </c>
      <c r="H342">
        <f>_xlfn.XLOOKUP(A342,'Team Stats'!$B$2:$B$366,'Team Stats'!$D$2:$D$366)</f>
        <v>66.7</v>
      </c>
    </row>
    <row r="343" spans="1:8" ht="15" customHeight="1" x14ac:dyDescent="0.25">
      <c r="A343" t="s">
        <v>206</v>
      </c>
      <c r="B343" s="146">
        <f t="array" ref="B343">_xlfn.XLOOKUP(A343,'Team Stats'!$B$2:$B$366,('Team Stats'!$E$2:$E$366+'Team Stats'!$H$2:$H$366/2)/'Team Stats'!$F$2:$F$366)*100</f>
        <v>48.57651245551601</v>
      </c>
      <c r="C343" s="146">
        <f>_xlfn.XLOOKUP(A343,'Team Stats'!$B$2:$B$366,'Team Stats'!$T$2:$T$366)/( _xlfn.XLOOKUP(A343,'Team Stats'!$B$2:$B$366,'Team Stats'!$T$2:$T$366)+_xlfn.XLOOKUP(A343,'Team Stats'!$B$2:$B$366,'Team Stats'!$F$2:$F$366)+0.44*_xlfn.XLOOKUP(A343,'Team Stats'!$B$2:$B$366,'Team Stats'!$L$2:$L$366)+_xlfn.XLOOKUP(A343,'Team Stats'!$B$2:$B$366,'Team Stats'!$Q$2:$Q$366))*100</f>
        <v>14.374270056598689</v>
      </c>
      <c r="D343" s="146">
        <f>_xlfn.XLOOKUP(A343,'Team Stats'!$B$2:$B$366,'Team Stats'!$N$2:$N$366)/(_xlfn.XLOOKUP(A343,'Team Stats'!$B$2:$B$366,'Team Stats'!$N$2:$N$366)+_xlfn.XLOOKUP(A343,'Opponents stats vs'!$B$2:$B$366,'Opponents stats vs'!$O$2:$O$366))*100</f>
        <v>26.979472140762468</v>
      </c>
      <c r="E343" s="146">
        <f>_xlfn.XLOOKUP(A343,'Team Stats'!$B$2:$B$366,'Team Stats'!$K$2:$K$366)/_xlfn.XLOOKUP(A343,'Team Stats'!$B$2:$B$366,'Team Stats'!$F$2:$F$366)*100</f>
        <v>22.77580071174377</v>
      </c>
      <c r="F343" s="146">
        <f>_xlfn.XLOOKUP(A343,'Team Stats'!$B$2:$B$366,'Team Stats'!$F$2:$F$366)+0.44*_xlfn.XLOOKUP(A343,'Team Stats'!$B$2:$B$366,'Team Stats'!$L$2:$L$366)+_xlfn.XLOOKUP(A343,'Team Stats'!$B$2:$B$366,'Team Stats'!$T$2:$T$366)-_xlfn.XLOOKUP(A343,'Team Stats'!$B$2:$B$366,'Team Stats'!$N$2:$N$366)</f>
        <v>67.147999999999996</v>
      </c>
      <c r="G343">
        <f>_xlfn.XLOOKUP(A343,'Team Stats'!$B$2:$B$366,'Team Stats'!$D$2:$D$366)/F343</f>
        <v>1.0037529040328828</v>
      </c>
      <c r="H343">
        <f>_xlfn.XLOOKUP(A343,'Team Stats'!$B$2:$B$366,'Team Stats'!$D$2:$D$366)</f>
        <v>67.400000000000006</v>
      </c>
    </row>
    <row r="344" spans="1:8" ht="15" customHeight="1" x14ac:dyDescent="0.25">
      <c r="A344" t="s">
        <v>248</v>
      </c>
      <c r="B344" s="146">
        <f t="array" ref="B344">_xlfn.XLOOKUP(A344,'Team Stats'!$B$2:$B$366,('Team Stats'!$E$2:$E$366+'Team Stats'!$H$2:$H$366/2)/'Team Stats'!$F$2:$F$366)*100</f>
        <v>47.682709447415327</v>
      </c>
      <c r="C344" s="146">
        <f>_xlfn.XLOOKUP(A344,'Team Stats'!$B$2:$B$366,'Team Stats'!$T$2:$T$366)/( _xlfn.XLOOKUP(A344,'Team Stats'!$B$2:$B$366,'Team Stats'!$T$2:$T$366)+_xlfn.XLOOKUP(A344,'Team Stats'!$B$2:$B$366,'Team Stats'!$F$2:$F$366)+0.44*_xlfn.XLOOKUP(A344,'Team Stats'!$B$2:$B$366,'Team Stats'!$L$2:$L$366)+_xlfn.XLOOKUP(A344,'Team Stats'!$B$2:$B$366,'Team Stats'!$Q$2:$Q$366))*100</f>
        <v>14.047469207947497</v>
      </c>
      <c r="D344" s="146">
        <f>_xlfn.XLOOKUP(A344,'Team Stats'!$B$2:$B$366,'Team Stats'!$N$2:$N$366)/(_xlfn.XLOOKUP(A344,'Team Stats'!$B$2:$B$366,'Team Stats'!$N$2:$N$366)+_xlfn.XLOOKUP(A344,'Opponents stats vs'!$B$2:$B$366,'Opponents stats vs'!$O$2:$O$366))*100</f>
        <v>29.411764705882355</v>
      </c>
      <c r="E344" s="146">
        <f>_xlfn.XLOOKUP(A344,'Team Stats'!$B$2:$B$366,'Team Stats'!$K$2:$K$366)/_xlfn.XLOOKUP(A344,'Team Stats'!$B$2:$B$366,'Team Stats'!$F$2:$F$366)*100</f>
        <v>24.42067736185383</v>
      </c>
      <c r="F344" s="146">
        <f>_xlfn.XLOOKUP(A344,'Team Stats'!$B$2:$B$366,'Team Stats'!$F$2:$F$366)+0.44*_xlfn.XLOOKUP(A344,'Team Stats'!$B$2:$B$366,'Team Stats'!$L$2:$L$366)+_xlfn.XLOOKUP(A344,'Team Stats'!$B$2:$B$366,'Team Stats'!$T$2:$T$366)-_xlfn.XLOOKUP(A344,'Team Stats'!$B$2:$B$366,'Team Stats'!$N$2:$N$366)</f>
        <v>66.784000000000006</v>
      </c>
      <c r="G344">
        <f>_xlfn.XLOOKUP(A344,'Team Stats'!$B$2:$B$366,'Team Stats'!$D$2:$D$366)/F344</f>
        <v>1.0047316722568278</v>
      </c>
      <c r="H344">
        <f>_xlfn.XLOOKUP(A344,'Team Stats'!$B$2:$B$366,'Team Stats'!$D$2:$D$366)</f>
        <v>67.099999999999994</v>
      </c>
    </row>
    <row r="345" spans="1:8" ht="15" customHeight="1" x14ac:dyDescent="0.25">
      <c r="A345" t="s">
        <v>198</v>
      </c>
      <c r="B345" s="146">
        <f t="array" ref="B345">_xlfn.XLOOKUP(A345,'Team Stats'!$B$2:$B$366,('Team Stats'!$E$2:$E$366+'Team Stats'!$H$2:$H$366/2)/'Team Stats'!$F$2:$F$366)*100</f>
        <v>51.078431372549019</v>
      </c>
      <c r="C345" s="146">
        <f>_xlfn.XLOOKUP(A345,'Team Stats'!$B$2:$B$366,'Team Stats'!$T$2:$T$366)/( _xlfn.XLOOKUP(A345,'Team Stats'!$B$2:$B$366,'Team Stats'!$T$2:$T$366)+_xlfn.XLOOKUP(A345,'Team Stats'!$B$2:$B$366,'Team Stats'!$F$2:$F$366)+0.44*_xlfn.XLOOKUP(A345,'Team Stats'!$B$2:$B$366,'Team Stats'!$L$2:$L$366)+_xlfn.XLOOKUP(A345,'Team Stats'!$B$2:$B$366,'Team Stats'!$Q$2:$Q$366))*100</f>
        <v>14.595595215492693</v>
      </c>
      <c r="D345" s="146">
        <f>_xlfn.XLOOKUP(A345,'Team Stats'!$B$2:$B$366,'Team Stats'!$N$2:$N$366)/(_xlfn.XLOOKUP(A345,'Team Stats'!$B$2:$B$366,'Team Stats'!$N$2:$N$366)+_xlfn.XLOOKUP(A345,'Opponents stats vs'!$B$2:$B$366,'Opponents stats vs'!$O$2:$O$366))*100</f>
        <v>21.895424836601311</v>
      </c>
      <c r="E345" s="146">
        <f>_xlfn.XLOOKUP(A345,'Team Stats'!$B$2:$B$366,'Team Stats'!$K$2:$K$366)/_xlfn.XLOOKUP(A345,'Team Stats'!$B$2:$B$366,'Team Stats'!$F$2:$F$366)*100</f>
        <v>30.980392156862745</v>
      </c>
      <c r="F345" s="146">
        <f>_xlfn.XLOOKUP(A345,'Team Stats'!$B$2:$B$366,'Team Stats'!$F$2:$F$366)+0.44*_xlfn.XLOOKUP(A345,'Team Stats'!$B$2:$B$366,'Team Stats'!$L$2:$L$366)+_xlfn.XLOOKUP(A345,'Team Stats'!$B$2:$B$366,'Team Stats'!$T$2:$T$366)-_xlfn.XLOOKUP(A345,'Team Stats'!$B$2:$B$366,'Team Stats'!$N$2:$N$366)</f>
        <v>65.971999999999994</v>
      </c>
      <c r="G345">
        <f>_xlfn.XLOOKUP(A345,'Team Stats'!$B$2:$B$366,'Team Stats'!$D$2:$D$366)/F345</f>
        <v>1.0292245194931184</v>
      </c>
      <c r="H345">
        <f>_xlfn.XLOOKUP(A345,'Team Stats'!$B$2:$B$366,'Team Stats'!$D$2:$D$366)</f>
        <v>67.900000000000006</v>
      </c>
    </row>
    <row r="346" spans="1:8" ht="15" customHeight="1" x14ac:dyDescent="0.25">
      <c r="A346" t="s">
        <v>239</v>
      </c>
      <c r="B346" s="146">
        <f t="array" ref="B346">_xlfn.XLOOKUP(A346,'Team Stats'!$B$2:$B$366,('Team Stats'!$E$2:$E$366+'Team Stats'!$H$2:$H$366/2)/'Team Stats'!$F$2:$F$366)*100</f>
        <v>53.441682600382421</v>
      </c>
      <c r="C346" s="146">
        <f>_xlfn.XLOOKUP(A346,'Team Stats'!$B$2:$B$366,'Team Stats'!$T$2:$T$366)/( _xlfn.XLOOKUP(A346,'Team Stats'!$B$2:$B$366,'Team Stats'!$T$2:$T$366)+_xlfn.XLOOKUP(A346,'Team Stats'!$B$2:$B$366,'Team Stats'!$F$2:$F$366)+0.44*_xlfn.XLOOKUP(A346,'Team Stats'!$B$2:$B$366,'Team Stats'!$L$2:$L$366)+_xlfn.XLOOKUP(A346,'Team Stats'!$B$2:$B$366,'Team Stats'!$Q$2:$Q$366))*100</f>
        <v>14.134444923578171</v>
      </c>
      <c r="D346" s="146">
        <f>_xlfn.XLOOKUP(A346,'Team Stats'!$B$2:$B$366,'Team Stats'!$N$2:$N$366)/(_xlfn.XLOOKUP(A346,'Team Stats'!$B$2:$B$366,'Team Stats'!$N$2:$N$366)+_xlfn.XLOOKUP(A346,'Opponents stats vs'!$B$2:$B$366,'Opponents stats vs'!$O$2:$O$366))*100</f>
        <v>21</v>
      </c>
      <c r="E346" s="146">
        <f>_xlfn.XLOOKUP(A346,'Team Stats'!$B$2:$B$366,'Team Stats'!$K$2:$K$366)/_xlfn.XLOOKUP(A346,'Team Stats'!$B$2:$B$366,'Team Stats'!$F$2:$F$366)*100</f>
        <v>24.282982791586999</v>
      </c>
      <c r="F346" s="146">
        <f>_xlfn.XLOOKUP(A346,'Team Stats'!$B$2:$B$366,'Team Stats'!$F$2:$F$366)+0.44*_xlfn.XLOOKUP(A346,'Team Stats'!$B$2:$B$366,'Team Stats'!$L$2:$L$366)+_xlfn.XLOOKUP(A346,'Team Stats'!$B$2:$B$366,'Team Stats'!$T$2:$T$366)-_xlfn.XLOOKUP(A346,'Team Stats'!$B$2:$B$366,'Team Stats'!$N$2:$N$366)</f>
        <v>64.884</v>
      </c>
      <c r="G346">
        <f>_xlfn.XLOOKUP(A346,'Team Stats'!$B$2:$B$366,'Team Stats'!$D$2:$D$366)/F346</f>
        <v>1.058812650268171</v>
      </c>
      <c r="H346">
        <f>_xlfn.XLOOKUP(A346,'Team Stats'!$B$2:$B$366,'Team Stats'!$D$2:$D$366)</f>
        <v>68.7</v>
      </c>
    </row>
    <row r="347" spans="1:8" ht="15" customHeight="1" x14ac:dyDescent="0.25">
      <c r="A347" t="s">
        <v>187</v>
      </c>
      <c r="B347" s="146">
        <f t="array" ref="B347">_xlfn.XLOOKUP(A347,'Team Stats'!$B$2:$B$366,('Team Stats'!$E$2:$E$366+'Team Stats'!$H$2:$H$366/2)/'Team Stats'!$F$2:$F$366)*100</f>
        <v>47.814685314685313</v>
      </c>
      <c r="C347" s="146">
        <f>_xlfn.XLOOKUP(A347,'Team Stats'!$B$2:$B$366,'Team Stats'!$T$2:$T$366)/( _xlfn.XLOOKUP(A347,'Team Stats'!$B$2:$B$366,'Team Stats'!$T$2:$T$366)+_xlfn.XLOOKUP(A347,'Team Stats'!$B$2:$B$366,'Team Stats'!$F$2:$F$366)+0.44*_xlfn.XLOOKUP(A347,'Team Stats'!$B$2:$B$366,'Team Stats'!$L$2:$L$366)+_xlfn.XLOOKUP(A347,'Team Stats'!$B$2:$B$366,'Team Stats'!$Q$2:$Q$366))*100</f>
        <v>15.36543000935287</v>
      </c>
      <c r="D347" s="146">
        <f>_xlfn.XLOOKUP(A347,'Team Stats'!$B$2:$B$366,'Team Stats'!$N$2:$N$366)/(_xlfn.XLOOKUP(A347,'Team Stats'!$B$2:$B$366,'Team Stats'!$N$2:$N$366)+_xlfn.XLOOKUP(A347,'Opponents stats vs'!$B$2:$B$366,'Opponents stats vs'!$O$2:$O$366))*100</f>
        <v>27.428571428571431</v>
      </c>
      <c r="E347" s="146">
        <f>_xlfn.XLOOKUP(A347,'Team Stats'!$B$2:$B$366,'Team Stats'!$K$2:$K$366)/_xlfn.XLOOKUP(A347,'Team Stats'!$B$2:$B$366,'Team Stats'!$F$2:$F$366)*100</f>
        <v>21.328671328671327</v>
      </c>
      <c r="F347" s="146">
        <f>_xlfn.XLOOKUP(A347,'Team Stats'!$B$2:$B$366,'Team Stats'!$F$2:$F$366)+0.44*_xlfn.XLOOKUP(A347,'Team Stats'!$B$2:$B$366,'Team Stats'!$L$2:$L$366)+_xlfn.XLOOKUP(A347,'Team Stats'!$B$2:$B$366,'Team Stats'!$T$2:$T$366)-_xlfn.XLOOKUP(A347,'Team Stats'!$B$2:$B$366,'Team Stats'!$N$2:$N$366)</f>
        <v>69.012</v>
      </c>
      <c r="G347">
        <f>_xlfn.XLOOKUP(A347,'Team Stats'!$B$2:$B$366,'Team Stats'!$D$2:$D$366)/F347</f>
        <v>0.96939662667362203</v>
      </c>
      <c r="H347">
        <f>_xlfn.XLOOKUP(A347,'Team Stats'!$B$2:$B$366,'Team Stats'!$D$2:$D$366)</f>
        <v>66.900000000000006</v>
      </c>
    </row>
    <row r="348" spans="1:8" ht="15" customHeight="1" x14ac:dyDescent="0.25">
      <c r="A348" t="s">
        <v>195</v>
      </c>
      <c r="B348" s="146">
        <f t="array" ref="B348">_xlfn.XLOOKUP(A348,'Team Stats'!$B$2:$B$366,('Team Stats'!$E$2:$E$366+'Team Stats'!$H$2:$H$366/2)/'Team Stats'!$F$2:$F$366)*100</f>
        <v>47.543859649122808</v>
      </c>
      <c r="C348" s="146">
        <f>_xlfn.XLOOKUP(A348,'Team Stats'!$B$2:$B$366,'Team Stats'!$T$2:$T$366)/( _xlfn.XLOOKUP(A348,'Team Stats'!$B$2:$B$366,'Team Stats'!$T$2:$T$366)+_xlfn.XLOOKUP(A348,'Team Stats'!$B$2:$B$366,'Team Stats'!$F$2:$F$366)+0.44*_xlfn.XLOOKUP(A348,'Team Stats'!$B$2:$B$366,'Team Stats'!$L$2:$L$366)+_xlfn.XLOOKUP(A348,'Team Stats'!$B$2:$B$366,'Team Stats'!$Q$2:$Q$366))*100</f>
        <v>12.058060699822542</v>
      </c>
      <c r="D348" s="146">
        <f>_xlfn.XLOOKUP(A348,'Team Stats'!$B$2:$B$366,'Team Stats'!$N$2:$N$366)/(_xlfn.XLOOKUP(A348,'Team Stats'!$B$2:$B$366,'Team Stats'!$N$2:$N$366)+_xlfn.XLOOKUP(A348,'Opponents stats vs'!$B$2:$B$366,'Opponents stats vs'!$O$2:$O$366))*100</f>
        <v>26.997245179063366</v>
      </c>
      <c r="E348" s="146">
        <f>_xlfn.XLOOKUP(A348,'Team Stats'!$B$2:$B$366,'Team Stats'!$K$2:$K$366)/_xlfn.XLOOKUP(A348,'Team Stats'!$B$2:$B$366,'Team Stats'!$F$2:$F$366)*100</f>
        <v>22.280701754385966</v>
      </c>
      <c r="F348" s="146">
        <f>_xlfn.XLOOKUP(A348,'Team Stats'!$B$2:$B$366,'Team Stats'!$F$2:$F$366)+0.44*_xlfn.XLOOKUP(A348,'Team Stats'!$B$2:$B$366,'Team Stats'!$L$2:$L$366)+_xlfn.XLOOKUP(A348,'Team Stats'!$B$2:$B$366,'Team Stats'!$T$2:$T$366)-_xlfn.XLOOKUP(A348,'Team Stats'!$B$2:$B$366,'Team Stats'!$N$2:$N$366)</f>
        <v>65.807999999999993</v>
      </c>
      <c r="G348">
        <f>_xlfn.XLOOKUP(A348,'Team Stats'!$B$2:$B$366,'Team Stats'!$D$2:$D$366)/F348</f>
        <v>1.0165937272064189</v>
      </c>
      <c r="H348">
        <f>_xlfn.XLOOKUP(A348,'Team Stats'!$B$2:$B$366,'Team Stats'!$D$2:$D$366)</f>
        <v>66.900000000000006</v>
      </c>
    </row>
    <row r="349" spans="1:8" ht="15" customHeight="1" x14ac:dyDescent="0.25">
      <c r="A349" t="s">
        <v>224</v>
      </c>
      <c r="B349" s="146">
        <f t="array" ref="B349">_xlfn.XLOOKUP(A349,'Team Stats'!$B$2:$B$366,('Team Stats'!$E$2:$E$366+'Team Stats'!$H$2:$H$366/2)/'Team Stats'!$F$2:$F$366)*100</f>
        <v>45.517241379310342</v>
      </c>
      <c r="C349" s="146">
        <f>_xlfn.XLOOKUP(A349,'Team Stats'!$B$2:$B$366,'Team Stats'!$T$2:$T$366)/( _xlfn.XLOOKUP(A349,'Team Stats'!$B$2:$B$366,'Team Stats'!$T$2:$T$366)+_xlfn.XLOOKUP(A349,'Team Stats'!$B$2:$B$366,'Team Stats'!$F$2:$F$366)+0.44*_xlfn.XLOOKUP(A349,'Team Stats'!$B$2:$B$366,'Team Stats'!$L$2:$L$366)+_xlfn.XLOOKUP(A349,'Team Stats'!$B$2:$B$366,'Team Stats'!$Q$2:$Q$366))*100</f>
        <v>11.945392491467576</v>
      </c>
      <c r="D349" s="146">
        <f>_xlfn.XLOOKUP(A349,'Team Stats'!$B$2:$B$366,'Team Stats'!$N$2:$N$366)/(_xlfn.XLOOKUP(A349,'Team Stats'!$B$2:$B$366,'Team Stats'!$N$2:$N$366)+_xlfn.XLOOKUP(A349,'Opponents stats vs'!$B$2:$B$366,'Opponents stats vs'!$O$2:$O$366))*100</f>
        <v>29.476584022038566</v>
      </c>
      <c r="E349" s="146">
        <f>_xlfn.XLOOKUP(A349,'Team Stats'!$B$2:$B$366,'Team Stats'!$K$2:$K$366)/_xlfn.XLOOKUP(A349,'Team Stats'!$B$2:$B$366,'Team Stats'!$F$2:$F$366)*100</f>
        <v>22.413793103448278</v>
      </c>
      <c r="F349" s="146">
        <f>_xlfn.XLOOKUP(A349,'Team Stats'!$B$2:$B$366,'Team Stats'!$F$2:$F$366)+0.44*_xlfn.XLOOKUP(A349,'Team Stats'!$B$2:$B$366,'Team Stats'!$L$2:$L$366)+_xlfn.XLOOKUP(A349,'Team Stats'!$B$2:$B$366,'Team Stats'!$T$2:$T$366)-_xlfn.XLOOKUP(A349,'Team Stats'!$B$2:$B$366,'Team Stats'!$N$2:$N$366)</f>
        <v>65.5</v>
      </c>
      <c r="G349">
        <f>_xlfn.XLOOKUP(A349,'Team Stats'!$B$2:$B$366,'Team Stats'!$D$2:$D$366)/F349</f>
        <v>1.0045801526717557</v>
      </c>
      <c r="H349">
        <f>_xlfn.XLOOKUP(A349,'Team Stats'!$B$2:$B$366,'Team Stats'!$D$2:$D$366)</f>
        <v>65.8</v>
      </c>
    </row>
    <row r="350" spans="1:8" ht="15" customHeight="1" x14ac:dyDescent="0.25">
      <c r="A350" t="s">
        <v>295</v>
      </c>
      <c r="B350" s="146">
        <f t="array" ref="B350">_xlfn.XLOOKUP(A350,'Team Stats'!$B$2:$B$366,('Team Stats'!$E$2:$E$366+'Team Stats'!$H$2:$H$366/2)/'Team Stats'!$F$2:$F$366)*100</f>
        <v>45.640569395017785</v>
      </c>
      <c r="C350" s="146">
        <f>_xlfn.XLOOKUP(A350,'Team Stats'!$B$2:$B$366,'Team Stats'!$T$2:$T$366)/( _xlfn.XLOOKUP(A350,'Team Stats'!$B$2:$B$366,'Team Stats'!$T$2:$T$366)+_xlfn.XLOOKUP(A350,'Team Stats'!$B$2:$B$366,'Team Stats'!$F$2:$F$366)+0.44*_xlfn.XLOOKUP(A350,'Team Stats'!$B$2:$B$366,'Team Stats'!$L$2:$L$366)+_xlfn.XLOOKUP(A350,'Team Stats'!$B$2:$B$366,'Team Stats'!$Q$2:$Q$366))*100</f>
        <v>13.648571302778144</v>
      </c>
      <c r="D350" s="146">
        <f>_xlfn.XLOOKUP(A350,'Team Stats'!$B$2:$B$366,'Team Stats'!$N$2:$N$366)/(_xlfn.XLOOKUP(A350,'Team Stats'!$B$2:$B$366,'Team Stats'!$N$2:$N$366)+_xlfn.XLOOKUP(A350,'Opponents stats vs'!$B$2:$B$366,'Opponents stats vs'!$O$2:$O$366))*100</f>
        <v>33.611111111111107</v>
      </c>
      <c r="E350" s="146">
        <f>_xlfn.XLOOKUP(A350,'Team Stats'!$B$2:$B$366,'Team Stats'!$K$2:$K$366)/_xlfn.XLOOKUP(A350,'Team Stats'!$B$2:$B$366,'Team Stats'!$F$2:$F$366)*100</f>
        <v>26.690391459074732</v>
      </c>
      <c r="F350" s="146">
        <f>_xlfn.XLOOKUP(A350,'Team Stats'!$B$2:$B$366,'Team Stats'!$F$2:$F$366)+0.44*_xlfn.XLOOKUP(A350,'Team Stats'!$B$2:$B$366,'Team Stats'!$L$2:$L$366)+_xlfn.XLOOKUP(A350,'Team Stats'!$B$2:$B$366,'Team Stats'!$T$2:$T$366)-_xlfn.XLOOKUP(A350,'Team Stats'!$B$2:$B$366,'Team Stats'!$N$2:$N$366)</f>
        <v>65.652000000000015</v>
      </c>
      <c r="G350">
        <f>_xlfn.XLOOKUP(A350,'Team Stats'!$B$2:$B$366,'Team Stats'!$D$2:$D$366)/F350</f>
        <v>1.011393407664656</v>
      </c>
      <c r="H350">
        <f>_xlfn.XLOOKUP(A350,'Team Stats'!$B$2:$B$366,'Team Stats'!$D$2:$D$366)</f>
        <v>66.400000000000006</v>
      </c>
    </row>
    <row r="351" spans="1:8" ht="15" customHeight="1" x14ac:dyDescent="0.25">
      <c r="A351" t="s">
        <v>468</v>
      </c>
      <c r="B351" s="146">
        <f t="array" ref="B351">_xlfn.XLOOKUP(A351,'Team Stats'!$B$2:$B$366,('Team Stats'!$E$2:$E$366+'Team Stats'!$H$2:$H$366/2)/'Team Stats'!$F$2:$F$366)*100</f>
        <v>45.462633451957295</v>
      </c>
      <c r="C351" s="146">
        <f>_xlfn.XLOOKUP(A351,'Team Stats'!$B$2:$B$366,'Team Stats'!$T$2:$T$366)/( _xlfn.XLOOKUP(A351,'Team Stats'!$B$2:$B$366,'Team Stats'!$T$2:$T$366)+_xlfn.XLOOKUP(A351,'Team Stats'!$B$2:$B$366,'Team Stats'!$F$2:$F$366)+0.44*_xlfn.XLOOKUP(A351,'Team Stats'!$B$2:$B$366,'Team Stats'!$L$2:$L$366)+_xlfn.XLOOKUP(A351,'Team Stats'!$B$2:$B$366,'Team Stats'!$Q$2:$Q$366))*100</f>
        <v>13.806983057193673</v>
      </c>
      <c r="D351" s="146">
        <f>_xlfn.XLOOKUP(A351,'Team Stats'!$B$2:$B$366,'Team Stats'!$N$2:$N$366)/(_xlfn.XLOOKUP(A351,'Team Stats'!$B$2:$B$366,'Team Stats'!$N$2:$N$366)+_xlfn.XLOOKUP(A351,'Opponents stats vs'!$B$2:$B$366,'Opponents stats vs'!$O$2:$O$366))*100</f>
        <v>28.969359331476323</v>
      </c>
      <c r="E351" s="146">
        <f>_xlfn.XLOOKUP(A351,'Team Stats'!$B$2:$B$366,'Team Stats'!$K$2:$K$366)/_xlfn.XLOOKUP(A351,'Team Stats'!$B$2:$B$366,'Team Stats'!$F$2:$F$366)*100</f>
        <v>24.377224199288253</v>
      </c>
      <c r="F351" s="146">
        <f>_xlfn.XLOOKUP(A351,'Team Stats'!$B$2:$B$366,'Team Stats'!$F$2:$F$366)+0.44*_xlfn.XLOOKUP(A351,'Team Stats'!$B$2:$B$366,'Team Stats'!$L$2:$L$366)+_xlfn.XLOOKUP(A351,'Team Stats'!$B$2:$B$366,'Team Stats'!$T$2:$T$366)-_xlfn.XLOOKUP(A351,'Team Stats'!$B$2:$B$366,'Team Stats'!$N$2:$N$366)</f>
        <v>66.664000000000001</v>
      </c>
      <c r="G351">
        <f>_xlfn.XLOOKUP(A351,'Team Stats'!$B$2:$B$366,'Team Stats'!$D$2:$D$366)/F351</f>
        <v>0.97353894155766241</v>
      </c>
      <c r="H351">
        <f>_xlfn.XLOOKUP(A351,'Team Stats'!$B$2:$B$366,'Team Stats'!$D$2:$D$366)</f>
        <v>64.900000000000006</v>
      </c>
    </row>
    <row r="352" spans="1:8" ht="15" customHeight="1" x14ac:dyDescent="0.25">
      <c r="A352" t="s">
        <v>407</v>
      </c>
      <c r="B352" s="146">
        <f t="array" ref="B352">_xlfn.XLOOKUP(A352,'Team Stats'!$B$2:$B$366,('Team Stats'!$E$2:$E$366+'Team Stats'!$H$2:$H$366/2)/'Team Stats'!$F$2:$F$366)*100</f>
        <v>46.564195298372518</v>
      </c>
      <c r="C352" s="146">
        <f>_xlfn.XLOOKUP(A352,'Team Stats'!$B$2:$B$366,'Team Stats'!$T$2:$T$366)/( _xlfn.XLOOKUP(A352,'Team Stats'!$B$2:$B$366,'Team Stats'!$T$2:$T$366)+_xlfn.XLOOKUP(A352,'Team Stats'!$B$2:$B$366,'Team Stats'!$F$2:$F$366)+0.44*_xlfn.XLOOKUP(A352,'Team Stats'!$B$2:$B$366,'Team Stats'!$L$2:$L$366)+_xlfn.XLOOKUP(A352,'Team Stats'!$B$2:$B$366,'Team Stats'!$Q$2:$Q$366))*100</f>
        <v>15.871635430708356</v>
      </c>
      <c r="D352" s="146">
        <f>_xlfn.XLOOKUP(A352,'Team Stats'!$B$2:$B$366,'Team Stats'!$N$2:$N$366)/(_xlfn.XLOOKUP(A352,'Team Stats'!$B$2:$B$366,'Team Stats'!$N$2:$N$366)+_xlfn.XLOOKUP(A352,'Opponents stats vs'!$B$2:$B$366,'Opponents stats vs'!$O$2:$O$366))*100</f>
        <v>31.700288184438037</v>
      </c>
      <c r="E352" s="146">
        <f>_xlfn.XLOOKUP(A352,'Team Stats'!$B$2:$B$366,'Team Stats'!$K$2:$K$366)/_xlfn.XLOOKUP(A352,'Team Stats'!$B$2:$B$366,'Team Stats'!$F$2:$F$366)*100</f>
        <v>27.305605786618447</v>
      </c>
      <c r="F352" s="146">
        <f>_xlfn.XLOOKUP(A352,'Team Stats'!$B$2:$B$366,'Team Stats'!$F$2:$F$366)+0.44*_xlfn.XLOOKUP(A352,'Team Stats'!$B$2:$B$366,'Team Stats'!$L$2:$L$366)+_xlfn.XLOOKUP(A352,'Team Stats'!$B$2:$B$366,'Team Stats'!$T$2:$T$366)-_xlfn.XLOOKUP(A352,'Team Stats'!$B$2:$B$366,'Team Stats'!$N$2:$N$366)</f>
        <v>68.887999999999991</v>
      </c>
      <c r="G352">
        <f>_xlfn.XLOOKUP(A352,'Team Stats'!$B$2:$B$366,'Team Stats'!$D$2:$D$366)/F352</f>
        <v>0.96678666821507375</v>
      </c>
      <c r="H352">
        <f>_xlfn.XLOOKUP(A352,'Team Stats'!$B$2:$B$366,'Team Stats'!$D$2:$D$366)</f>
        <v>66.599999999999994</v>
      </c>
    </row>
    <row r="353" spans="1:8" ht="15" customHeight="1" x14ac:dyDescent="0.25">
      <c r="A353" t="s">
        <v>421</v>
      </c>
      <c r="B353" s="146">
        <f t="array" ref="B353">_xlfn.XLOOKUP(A353,'Team Stats'!$B$2:$B$366,('Team Stats'!$E$2:$E$366+'Team Stats'!$H$2:$H$366/2)/'Team Stats'!$F$2:$F$366)*100</f>
        <v>48.266897746967068</v>
      </c>
      <c r="C353" s="146">
        <f>_xlfn.XLOOKUP(A353,'Team Stats'!$B$2:$B$366,'Team Stats'!$T$2:$T$366)/( _xlfn.XLOOKUP(A353,'Team Stats'!$B$2:$B$366,'Team Stats'!$T$2:$T$366)+_xlfn.XLOOKUP(A353,'Team Stats'!$B$2:$B$366,'Team Stats'!$F$2:$F$366)+0.44*_xlfn.XLOOKUP(A353,'Team Stats'!$B$2:$B$366,'Team Stats'!$L$2:$L$366)+_xlfn.XLOOKUP(A353,'Team Stats'!$B$2:$B$366,'Team Stats'!$Q$2:$Q$366))*100</f>
        <v>14.447679548261865</v>
      </c>
      <c r="D353" s="146">
        <f>_xlfn.XLOOKUP(A353,'Team Stats'!$B$2:$B$366,'Team Stats'!$N$2:$N$366)/(_xlfn.XLOOKUP(A353,'Team Stats'!$B$2:$B$366,'Team Stats'!$N$2:$N$366)+_xlfn.XLOOKUP(A353,'Opponents stats vs'!$B$2:$B$366,'Opponents stats vs'!$O$2:$O$366))*100</f>
        <v>28.932584269662918</v>
      </c>
      <c r="E353" s="146">
        <f>_xlfn.XLOOKUP(A353,'Team Stats'!$B$2:$B$366,'Team Stats'!$K$2:$K$366)/_xlfn.XLOOKUP(A353,'Team Stats'!$B$2:$B$366,'Team Stats'!$F$2:$F$366)*100</f>
        <v>19.4107452339688</v>
      </c>
      <c r="F353" s="146">
        <f>_xlfn.XLOOKUP(A353,'Team Stats'!$B$2:$B$366,'Team Stats'!$F$2:$F$366)+0.44*_xlfn.XLOOKUP(A353,'Team Stats'!$B$2:$B$366,'Team Stats'!$L$2:$L$366)+_xlfn.XLOOKUP(A353,'Team Stats'!$B$2:$B$366,'Team Stats'!$T$2:$T$366)-_xlfn.XLOOKUP(A353,'Team Stats'!$B$2:$B$366,'Team Stats'!$N$2:$N$366)</f>
        <v>67.671999999999997</v>
      </c>
      <c r="G353">
        <f>_xlfn.XLOOKUP(A353,'Team Stats'!$B$2:$B$366,'Team Stats'!$D$2:$D$366)/F353</f>
        <v>0.98859203215510116</v>
      </c>
      <c r="H353">
        <f>_xlfn.XLOOKUP(A353,'Team Stats'!$B$2:$B$366,'Team Stats'!$D$2:$D$366)</f>
        <v>66.900000000000006</v>
      </c>
    </row>
    <row r="354" spans="1:8" ht="15" customHeight="1" x14ac:dyDescent="0.25">
      <c r="A354" t="s">
        <v>232</v>
      </c>
      <c r="B354" s="146">
        <f t="array" ref="B354">_xlfn.XLOOKUP(A354,'Team Stats'!$B$2:$B$366,('Team Stats'!$E$2:$E$366+'Team Stats'!$H$2:$H$366/2)/'Team Stats'!$F$2:$F$366)*100</f>
        <v>46.306306306306304</v>
      </c>
      <c r="C354" s="146">
        <f>_xlfn.XLOOKUP(A354,'Team Stats'!$B$2:$B$366,'Team Stats'!$T$2:$T$366)/( _xlfn.XLOOKUP(A354,'Team Stats'!$B$2:$B$366,'Team Stats'!$T$2:$T$366)+_xlfn.XLOOKUP(A354,'Team Stats'!$B$2:$B$366,'Team Stats'!$F$2:$F$366)+0.44*_xlfn.XLOOKUP(A354,'Team Stats'!$B$2:$B$366,'Team Stats'!$L$2:$L$366)+_xlfn.XLOOKUP(A354,'Team Stats'!$B$2:$B$366,'Team Stats'!$Q$2:$Q$366))*100</f>
        <v>16.76829268292683</v>
      </c>
      <c r="D354" s="146">
        <f>_xlfn.XLOOKUP(A354,'Team Stats'!$B$2:$B$366,'Team Stats'!$N$2:$N$366)/(_xlfn.XLOOKUP(A354,'Team Stats'!$B$2:$B$366,'Team Stats'!$N$2:$N$366)+_xlfn.XLOOKUP(A354,'Opponents stats vs'!$B$2:$B$366,'Opponents stats vs'!$O$2:$O$366))*100</f>
        <v>31.284916201117319</v>
      </c>
      <c r="E354" s="146">
        <f>_xlfn.XLOOKUP(A354,'Team Stats'!$B$2:$B$366,'Team Stats'!$K$2:$K$366)/_xlfn.XLOOKUP(A354,'Team Stats'!$B$2:$B$366,'Team Stats'!$F$2:$F$366)*100</f>
        <v>25.585585585585584</v>
      </c>
      <c r="F354" s="146">
        <f>_xlfn.XLOOKUP(A354,'Team Stats'!$B$2:$B$366,'Team Stats'!$F$2:$F$366)+0.44*_xlfn.XLOOKUP(A354,'Team Stats'!$B$2:$B$366,'Team Stats'!$L$2:$L$366)+_xlfn.XLOOKUP(A354,'Team Stats'!$B$2:$B$366,'Team Stats'!$T$2:$T$366)-_xlfn.XLOOKUP(A354,'Team Stats'!$B$2:$B$366,'Team Stats'!$N$2:$N$366)</f>
        <v>68.94</v>
      </c>
      <c r="G354">
        <f>_xlfn.XLOOKUP(A354,'Team Stats'!$B$2:$B$366,'Team Stats'!$D$2:$D$366)/F354</f>
        <v>0.95010153756890048</v>
      </c>
      <c r="H354">
        <f>_xlfn.XLOOKUP(A354,'Team Stats'!$B$2:$B$366,'Team Stats'!$D$2:$D$366)</f>
        <v>65.5</v>
      </c>
    </row>
    <row r="355" spans="1:8" ht="15" customHeight="1" x14ac:dyDescent="0.25">
      <c r="A355" t="s">
        <v>205</v>
      </c>
      <c r="B355" s="146">
        <f t="array" ref="B355">_xlfn.XLOOKUP(A355,'Team Stats'!$B$2:$B$366,('Team Stats'!$E$2:$E$366+'Team Stats'!$H$2:$H$366/2)/'Team Stats'!$F$2:$F$366)*100</f>
        <v>47.653429602888089</v>
      </c>
      <c r="C355" s="146">
        <f>_xlfn.XLOOKUP(A355,'Team Stats'!$B$2:$B$366,'Team Stats'!$T$2:$T$366)/( _xlfn.XLOOKUP(A355,'Team Stats'!$B$2:$B$366,'Team Stats'!$T$2:$T$366)+_xlfn.XLOOKUP(A355,'Team Stats'!$B$2:$B$366,'Team Stats'!$F$2:$F$366)+0.44*_xlfn.XLOOKUP(A355,'Team Stats'!$B$2:$B$366,'Team Stats'!$L$2:$L$366)+_xlfn.XLOOKUP(A355,'Team Stats'!$B$2:$B$366,'Team Stats'!$Q$2:$Q$366))*100</f>
        <v>14.997273223050357</v>
      </c>
      <c r="D355" s="146">
        <f>_xlfn.XLOOKUP(A355,'Team Stats'!$B$2:$B$366,'Team Stats'!$N$2:$N$366)/(_xlfn.XLOOKUP(A355,'Team Stats'!$B$2:$B$366,'Team Stats'!$N$2:$N$366)+_xlfn.XLOOKUP(A355,'Opponents stats vs'!$B$2:$B$366,'Opponents stats vs'!$O$2:$O$366))*100</f>
        <v>28.939828080229223</v>
      </c>
      <c r="E355" s="146">
        <f>_xlfn.XLOOKUP(A355,'Team Stats'!$B$2:$B$366,'Team Stats'!$K$2:$K$366)/_xlfn.XLOOKUP(A355,'Team Stats'!$B$2:$B$366,'Team Stats'!$F$2:$F$366)*100</f>
        <v>22.021660649819495</v>
      </c>
      <c r="F355" s="146">
        <f>_xlfn.XLOOKUP(A355,'Team Stats'!$B$2:$B$366,'Team Stats'!$F$2:$F$366)+0.44*_xlfn.XLOOKUP(A355,'Team Stats'!$B$2:$B$366,'Team Stats'!$L$2:$L$366)+_xlfn.XLOOKUP(A355,'Team Stats'!$B$2:$B$366,'Team Stats'!$T$2:$T$366)-_xlfn.XLOOKUP(A355,'Team Stats'!$B$2:$B$366,'Team Stats'!$N$2:$N$366)</f>
        <v>65.716000000000008</v>
      </c>
      <c r="G355">
        <f>_xlfn.XLOOKUP(A355,'Team Stats'!$B$2:$B$366,'Team Stats'!$D$2:$D$366)/F355</f>
        <v>0.99062633148700452</v>
      </c>
      <c r="H355">
        <f>_xlfn.XLOOKUP(A355,'Team Stats'!$B$2:$B$366,'Team Stats'!$D$2:$D$366)</f>
        <v>65.099999999999994</v>
      </c>
    </row>
    <row r="356" spans="1:8" ht="15" customHeight="1" x14ac:dyDescent="0.25">
      <c r="A356" t="s">
        <v>338</v>
      </c>
      <c r="B356" s="146">
        <f t="array" ref="B356">_xlfn.XLOOKUP(A356,'Team Stats'!$B$2:$B$366,('Team Stats'!$E$2:$E$366+'Team Stats'!$H$2:$H$366/2)/'Team Stats'!$F$2:$F$366)*100</f>
        <v>50.469924812030072</v>
      </c>
      <c r="C356" s="146">
        <f>_xlfn.XLOOKUP(A356,'Team Stats'!$B$2:$B$366,'Team Stats'!$T$2:$T$366)/( _xlfn.XLOOKUP(A356,'Team Stats'!$B$2:$B$366,'Team Stats'!$T$2:$T$366)+_xlfn.XLOOKUP(A356,'Team Stats'!$B$2:$B$366,'Team Stats'!$F$2:$F$366)+0.44*_xlfn.XLOOKUP(A356,'Team Stats'!$B$2:$B$366,'Team Stats'!$L$2:$L$366)+_xlfn.XLOOKUP(A356,'Team Stats'!$B$2:$B$366,'Team Stats'!$Q$2:$Q$366))*100</f>
        <v>13.274971297359359</v>
      </c>
      <c r="D356" s="146">
        <f>_xlfn.XLOOKUP(A356,'Team Stats'!$B$2:$B$366,'Team Stats'!$N$2:$N$366)/(_xlfn.XLOOKUP(A356,'Team Stats'!$B$2:$B$366,'Team Stats'!$N$2:$N$366)+_xlfn.XLOOKUP(A356,'Opponents stats vs'!$B$2:$B$366,'Opponents stats vs'!$O$2:$O$366))*100</f>
        <v>23.926380368098158</v>
      </c>
      <c r="E356" s="146">
        <f>_xlfn.XLOOKUP(A356,'Team Stats'!$B$2:$B$366,'Team Stats'!$K$2:$K$366)/_xlfn.XLOOKUP(A356,'Team Stats'!$B$2:$B$366,'Team Stats'!$F$2:$F$366)*100</f>
        <v>21.2406015037594</v>
      </c>
      <c r="F356" s="146">
        <f>_xlfn.XLOOKUP(A356,'Team Stats'!$B$2:$B$366,'Team Stats'!$F$2:$F$366)+0.44*_xlfn.XLOOKUP(A356,'Team Stats'!$B$2:$B$366,'Team Stats'!$L$2:$L$366)+_xlfn.XLOOKUP(A356,'Team Stats'!$B$2:$B$366,'Team Stats'!$T$2:$T$366)-_xlfn.XLOOKUP(A356,'Team Stats'!$B$2:$B$366,'Team Stats'!$N$2:$N$366)</f>
        <v>63.716000000000008</v>
      </c>
      <c r="G356">
        <f>_xlfn.XLOOKUP(A356,'Team Stats'!$B$2:$B$366,'Team Stats'!$D$2:$D$366)/F356</f>
        <v>1.0185824596647624</v>
      </c>
      <c r="H356">
        <f>_xlfn.XLOOKUP(A356,'Team Stats'!$B$2:$B$366,'Team Stats'!$D$2:$D$366)</f>
        <v>64.900000000000006</v>
      </c>
    </row>
    <row r="357" spans="1:8" ht="15" customHeight="1" x14ac:dyDescent="0.25">
      <c r="A357" t="s">
        <v>389</v>
      </c>
      <c r="B357" s="146">
        <f t="array" ref="B357">_xlfn.XLOOKUP(A357,'Team Stats'!$B$2:$B$366,('Team Stats'!$E$2:$E$366+'Team Stats'!$H$2:$H$366/2)/'Team Stats'!$F$2:$F$366)*100</f>
        <v>46.927374301675975</v>
      </c>
      <c r="C357" s="146">
        <f>_xlfn.XLOOKUP(A357,'Team Stats'!$B$2:$B$366,'Team Stats'!$T$2:$T$366)/( _xlfn.XLOOKUP(A357,'Team Stats'!$B$2:$B$366,'Team Stats'!$T$2:$T$366)+_xlfn.XLOOKUP(A357,'Team Stats'!$B$2:$B$366,'Team Stats'!$F$2:$F$366)+0.44*_xlfn.XLOOKUP(A357,'Team Stats'!$B$2:$B$366,'Team Stats'!$L$2:$L$366)+_xlfn.XLOOKUP(A357,'Team Stats'!$B$2:$B$366,'Team Stats'!$Q$2:$Q$366))*100</f>
        <v>14.241087835354648</v>
      </c>
      <c r="D357" s="146">
        <f>_xlfn.XLOOKUP(A357,'Team Stats'!$B$2:$B$366,'Team Stats'!$N$2:$N$366)/(_xlfn.XLOOKUP(A357,'Team Stats'!$B$2:$B$366,'Team Stats'!$N$2:$N$366)+_xlfn.XLOOKUP(A357,'Opponents stats vs'!$B$2:$B$366,'Opponents stats vs'!$O$2:$O$366))*100</f>
        <v>29.142857142857142</v>
      </c>
      <c r="E357" s="146">
        <f>_xlfn.XLOOKUP(A357,'Team Stats'!$B$2:$B$366,'Team Stats'!$K$2:$K$366)/_xlfn.XLOOKUP(A357,'Team Stats'!$B$2:$B$366,'Team Stats'!$F$2:$F$366)*100</f>
        <v>27.001862197392924</v>
      </c>
      <c r="F357" s="146">
        <f>_xlfn.XLOOKUP(A357,'Team Stats'!$B$2:$B$366,'Team Stats'!$F$2:$F$366)+0.44*_xlfn.XLOOKUP(A357,'Team Stats'!$B$2:$B$366,'Team Stats'!$L$2:$L$366)+_xlfn.XLOOKUP(A357,'Team Stats'!$B$2:$B$366,'Team Stats'!$T$2:$T$366)-_xlfn.XLOOKUP(A357,'Team Stats'!$B$2:$B$366,'Team Stats'!$N$2:$N$366)</f>
        <v>65.272000000000006</v>
      </c>
      <c r="G357">
        <f>_xlfn.XLOOKUP(A357,'Team Stats'!$B$2:$B$366,'Team Stats'!$D$2:$D$366)/F357</f>
        <v>0.99583282264983441</v>
      </c>
      <c r="H357">
        <f>_xlfn.XLOOKUP(A357,'Team Stats'!$B$2:$B$366,'Team Stats'!$D$2:$D$366)</f>
        <v>65</v>
      </c>
    </row>
    <row r="358" spans="1:8" ht="15" customHeight="1" x14ac:dyDescent="0.25">
      <c r="A358" t="s">
        <v>326</v>
      </c>
      <c r="B358" s="146">
        <f t="array" ref="B358">_xlfn.XLOOKUP(A358,'Team Stats'!$B$2:$B$366,('Team Stats'!$E$2:$E$366+'Team Stats'!$H$2:$H$366/2)/'Team Stats'!$F$2:$F$366)*100</f>
        <v>45.960502692998205</v>
      </c>
      <c r="C358" s="146">
        <f>_xlfn.XLOOKUP(A358,'Team Stats'!$B$2:$B$366,'Team Stats'!$T$2:$T$366)/( _xlfn.XLOOKUP(A358,'Team Stats'!$B$2:$B$366,'Team Stats'!$T$2:$T$366)+_xlfn.XLOOKUP(A358,'Team Stats'!$B$2:$B$366,'Team Stats'!$F$2:$F$366)+0.44*_xlfn.XLOOKUP(A358,'Team Stats'!$B$2:$B$366,'Team Stats'!$L$2:$L$366)+_xlfn.XLOOKUP(A358,'Team Stats'!$B$2:$B$366,'Team Stats'!$Q$2:$Q$366))*100</f>
        <v>16.726429945775756</v>
      </c>
      <c r="D358" s="146">
        <f>_xlfn.XLOOKUP(A358,'Team Stats'!$B$2:$B$366,'Team Stats'!$N$2:$N$366)/(_xlfn.XLOOKUP(A358,'Team Stats'!$B$2:$B$366,'Team Stats'!$N$2:$N$366)+_xlfn.XLOOKUP(A358,'Opponents stats vs'!$B$2:$B$366,'Opponents stats vs'!$O$2:$O$366))*100</f>
        <v>26.453488372093027</v>
      </c>
      <c r="E358" s="146">
        <f>_xlfn.XLOOKUP(A358,'Team Stats'!$B$2:$B$366,'Team Stats'!$K$2:$K$366)/_xlfn.XLOOKUP(A358,'Team Stats'!$B$2:$B$366,'Team Stats'!$F$2:$F$366)*100</f>
        <v>24.236983842010769</v>
      </c>
      <c r="F358" s="146">
        <f>_xlfn.XLOOKUP(A358,'Team Stats'!$B$2:$B$366,'Team Stats'!$F$2:$F$366)+0.44*_xlfn.XLOOKUP(A358,'Team Stats'!$B$2:$B$366,'Team Stats'!$L$2:$L$366)+_xlfn.XLOOKUP(A358,'Team Stats'!$B$2:$B$366,'Team Stats'!$T$2:$T$366)-_xlfn.XLOOKUP(A358,'Team Stats'!$B$2:$B$366,'Team Stats'!$N$2:$N$366)</f>
        <v>70.172000000000011</v>
      </c>
      <c r="G358">
        <f>_xlfn.XLOOKUP(A358,'Team Stats'!$B$2:$B$366,'Team Stats'!$D$2:$D$366)/F358</f>
        <v>0.92059510916034859</v>
      </c>
      <c r="H358">
        <f>_xlfn.XLOOKUP(A358,'Team Stats'!$B$2:$B$366,'Team Stats'!$D$2:$D$366)</f>
        <v>64.599999999999994</v>
      </c>
    </row>
    <row r="359" spans="1:8" ht="15" customHeight="1" x14ac:dyDescent="0.25">
      <c r="A359" t="s">
        <v>315</v>
      </c>
      <c r="B359" s="146">
        <f t="array" ref="B359">_xlfn.XLOOKUP(A359,'Team Stats'!$B$2:$B$366,('Team Stats'!$E$2:$E$366+'Team Stats'!$H$2:$H$366/2)/'Team Stats'!$F$2:$F$366)*100</f>
        <v>49.534450651769077</v>
      </c>
      <c r="C359" s="146">
        <f>_xlfn.XLOOKUP(A359,'Team Stats'!$B$2:$B$366,'Team Stats'!$T$2:$T$366)/( _xlfn.XLOOKUP(A359,'Team Stats'!$B$2:$B$366,'Team Stats'!$T$2:$T$366)+_xlfn.XLOOKUP(A359,'Team Stats'!$B$2:$B$366,'Team Stats'!$F$2:$F$366)+0.44*_xlfn.XLOOKUP(A359,'Team Stats'!$B$2:$B$366,'Team Stats'!$L$2:$L$366)+_xlfn.XLOOKUP(A359,'Team Stats'!$B$2:$B$366,'Team Stats'!$Q$2:$Q$366))*100</f>
        <v>17.588387211684033</v>
      </c>
      <c r="D359" s="146">
        <f>_xlfn.XLOOKUP(A359,'Team Stats'!$B$2:$B$366,'Team Stats'!$N$2:$N$366)/(_xlfn.XLOOKUP(A359,'Team Stats'!$B$2:$B$366,'Team Stats'!$N$2:$N$366)+_xlfn.XLOOKUP(A359,'Opponents stats vs'!$B$2:$B$366,'Opponents stats vs'!$O$2:$O$366))*100</f>
        <v>32.49211356466877</v>
      </c>
      <c r="E359" s="146">
        <f>_xlfn.XLOOKUP(A359,'Team Stats'!$B$2:$B$366,'Team Stats'!$K$2:$K$366)/_xlfn.XLOOKUP(A359,'Team Stats'!$B$2:$B$366,'Team Stats'!$F$2:$F$366)*100</f>
        <v>20.11173184357542</v>
      </c>
      <c r="F359" s="146">
        <f>_xlfn.XLOOKUP(A359,'Team Stats'!$B$2:$B$366,'Team Stats'!$F$2:$F$366)+0.44*_xlfn.XLOOKUP(A359,'Team Stats'!$B$2:$B$366,'Team Stats'!$L$2:$L$366)+_xlfn.XLOOKUP(A359,'Team Stats'!$B$2:$B$366,'Team Stats'!$T$2:$T$366)-_xlfn.XLOOKUP(A359,'Team Stats'!$B$2:$B$366,'Team Stats'!$N$2:$N$366)</f>
        <v>65.932000000000002</v>
      </c>
      <c r="G359">
        <f>_xlfn.XLOOKUP(A359,'Team Stats'!$B$2:$B$366,'Team Stats'!$D$2:$D$366)/F359</f>
        <v>0.97069708184189774</v>
      </c>
      <c r="H359">
        <f>_xlfn.XLOOKUP(A359,'Team Stats'!$B$2:$B$366,'Team Stats'!$D$2:$D$366)</f>
        <v>64</v>
      </c>
    </row>
    <row r="360" spans="1:8" ht="15" customHeight="1" x14ac:dyDescent="0.25">
      <c r="A360" t="s">
        <v>386</v>
      </c>
      <c r="B360" s="146">
        <f t="array" ref="B360">_xlfn.XLOOKUP(A360,'Team Stats'!$B$2:$B$366,('Team Stats'!$E$2:$E$366+'Team Stats'!$H$2:$H$366/2)/'Team Stats'!$F$2:$F$366)*100</f>
        <v>43.270868824531512</v>
      </c>
      <c r="C360" s="146">
        <f>_xlfn.XLOOKUP(A360,'Team Stats'!$B$2:$B$366,'Team Stats'!$T$2:$T$366)/( _xlfn.XLOOKUP(A360,'Team Stats'!$B$2:$B$366,'Team Stats'!$T$2:$T$366)+_xlfn.XLOOKUP(A360,'Team Stats'!$B$2:$B$366,'Team Stats'!$F$2:$F$366)+0.44*_xlfn.XLOOKUP(A360,'Team Stats'!$B$2:$B$366,'Team Stats'!$L$2:$L$366)+_xlfn.XLOOKUP(A360,'Team Stats'!$B$2:$B$366,'Team Stats'!$Q$2:$Q$366))*100</f>
        <v>12.703597840388367</v>
      </c>
      <c r="D360" s="146">
        <f>_xlfn.XLOOKUP(A360,'Team Stats'!$B$2:$B$366,'Team Stats'!$N$2:$N$366)/(_xlfn.XLOOKUP(A360,'Team Stats'!$B$2:$B$366,'Team Stats'!$N$2:$N$366)+_xlfn.XLOOKUP(A360,'Opponents stats vs'!$B$2:$B$366,'Opponents stats vs'!$O$2:$O$366))*100</f>
        <v>32.898172323759795</v>
      </c>
      <c r="E360" s="146">
        <f>_xlfn.XLOOKUP(A360,'Team Stats'!$B$2:$B$366,'Team Stats'!$K$2:$K$366)/_xlfn.XLOOKUP(A360,'Team Stats'!$B$2:$B$366,'Team Stats'!$F$2:$F$366)*100</f>
        <v>21.465076660988071</v>
      </c>
      <c r="F360" s="146">
        <f>_xlfn.XLOOKUP(A360,'Team Stats'!$B$2:$B$366,'Team Stats'!$F$2:$F$366)+0.44*_xlfn.XLOOKUP(A360,'Team Stats'!$B$2:$B$366,'Team Stats'!$L$2:$L$366)+_xlfn.XLOOKUP(A360,'Team Stats'!$B$2:$B$366,'Team Stats'!$T$2:$T$366)-_xlfn.XLOOKUP(A360,'Team Stats'!$B$2:$B$366,'Team Stats'!$N$2:$N$366)</f>
        <v>65.26400000000001</v>
      </c>
      <c r="G360">
        <f>_xlfn.XLOOKUP(A360,'Team Stats'!$B$2:$B$366,'Team Stats'!$D$2:$D$366)/F360</f>
        <v>0.97143907820544229</v>
      </c>
      <c r="H360">
        <f>_xlfn.XLOOKUP(A360,'Team Stats'!$B$2:$B$366,'Team Stats'!$D$2:$D$366)</f>
        <v>63.4</v>
      </c>
    </row>
    <row r="361" spans="1:8" ht="15" customHeight="1" x14ac:dyDescent="0.25">
      <c r="A361" t="s">
        <v>341</v>
      </c>
      <c r="B361" s="146">
        <f t="array" ref="B361">_xlfn.XLOOKUP(A361,'Team Stats'!$B$2:$B$366,('Team Stats'!$E$2:$E$366+'Team Stats'!$H$2:$H$366/2)/'Team Stats'!$F$2:$F$366)*100</f>
        <v>50.849056603773576</v>
      </c>
      <c r="C361" s="146">
        <f>_xlfn.XLOOKUP(A361,'Team Stats'!$B$2:$B$366,'Team Stats'!$T$2:$T$366)/( _xlfn.XLOOKUP(A361,'Team Stats'!$B$2:$B$366,'Team Stats'!$T$2:$T$366)+_xlfn.XLOOKUP(A361,'Team Stats'!$B$2:$B$366,'Team Stats'!$F$2:$F$366)+0.44*_xlfn.XLOOKUP(A361,'Team Stats'!$B$2:$B$366,'Team Stats'!$L$2:$L$366)+_xlfn.XLOOKUP(A361,'Team Stats'!$B$2:$B$366,'Team Stats'!$Q$2:$Q$366))*100</f>
        <v>14.004613284376029</v>
      </c>
      <c r="D361" s="146">
        <f>_xlfn.XLOOKUP(A361,'Team Stats'!$B$2:$B$366,'Team Stats'!$N$2:$N$366)/(_xlfn.XLOOKUP(A361,'Team Stats'!$B$2:$B$366,'Team Stats'!$N$2:$N$366)+_xlfn.XLOOKUP(A361,'Opponents stats vs'!$B$2:$B$366,'Opponents stats vs'!$O$2:$O$366))*100</f>
        <v>25.477707006369428</v>
      </c>
      <c r="E361" s="146">
        <f>_xlfn.XLOOKUP(A361,'Team Stats'!$B$2:$B$366,'Team Stats'!$K$2:$K$366)/_xlfn.XLOOKUP(A361,'Team Stats'!$B$2:$B$366,'Team Stats'!$F$2:$F$366)*100</f>
        <v>18.867924528301888</v>
      </c>
      <c r="F361" s="146">
        <f>_xlfn.XLOOKUP(A361,'Team Stats'!$B$2:$B$366,'Team Stats'!$F$2:$F$366)+0.44*_xlfn.XLOOKUP(A361,'Team Stats'!$B$2:$B$366,'Team Stats'!$L$2:$L$366)+_xlfn.XLOOKUP(A361,'Team Stats'!$B$2:$B$366,'Team Stats'!$T$2:$T$366)-_xlfn.XLOOKUP(A361,'Team Stats'!$B$2:$B$366,'Team Stats'!$N$2:$N$366)</f>
        <v>62.972000000000008</v>
      </c>
      <c r="G361">
        <f>_xlfn.XLOOKUP(A361,'Team Stats'!$B$2:$B$366,'Team Stats'!$D$2:$D$366)/F361</f>
        <v>1.0147367083783267</v>
      </c>
      <c r="H361">
        <f>_xlfn.XLOOKUP(A361,'Team Stats'!$B$2:$B$366,'Team Stats'!$D$2:$D$366)</f>
        <v>63.9</v>
      </c>
    </row>
    <row r="362" spans="1:8" ht="15" customHeight="1" x14ac:dyDescent="0.25">
      <c r="A362" t="s">
        <v>216</v>
      </c>
      <c r="B362" s="146">
        <f t="array" ref="B362">_xlfn.XLOOKUP(A362,'Team Stats'!$B$2:$B$366,('Team Stats'!$E$2:$E$366+'Team Stats'!$H$2:$H$366/2)/'Team Stats'!$F$2:$F$366)*100</f>
        <v>46.691176470588239</v>
      </c>
      <c r="C362" s="146">
        <f>_xlfn.XLOOKUP(A362,'Team Stats'!$B$2:$B$366,'Team Stats'!$T$2:$T$366)/( _xlfn.XLOOKUP(A362,'Team Stats'!$B$2:$B$366,'Team Stats'!$T$2:$T$366)+_xlfn.XLOOKUP(A362,'Team Stats'!$B$2:$B$366,'Team Stats'!$F$2:$F$366)+0.44*_xlfn.XLOOKUP(A362,'Team Stats'!$B$2:$B$366,'Team Stats'!$L$2:$L$366)+_xlfn.XLOOKUP(A362,'Team Stats'!$B$2:$B$366,'Team Stats'!$Q$2:$Q$366))*100</f>
        <v>14.675973005454379</v>
      </c>
      <c r="D362" s="146">
        <f>_xlfn.XLOOKUP(A362,'Team Stats'!$B$2:$B$366,'Team Stats'!$N$2:$N$366)/(_xlfn.XLOOKUP(A362,'Team Stats'!$B$2:$B$366,'Team Stats'!$N$2:$N$366)+_xlfn.XLOOKUP(A362,'Opponents stats vs'!$B$2:$B$366,'Opponents stats vs'!$O$2:$O$366))*100</f>
        <v>29.597701149425294</v>
      </c>
      <c r="E362" s="146">
        <f>_xlfn.XLOOKUP(A362,'Team Stats'!$B$2:$B$366,'Team Stats'!$K$2:$K$366)/_xlfn.XLOOKUP(A362,'Team Stats'!$B$2:$B$366,'Team Stats'!$F$2:$F$366)*100</f>
        <v>22.426470588235293</v>
      </c>
      <c r="F362" s="146">
        <f>_xlfn.XLOOKUP(A362,'Team Stats'!$B$2:$B$366,'Team Stats'!$F$2:$F$366)+0.44*_xlfn.XLOOKUP(A362,'Team Stats'!$B$2:$B$366,'Team Stats'!$L$2:$L$366)+_xlfn.XLOOKUP(A362,'Team Stats'!$B$2:$B$366,'Team Stats'!$T$2:$T$366)-_xlfn.XLOOKUP(A362,'Team Stats'!$B$2:$B$366,'Team Stats'!$N$2:$N$366)</f>
        <v>64.236000000000004</v>
      </c>
      <c r="G362">
        <f>_xlfn.XLOOKUP(A362,'Team Stats'!$B$2:$B$366,'Team Stats'!$D$2:$D$366)/F362</f>
        <v>0.97920169375428101</v>
      </c>
      <c r="H362">
        <f>_xlfn.XLOOKUP(A362,'Team Stats'!$B$2:$B$366,'Team Stats'!$D$2:$D$366)</f>
        <v>62.9</v>
      </c>
    </row>
    <row r="363" spans="1:8" ht="15" customHeight="1" x14ac:dyDescent="0.25">
      <c r="A363" t="s">
        <v>305</v>
      </c>
      <c r="B363" s="146">
        <f t="array" ref="B363">_xlfn.XLOOKUP(A363,'Team Stats'!$B$2:$B$366,('Team Stats'!$E$2:$E$366+'Team Stats'!$H$2:$H$366/2)/'Team Stats'!$F$2:$F$366)*100</f>
        <v>47.122302158273378</v>
      </c>
      <c r="C363" s="146">
        <f>_xlfn.XLOOKUP(A363,'Team Stats'!$B$2:$B$366,'Team Stats'!$T$2:$T$366)/( _xlfn.XLOOKUP(A363,'Team Stats'!$B$2:$B$366,'Team Stats'!$T$2:$T$366)+_xlfn.XLOOKUP(A363,'Team Stats'!$B$2:$B$366,'Team Stats'!$F$2:$F$366)+0.44*_xlfn.XLOOKUP(A363,'Team Stats'!$B$2:$B$366,'Team Stats'!$L$2:$L$366)+_xlfn.XLOOKUP(A363,'Team Stats'!$B$2:$B$366,'Team Stats'!$Q$2:$Q$366))*100</f>
        <v>12.897062335801291</v>
      </c>
      <c r="D363" s="146">
        <f>_xlfn.XLOOKUP(A363,'Team Stats'!$B$2:$B$366,'Team Stats'!$N$2:$N$366)/(_xlfn.XLOOKUP(A363,'Team Stats'!$B$2:$B$366,'Team Stats'!$N$2:$N$366)+_xlfn.XLOOKUP(A363,'Opponents stats vs'!$B$2:$B$366,'Opponents stats vs'!$O$2:$O$366))*100</f>
        <v>28.323699421965319</v>
      </c>
      <c r="E363" s="146">
        <f>_xlfn.XLOOKUP(A363,'Team Stats'!$B$2:$B$366,'Team Stats'!$K$2:$K$366)/_xlfn.XLOOKUP(A363,'Team Stats'!$B$2:$B$366,'Team Stats'!$F$2:$F$366)*100</f>
        <v>20.143884892086326</v>
      </c>
      <c r="F363" s="146">
        <f>_xlfn.XLOOKUP(A363,'Team Stats'!$B$2:$B$366,'Team Stats'!$F$2:$F$366)+0.44*_xlfn.XLOOKUP(A363,'Team Stats'!$B$2:$B$366,'Team Stats'!$L$2:$L$366)+_xlfn.XLOOKUP(A363,'Team Stats'!$B$2:$B$366,'Team Stats'!$T$2:$T$366)-_xlfn.XLOOKUP(A363,'Team Stats'!$B$2:$B$366,'Team Stats'!$N$2:$N$366)</f>
        <v>63.64</v>
      </c>
      <c r="G363">
        <f>_xlfn.XLOOKUP(A363,'Team Stats'!$B$2:$B$366,'Team Stats'!$D$2:$D$366)/F363</f>
        <v>1.0009428032683847</v>
      </c>
      <c r="H363">
        <f>_xlfn.XLOOKUP(A363,'Team Stats'!$B$2:$B$366,'Team Stats'!$D$2:$D$366)</f>
        <v>63.7</v>
      </c>
    </row>
    <row r="364" spans="1:8" ht="15" customHeight="1" x14ac:dyDescent="0.25">
      <c r="A364" t="s">
        <v>310</v>
      </c>
      <c r="B364" s="146">
        <f t="array" ref="B364">_xlfn.XLOOKUP(A364,'Team Stats'!$B$2:$B$366,('Team Stats'!$E$2:$E$366+'Team Stats'!$H$2:$H$366/2)/'Team Stats'!$F$2:$F$366)*100</f>
        <v>50.499001996007983</v>
      </c>
      <c r="C364" s="146">
        <f>_xlfn.XLOOKUP(A364,'Team Stats'!$B$2:$B$366,'Team Stats'!$T$2:$T$366)/( _xlfn.XLOOKUP(A364,'Team Stats'!$B$2:$B$366,'Team Stats'!$T$2:$T$366)+_xlfn.XLOOKUP(A364,'Team Stats'!$B$2:$B$366,'Team Stats'!$F$2:$F$366)+0.44*_xlfn.XLOOKUP(A364,'Team Stats'!$B$2:$B$366,'Team Stats'!$L$2:$L$366)+_xlfn.XLOOKUP(A364,'Team Stats'!$B$2:$B$366,'Team Stats'!$Q$2:$Q$366))*100</f>
        <v>14.944800655642867</v>
      </c>
      <c r="D364" s="146">
        <f>_xlfn.XLOOKUP(A364,'Team Stats'!$B$2:$B$366,'Team Stats'!$N$2:$N$366)/(_xlfn.XLOOKUP(A364,'Team Stats'!$B$2:$B$366,'Team Stats'!$N$2:$N$366)+_xlfn.XLOOKUP(A364,'Opponents stats vs'!$B$2:$B$366,'Opponents stats vs'!$O$2:$O$366))*100</f>
        <v>19.749216300940436</v>
      </c>
      <c r="E364" s="146">
        <f>_xlfn.XLOOKUP(A364,'Team Stats'!$B$2:$B$366,'Team Stats'!$K$2:$K$366)/_xlfn.XLOOKUP(A364,'Team Stats'!$B$2:$B$366,'Team Stats'!$F$2:$F$366)*100</f>
        <v>23.952095808383234</v>
      </c>
      <c r="F364" s="146">
        <f>_xlfn.XLOOKUP(A364,'Team Stats'!$B$2:$B$366,'Team Stats'!$F$2:$F$366)+0.44*_xlfn.XLOOKUP(A364,'Team Stats'!$B$2:$B$366,'Team Stats'!$L$2:$L$366)+_xlfn.XLOOKUP(A364,'Team Stats'!$B$2:$B$366,'Team Stats'!$T$2:$T$366)-_xlfn.XLOOKUP(A364,'Team Stats'!$B$2:$B$366,'Team Stats'!$N$2:$N$366)</f>
        <v>64.472000000000008</v>
      </c>
      <c r="G364">
        <f>_xlfn.XLOOKUP(A364,'Team Stats'!$B$2:$B$366,'Team Stats'!$D$2:$D$366)/F364</f>
        <v>0.97251520039707151</v>
      </c>
      <c r="H364">
        <f>_xlfn.XLOOKUP(A364,'Team Stats'!$B$2:$B$366,'Team Stats'!$D$2:$D$366)</f>
        <v>62.7</v>
      </c>
    </row>
    <row r="365" spans="1:8" ht="15" customHeight="1" x14ac:dyDescent="0.25">
      <c r="A365" t="s">
        <v>183</v>
      </c>
      <c r="B365" s="146">
        <f t="array" ref="B365">_xlfn.XLOOKUP(A365,'Team Stats'!$B$2:$B$366,('Team Stats'!$E$2:$E$366+'Team Stats'!$H$2:$H$366/2)/'Team Stats'!$F$2:$F$366)*100</f>
        <v>49.411764705882348</v>
      </c>
      <c r="C365" s="146">
        <f>_xlfn.XLOOKUP(A365,'Team Stats'!$B$2:$B$366,'Team Stats'!$T$2:$T$366)/( _xlfn.XLOOKUP(A365,'Team Stats'!$B$2:$B$366,'Team Stats'!$T$2:$T$366)+_xlfn.XLOOKUP(A365,'Team Stats'!$B$2:$B$366,'Team Stats'!$F$2:$F$366)+0.44*_xlfn.XLOOKUP(A365,'Team Stats'!$B$2:$B$366,'Team Stats'!$L$2:$L$366)+_xlfn.XLOOKUP(A365,'Team Stats'!$B$2:$B$366,'Team Stats'!$Q$2:$Q$366))*100</f>
        <v>17.2238405696583</v>
      </c>
      <c r="D365" s="146">
        <f>_xlfn.XLOOKUP(A365,'Team Stats'!$B$2:$B$366,'Team Stats'!$N$2:$N$366)/(_xlfn.XLOOKUP(A365,'Team Stats'!$B$2:$B$366,'Team Stats'!$N$2:$N$366)+_xlfn.XLOOKUP(A365,'Opponents stats vs'!$B$2:$B$366,'Opponents stats vs'!$O$2:$O$366))*100</f>
        <v>21.846153846153847</v>
      </c>
      <c r="E365" s="146">
        <f>_xlfn.XLOOKUP(A365,'Team Stats'!$B$2:$B$366,'Team Stats'!$K$2:$K$366)/_xlfn.XLOOKUP(A365,'Team Stats'!$B$2:$B$366,'Team Stats'!$F$2:$F$366)*100</f>
        <v>22.941176470588236</v>
      </c>
      <c r="F365" s="146">
        <f>_xlfn.XLOOKUP(A365,'Team Stats'!$B$2:$B$366,'Team Stats'!$F$2:$F$366)+0.44*_xlfn.XLOOKUP(A365,'Team Stats'!$B$2:$B$366,'Team Stats'!$L$2:$L$366)+_xlfn.XLOOKUP(A365,'Team Stats'!$B$2:$B$366,'Team Stats'!$T$2:$T$366)-_xlfn.XLOOKUP(A365,'Team Stats'!$B$2:$B$366,'Team Stats'!$N$2:$N$366)</f>
        <v>66.808000000000007</v>
      </c>
      <c r="G365">
        <f>_xlfn.XLOOKUP(A365,'Team Stats'!$B$2:$B$366,'Team Stats'!$D$2:$D$366)/F365</f>
        <v>0.93102622440426286</v>
      </c>
      <c r="H365">
        <f>_xlfn.XLOOKUP(A365,'Team Stats'!$B$2:$B$366,'Team Stats'!$D$2:$D$366)</f>
        <v>62.2</v>
      </c>
    </row>
    <row r="366" spans="1:8" ht="15" customHeight="1" x14ac:dyDescent="0.25">
      <c r="A366" t="s">
        <v>240</v>
      </c>
      <c r="B366" s="146">
        <f t="array" ref="B366">_xlfn.XLOOKUP(A366,'Team Stats'!$B$2:$B$366,('Team Stats'!$E$2:$E$366+'Team Stats'!$H$2:$H$366/2)/'Team Stats'!$F$2:$F$366)*100</f>
        <v>43.705035971223019</v>
      </c>
      <c r="C366" s="146">
        <f>_xlfn.XLOOKUP(A366,'Team Stats'!$B$2:$B$366,'Team Stats'!$T$2:$T$366)/( _xlfn.XLOOKUP(A366,'Team Stats'!$B$2:$B$366,'Team Stats'!$T$2:$T$366)+_xlfn.XLOOKUP(A366,'Team Stats'!$B$2:$B$366,'Team Stats'!$F$2:$F$366)+0.44*_xlfn.XLOOKUP(A366,'Team Stats'!$B$2:$B$366,'Team Stats'!$L$2:$L$366)+_xlfn.XLOOKUP(A366,'Team Stats'!$B$2:$B$366,'Team Stats'!$Q$2:$Q$366))*100</f>
        <v>15.034660056006977</v>
      </c>
      <c r="D366" s="146">
        <f>_xlfn.XLOOKUP(A366,'Team Stats'!$B$2:$B$366,'Team Stats'!$N$2:$N$366)/(_xlfn.XLOOKUP(A366,'Team Stats'!$B$2:$B$366,'Team Stats'!$N$2:$N$366)+_xlfn.XLOOKUP(A366,'Opponents stats vs'!$B$2:$B$366,'Opponents stats vs'!$O$2:$O$366))*100</f>
        <v>27.762039660056658</v>
      </c>
      <c r="E366" s="146">
        <f>_xlfn.XLOOKUP(A366,'Team Stats'!$B$2:$B$366,'Team Stats'!$K$2:$K$366)/_xlfn.XLOOKUP(A366,'Team Stats'!$B$2:$B$366,'Team Stats'!$F$2:$F$366)*100</f>
        <v>22.122302158273381</v>
      </c>
      <c r="F366" s="146">
        <f>_xlfn.XLOOKUP(A366,'Team Stats'!$B$2:$B$366,'Team Stats'!$F$2:$F$366)+0.44*_xlfn.XLOOKUP(A366,'Team Stats'!$B$2:$B$366,'Team Stats'!$L$2:$L$366)+_xlfn.XLOOKUP(A366,'Team Stats'!$B$2:$B$366,'Team Stats'!$T$2:$T$366)-_xlfn.XLOOKUP(A366,'Team Stats'!$B$2:$B$366,'Team Stats'!$N$2:$N$366)</f>
        <v>66.731999999999999</v>
      </c>
      <c r="G366">
        <f>_xlfn.XLOOKUP(A366,'Team Stats'!$B$2:$B$366,'Team Stats'!$D$2:$D$366)/F366</f>
        <v>0.91410417790565246</v>
      </c>
      <c r="H366">
        <f>_xlfn.XLOOKUP(A366,'Team Stats'!$B$2:$B$366,'Team Stats'!$D$2:$D$366)</f>
        <v>61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50"/>
  <sheetViews>
    <sheetView zoomScaleNormal="100" workbookViewId="0">
      <selection activeCell="E33" sqref="E33"/>
    </sheetView>
  </sheetViews>
  <sheetFormatPr defaultColWidth="8.5703125" defaultRowHeight="15" x14ac:dyDescent="0.25"/>
  <cols>
    <col min="1" max="1" width="30" customWidth="1"/>
    <col min="2" max="3" width="15" customWidth="1"/>
    <col min="4" max="4" width="50" customWidth="1"/>
  </cols>
  <sheetData>
    <row r="1" spans="1:4" ht="15.75" customHeight="1" x14ac:dyDescent="0.25">
      <c r="A1" s="205" t="s">
        <v>704</v>
      </c>
    </row>
    <row r="3" spans="1:4" ht="15.75" customHeight="1" x14ac:dyDescent="0.25">
      <c r="A3" s="205" t="s">
        <v>705</v>
      </c>
    </row>
    <row r="5" spans="1:4" ht="15" customHeight="1" x14ac:dyDescent="0.25">
      <c r="A5" s="206" t="s">
        <v>596</v>
      </c>
      <c r="B5" s="206" t="s">
        <v>706</v>
      </c>
      <c r="C5" s="206" t="s">
        <v>707</v>
      </c>
      <c r="D5" s="206" t="s">
        <v>708</v>
      </c>
    </row>
    <row r="6" spans="1:4" ht="15" customHeight="1" x14ac:dyDescent="0.25">
      <c r="A6" t="s">
        <v>709</v>
      </c>
      <c r="B6" t="s">
        <v>710</v>
      </c>
      <c r="C6" t="s">
        <v>711</v>
      </c>
      <c r="D6" t="s">
        <v>712</v>
      </c>
    </row>
    <row r="7" spans="1:4" ht="15" customHeight="1" x14ac:dyDescent="0.25">
      <c r="A7" t="s">
        <v>713</v>
      </c>
      <c r="B7" t="s">
        <v>714</v>
      </c>
      <c r="C7" t="s">
        <v>714</v>
      </c>
      <c r="D7" t="s">
        <v>715</v>
      </c>
    </row>
    <row r="8" spans="1:4" ht="15" customHeight="1" x14ac:dyDescent="0.25">
      <c r="A8" t="s">
        <v>716</v>
      </c>
      <c r="B8" t="s">
        <v>717</v>
      </c>
      <c r="C8" t="s">
        <v>718</v>
      </c>
      <c r="D8" t="s">
        <v>719</v>
      </c>
    </row>
    <row r="9" spans="1:4" ht="15" customHeight="1" x14ac:dyDescent="0.25">
      <c r="A9" t="s">
        <v>720</v>
      </c>
      <c r="B9" t="s">
        <v>721</v>
      </c>
      <c r="C9" t="s">
        <v>722</v>
      </c>
      <c r="D9" t="s">
        <v>723</v>
      </c>
    </row>
    <row r="10" spans="1:4" ht="15" customHeight="1" x14ac:dyDescent="0.25">
      <c r="A10" t="s">
        <v>724</v>
      </c>
      <c r="B10" t="s">
        <v>725</v>
      </c>
      <c r="C10" t="s">
        <v>726</v>
      </c>
      <c r="D10" t="s">
        <v>727</v>
      </c>
    </row>
    <row r="12" spans="1:4" ht="15.75" customHeight="1" x14ac:dyDescent="0.25">
      <c r="A12" s="205" t="s">
        <v>728</v>
      </c>
    </row>
    <row r="14" spans="1:4" ht="15" customHeight="1" x14ac:dyDescent="0.25">
      <c r="A14" s="206" t="s">
        <v>565</v>
      </c>
      <c r="B14" s="206" t="s">
        <v>706</v>
      </c>
      <c r="C14" s="206" t="s">
        <v>729</v>
      </c>
      <c r="D14" s="206" t="s">
        <v>730</v>
      </c>
    </row>
    <row r="15" spans="1:4" ht="15" customHeight="1" x14ac:dyDescent="0.25">
      <c r="A15" t="s">
        <v>569</v>
      </c>
      <c r="B15" t="s">
        <v>731</v>
      </c>
      <c r="C15" t="s">
        <v>732</v>
      </c>
      <c r="D15" t="s">
        <v>733</v>
      </c>
    </row>
    <row r="16" spans="1:4" ht="15" customHeight="1" x14ac:dyDescent="0.25">
      <c r="A16" t="s">
        <v>573</v>
      </c>
      <c r="B16" t="s">
        <v>734</v>
      </c>
      <c r="C16" t="s">
        <v>735</v>
      </c>
      <c r="D16" t="s">
        <v>736</v>
      </c>
    </row>
    <row r="17" spans="1:4" ht="15" customHeight="1" x14ac:dyDescent="0.25">
      <c r="A17" t="s">
        <v>140</v>
      </c>
      <c r="B17" t="s">
        <v>737</v>
      </c>
      <c r="C17" t="s">
        <v>738</v>
      </c>
      <c r="D17" t="s">
        <v>739</v>
      </c>
    </row>
    <row r="18" spans="1:4" ht="15" customHeight="1" x14ac:dyDescent="0.25">
      <c r="A18" t="s">
        <v>583</v>
      </c>
      <c r="B18" t="s">
        <v>740</v>
      </c>
      <c r="C18" t="s">
        <v>740</v>
      </c>
      <c r="D18" t="s">
        <v>741</v>
      </c>
    </row>
    <row r="19" spans="1:4" ht="15" customHeight="1" x14ac:dyDescent="0.25">
      <c r="A19" t="s">
        <v>142</v>
      </c>
      <c r="B19" t="s">
        <v>742</v>
      </c>
      <c r="C19" t="s">
        <v>743</v>
      </c>
      <c r="D19" t="s">
        <v>744</v>
      </c>
    </row>
    <row r="21" spans="1:4" ht="15.75" customHeight="1" x14ac:dyDescent="0.25">
      <c r="A21" s="205" t="s">
        <v>745</v>
      </c>
    </row>
    <row r="23" spans="1:4" ht="15" customHeight="1" x14ac:dyDescent="0.25">
      <c r="A23" t="s">
        <v>746</v>
      </c>
    </row>
    <row r="24" spans="1:4" ht="15" customHeight="1" x14ac:dyDescent="0.25">
      <c r="A24" t="s">
        <v>747</v>
      </c>
    </row>
    <row r="26" spans="1:4" ht="15" customHeight="1" x14ac:dyDescent="0.25">
      <c r="A26" t="s">
        <v>748</v>
      </c>
    </row>
    <row r="27" spans="1:4" ht="15" customHeight="1" x14ac:dyDescent="0.25">
      <c r="A27" t="s">
        <v>749</v>
      </c>
    </row>
    <row r="29" spans="1:4" ht="15" customHeight="1" x14ac:dyDescent="0.25">
      <c r="A29" t="s">
        <v>750</v>
      </c>
    </row>
    <row r="30" spans="1:4" ht="15" customHeight="1" x14ac:dyDescent="0.25">
      <c r="A30" t="s">
        <v>751</v>
      </c>
    </row>
    <row r="31" spans="1:4" ht="15" customHeight="1" x14ac:dyDescent="0.25">
      <c r="A31" t="s">
        <v>752</v>
      </c>
    </row>
    <row r="33" spans="1:1" ht="15" customHeight="1" x14ac:dyDescent="0.25">
      <c r="A33" t="s">
        <v>753</v>
      </c>
    </row>
    <row r="34" spans="1:1" ht="15.75" customHeight="1" x14ac:dyDescent="0.25">
      <c r="A34" s="205" t="s">
        <v>754</v>
      </c>
    </row>
    <row r="35" spans="1:1" ht="15" customHeight="1" x14ac:dyDescent="0.25">
      <c r="A35" t="s">
        <v>755</v>
      </c>
    </row>
    <row r="37" spans="1:1" ht="15" customHeight="1" x14ac:dyDescent="0.25">
      <c r="A37" t="s">
        <v>756</v>
      </c>
    </row>
    <row r="38" spans="1:1" ht="15" customHeight="1" x14ac:dyDescent="0.25">
      <c r="A38" t="s">
        <v>757</v>
      </c>
    </row>
    <row r="39" spans="1:1" ht="15" customHeight="1" x14ac:dyDescent="0.25">
      <c r="A39" t="s">
        <v>758</v>
      </c>
    </row>
    <row r="40" spans="1:1" ht="15" customHeight="1" x14ac:dyDescent="0.25">
      <c r="A40" t="s">
        <v>759</v>
      </c>
    </row>
    <row r="41" spans="1:1" ht="15" customHeight="1" x14ac:dyDescent="0.25">
      <c r="A41" t="s">
        <v>760</v>
      </c>
    </row>
    <row r="42" spans="1:1" ht="15" customHeight="1" x14ac:dyDescent="0.25">
      <c r="A42" t="s">
        <v>761</v>
      </c>
    </row>
    <row r="43" spans="1:1" ht="15" customHeight="1" x14ac:dyDescent="0.25">
      <c r="A43" t="s">
        <v>762</v>
      </c>
    </row>
    <row r="45" spans="1:1" ht="15" customHeight="1" x14ac:dyDescent="0.25">
      <c r="A45" t="s">
        <v>763</v>
      </c>
    </row>
    <row r="47" spans="1:1" ht="15" customHeight="1" x14ac:dyDescent="0.25">
      <c r="A47" t="s">
        <v>764</v>
      </c>
    </row>
    <row r="48" spans="1:1" ht="15" customHeight="1" x14ac:dyDescent="0.25">
      <c r="A48" t="s">
        <v>765</v>
      </c>
    </row>
    <row r="49" spans="1:1" ht="15" customHeight="1" x14ac:dyDescent="0.25">
      <c r="A49" t="s">
        <v>766</v>
      </c>
    </row>
    <row r="50" spans="1:1" ht="15" customHeight="1" x14ac:dyDescent="0.25">
      <c r="A50" t="s">
        <v>767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T162"/>
  <sheetViews>
    <sheetView workbookViewId="0">
      <pane ySplit="3" topLeftCell="A85" activePane="bottomLeft" state="frozen"/>
      <selection pane="bottomLeft" activeCell="H101" sqref="H101"/>
    </sheetView>
  </sheetViews>
  <sheetFormatPr defaultRowHeight="15" outlineLevelCol="2" x14ac:dyDescent="0.25"/>
  <cols>
    <col min="1" max="1" width="38.140625" customWidth="1"/>
    <col min="2" max="5" width="17.140625" customWidth="1"/>
    <col min="6" max="6" width="13.28515625" customWidth="1"/>
    <col min="7" max="11" width="21.85546875" customWidth="1"/>
    <col min="14" max="20" width="9.140625" customWidth="1" outlineLevel="2"/>
  </cols>
  <sheetData>
    <row r="1" spans="1:20" ht="18.75" customHeight="1" x14ac:dyDescent="0.3">
      <c r="A1" s="235" t="s">
        <v>768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N1" s="250" t="s">
        <v>769</v>
      </c>
      <c r="O1" s="250" t="s">
        <v>770</v>
      </c>
      <c r="P1" s="250" t="s">
        <v>771</v>
      </c>
      <c r="R1" s="250" t="s">
        <v>772</v>
      </c>
      <c r="S1" s="250" t="s">
        <v>773</v>
      </c>
      <c r="T1" s="250" t="s">
        <v>774</v>
      </c>
    </row>
    <row r="2" spans="1:20" x14ac:dyDescent="0.25">
      <c r="A2" s="237" t="s">
        <v>775</v>
      </c>
      <c r="E2" s="236"/>
      <c r="F2" s="236"/>
      <c r="G2" s="236"/>
      <c r="H2" s="236"/>
      <c r="I2" s="236"/>
      <c r="J2" s="236"/>
      <c r="K2" s="236"/>
      <c r="N2" t="str">
        <f>'📋 Bracket Input'!D6</f>
        <v>Howard Bison</v>
      </c>
      <c r="O2">
        <f>'📋 Bracket Input'!C6</f>
        <v>16</v>
      </c>
      <c r="P2" t="str">
        <f>'📋 Bracket Input'!A6</f>
        <v>EAST</v>
      </c>
      <c r="R2" t="str">
        <f>'SOR bracket'!D5</f>
        <v>George Mason Patriots</v>
      </c>
      <c r="S2">
        <f>'SOR bracket'!C5</f>
        <v>16</v>
      </c>
      <c r="T2" t="str">
        <f>'SOR bracket'!A5</f>
        <v>EAST</v>
      </c>
    </row>
    <row r="3" spans="1:20" x14ac:dyDescent="0.25">
      <c r="A3" s="237"/>
      <c r="N3" t="str">
        <f>'📋 Bracket Input'!G6</f>
        <v>UMBC Retrievers</v>
      </c>
      <c r="O3">
        <f>'📋 Bracket Input'!F6</f>
        <v>16</v>
      </c>
      <c r="P3" t="str">
        <f>'📋 Bracket Input'!A6</f>
        <v>EAST</v>
      </c>
      <c r="R3" t="str">
        <f>'SOR bracket'!G5</f>
        <v>Colorado Buffaloes</v>
      </c>
      <c r="S3">
        <f>'SOR bracket'!F5</f>
        <v>16</v>
      </c>
      <c r="T3" t="str">
        <f>'SOR bracket'!A5</f>
        <v>EAST</v>
      </c>
    </row>
    <row r="4" spans="1:20" x14ac:dyDescent="0.25">
      <c r="A4" s="239" t="s">
        <v>627</v>
      </c>
      <c r="B4" s="239" t="s">
        <v>776</v>
      </c>
      <c r="C4" s="239" t="s">
        <v>777</v>
      </c>
      <c r="D4" s="239" t="s">
        <v>778</v>
      </c>
      <c r="E4" s="239" t="s">
        <v>779</v>
      </c>
      <c r="F4" s="239" t="s">
        <v>780</v>
      </c>
      <c r="G4" s="239" t="s">
        <v>781</v>
      </c>
      <c r="H4" s="239" t="s">
        <v>782</v>
      </c>
      <c r="I4" s="239" t="s">
        <v>783</v>
      </c>
      <c r="J4" s="239" t="s">
        <v>784</v>
      </c>
      <c r="K4" s="239" t="s">
        <v>785</v>
      </c>
      <c r="N4" t="str">
        <f>'📋 Bracket Input'!D7</f>
        <v>Duke Blue Devils</v>
      </c>
      <c r="O4">
        <f>'📋 Bracket Input'!C7</f>
        <v>1</v>
      </c>
      <c r="P4" t="str">
        <f>'📋 Bracket Input'!A7</f>
        <v>EAST</v>
      </c>
      <c r="R4" t="str">
        <f>'SOR bracket'!D6</f>
        <v>Michigan Wolverines</v>
      </c>
      <c r="S4">
        <f>'SOR bracket'!C6</f>
        <v>1</v>
      </c>
      <c r="T4" t="str">
        <f>'SOR bracket'!A6</f>
        <v>EAST</v>
      </c>
    </row>
    <row r="5" spans="1:20" x14ac:dyDescent="0.25">
      <c r="A5" t="str">
        <f t="shared" ref="A5:A36" si="0">N2</f>
        <v>Howard Bison</v>
      </c>
      <c r="B5">
        <f t="shared" ref="B5:B36" si="1">O2</f>
        <v>16</v>
      </c>
      <c r="C5" t="str">
        <f t="shared" ref="C5:C36" si="2">P2</f>
        <v>EAST</v>
      </c>
      <c r="D5" t="str">
        <f t="shared" ref="D5:D36" si="3">IFERROR(_xlfn.XLOOKUP(A5,$R$2:$R$69,$S$2:$S$69),"")</f>
        <v/>
      </c>
      <c r="E5" t="str">
        <f t="shared" ref="E5:E36" si="4">IFERROR(_xlfn.XLOOKUP(A5,$R$2:$R$69,$T$2:$T$69),"")</f>
        <v/>
      </c>
      <c r="F5" t="str">
        <f t="shared" ref="F5:F36" si="5">IF(AND(D5&lt;&gt;"",B5&lt;&gt;""),B5-D5,"")</f>
        <v/>
      </c>
      <c r="G5" t="str">
        <f t="shared" ref="G5:G36" si="6">IF(F5="","Not in SOR",IF(F5&gt;0,"⬆ Overseeded",IF(F5&lt;0,"⬇ Underseeded","✅ Match")))</f>
        <v>Not in SOR</v>
      </c>
      <c r="H5" t="str">
        <f t="shared" ref="H5:H36" si="7">IF(AND(C5&lt;&gt;"",E5&lt;&gt;""),IF(C5&lt;&gt;E5,"Yes","No"),"")</f>
        <v/>
      </c>
      <c r="I5" t="str">
        <f t="shared" ref="I5:I36" si="8">IF(F5="","",IF(ABS(F5)&gt;=2,"⚠️ YES","No"))</f>
        <v/>
      </c>
      <c r="J5" t="str">
        <f t="shared" ref="J5:J36" si="9">IF(F5="","🔵 Actual only",IF(ABS(F5)&gt;=3,"🔴 Major Mismatch",IF(ABS(F5)&gt;=2,"🟡 Notable",IF(ABS(F5)&gt;=1,"🟠 Minor","✅ Aligned"))))</f>
        <v>🔵 Actual only</v>
      </c>
      <c r="K5" t="str">
        <f t="shared" ref="K5:K36" si="10">IF(ISNUMBER(MATCH(A5,$R$2:$R$69,0)),"Yes","No")</f>
        <v>No</v>
      </c>
      <c r="N5" t="str">
        <f>'📋 Bracket Input'!D8</f>
        <v>UCF Knights</v>
      </c>
      <c r="O5">
        <f>'📋 Bracket Input'!C8</f>
        <v>8</v>
      </c>
      <c r="P5" t="str">
        <f>'📋 Bracket Input'!A8</f>
        <v>EAST</v>
      </c>
      <c r="R5" t="str">
        <f>'SOR bracket'!D7</f>
        <v>Santa Clara Broncos</v>
      </c>
      <c r="S5">
        <f>'SOR bracket'!C7</f>
        <v>8</v>
      </c>
      <c r="T5" t="str">
        <f>'SOR bracket'!A7</f>
        <v>EAST</v>
      </c>
    </row>
    <row r="6" spans="1:20" x14ac:dyDescent="0.25">
      <c r="A6" t="str">
        <f t="shared" si="0"/>
        <v>UMBC Retrievers</v>
      </c>
      <c r="B6">
        <f t="shared" si="1"/>
        <v>16</v>
      </c>
      <c r="C6" t="str">
        <f t="shared" si="2"/>
        <v>EAST</v>
      </c>
      <c r="D6" t="str">
        <f t="shared" si="3"/>
        <v/>
      </c>
      <c r="E6" t="str">
        <f t="shared" si="4"/>
        <v/>
      </c>
      <c r="F6" t="str">
        <f t="shared" si="5"/>
        <v/>
      </c>
      <c r="G6" t="str">
        <f t="shared" si="6"/>
        <v>Not in SOR</v>
      </c>
      <c r="H6" t="str">
        <f t="shared" si="7"/>
        <v/>
      </c>
      <c r="I6" t="str">
        <f t="shared" si="8"/>
        <v/>
      </c>
      <c r="J6" t="str">
        <f t="shared" si="9"/>
        <v>🔵 Actual only</v>
      </c>
      <c r="K6" t="str">
        <f t="shared" si="10"/>
        <v>No</v>
      </c>
      <c r="N6" t="str">
        <f>'📋 Bracket Input'!G8</f>
        <v>Missouri Tigers</v>
      </c>
      <c r="O6">
        <f>'📋 Bracket Input'!F8</f>
        <v>9</v>
      </c>
      <c r="P6" t="str">
        <f>'📋 Bracket Input'!A8</f>
        <v>EAST</v>
      </c>
      <c r="R6" t="str">
        <f>'SOR bracket'!G7</f>
        <v>Miami Hurricanes</v>
      </c>
      <c r="S6">
        <f>'SOR bracket'!F7</f>
        <v>9</v>
      </c>
      <c r="T6" t="str">
        <f>'SOR bracket'!A7</f>
        <v>EAST</v>
      </c>
    </row>
    <row r="7" spans="1:20" x14ac:dyDescent="0.25">
      <c r="A7" t="str">
        <f t="shared" si="0"/>
        <v>Duke Blue Devils</v>
      </c>
      <c r="B7">
        <f t="shared" si="1"/>
        <v>1</v>
      </c>
      <c r="C7" t="str">
        <f t="shared" si="2"/>
        <v>EAST</v>
      </c>
      <c r="D7">
        <f t="shared" si="3"/>
        <v>1</v>
      </c>
      <c r="E7" t="str">
        <f t="shared" si="4"/>
        <v>SOUTH</v>
      </c>
      <c r="F7">
        <f t="shared" si="5"/>
        <v>0</v>
      </c>
      <c r="G7" t="str">
        <f t="shared" si="6"/>
        <v>✅ Match</v>
      </c>
      <c r="H7" t="str">
        <f t="shared" si="7"/>
        <v>Yes</v>
      </c>
      <c r="I7" t="str">
        <f t="shared" si="8"/>
        <v>No</v>
      </c>
      <c r="J7" t="str">
        <f t="shared" si="9"/>
        <v>✅ Aligned</v>
      </c>
      <c r="K7" t="str">
        <f t="shared" si="10"/>
        <v>Yes</v>
      </c>
      <c r="N7" t="str">
        <f>'📋 Bracket Input'!D9</f>
        <v>Vanderbilt Commodores</v>
      </c>
      <c r="O7">
        <f>'📋 Bracket Input'!C9</f>
        <v>5</v>
      </c>
      <c r="P7" t="str">
        <f>'📋 Bracket Input'!A9</f>
        <v>EAST</v>
      </c>
      <c r="R7" t="str">
        <f>'SOR bracket'!D8</f>
        <v>Kansas Jayhawks</v>
      </c>
      <c r="S7">
        <f>'SOR bracket'!C8</f>
        <v>5</v>
      </c>
      <c r="T7" t="str">
        <f>'SOR bracket'!A8</f>
        <v>EAST</v>
      </c>
    </row>
    <row r="8" spans="1:20" x14ac:dyDescent="0.25">
      <c r="A8" t="str">
        <f t="shared" si="0"/>
        <v>UCF Knights</v>
      </c>
      <c r="B8">
        <f t="shared" si="1"/>
        <v>8</v>
      </c>
      <c r="C8" t="str">
        <f t="shared" si="2"/>
        <v>EAST</v>
      </c>
      <c r="D8">
        <f t="shared" si="3"/>
        <v>8</v>
      </c>
      <c r="E8" t="str">
        <f t="shared" si="4"/>
        <v>MIDWEST</v>
      </c>
      <c r="F8">
        <f t="shared" si="5"/>
        <v>0</v>
      </c>
      <c r="G8" t="str">
        <f t="shared" si="6"/>
        <v>✅ Match</v>
      </c>
      <c r="H8" t="str">
        <f t="shared" si="7"/>
        <v>Yes</v>
      </c>
      <c r="I8" t="str">
        <f t="shared" si="8"/>
        <v>No</v>
      </c>
      <c r="J8" t="str">
        <f t="shared" si="9"/>
        <v>✅ Aligned</v>
      </c>
      <c r="K8" t="str">
        <f t="shared" si="10"/>
        <v>Yes</v>
      </c>
      <c r="N8" t="str">
        <f>'📋 Bracket Input'!G9</f>
        <v>Liberty Flames</v>
      </c>
      <c r="O8">
        <f>'📋 Bracket Input'!F9</f>
        <v>12</v>
      </c>
      <c r="P8" t="str">
        <f>'📋 Bracket Input'!A9</f>
        <v>EAST</v>
      </c>
      <c r="R8" t="str">
        <f>'SOR bracket'!G8</f>
        <v>Arizona State Sun Devils</v>
      </c>
      <c r="S8">
        <f>'SOR bracket'!F8</f>
        <v>12</v>
      </c>
      <c r="T8" t="str">
        <f>'SOR bracket'!A8</f>
        <v>EAST</v>
      </c>
    </row>
    <row r="9" spans="1:20" x14ac:dyDescent="0.25">
      <c r="A9" t="str">
        <f t="shared" si="0"/>
        <v>Missouri Tigers</v>
      </c>
      <c r="B9">
        <f t="shared" si="1"/>
        <v>9</v>
      </c>
      <c r="C9" t="str">
        <f t="shared" si="2"/>
        <v>EAST</v>
      </c>
      <c r="D9">
        <f t="shared" si="3"/>
        <v>10</v>
      </c>
      <c r="E9" t="str">
        <f t="shared" si="4"/>
        <v>EAST</v>
      </c>
      <c r="F9">
        <f t="shared" si="5"/>
        <v>-1</v>
      </c>
      <c r="G9" t="str">
        <f t="shared" si="6"/>
        <v>⬇ Underseeded</v>
      </c>
      <c r="H9" t="str">
        <f t="shared" si="7"/>
        <v>No</v>
      </c>
      <c r="I9" t="str">
        <f t="shared" si="8"/>
        <v>No</v>
      </c>
      <c r="J9" t="str">
        <f t="shared" si="9"/>
        <v>🟠 Minor</v>
      </c>
      <c r="K9" t="str">
        <f t="shared" si="10"/>
        <v>Yes</v>
      </c>
      <c r="N9" t="str">
        <f>'📋 Bracket Input'!D10</f>
        <v>Gonzaga Bulldogs</v>
      </c>
      <c r="O9">
        <f>'📋 Bracket Input'!C10</f>
        <v>4</v>
      </c>
      <c r="P9" t="str">
        <f>'📋 Bracket Input'!A10</f>
        <v>EAST</v>
      </c>
      <c r="R9" t="str">
        <f>'SOR bracket'!D9</f>
        <v>Gonzaga Bulldogs</v>
      </c>
      <c r="S9">
        <f>'SOR bracket'!C9</f>
        <v>4</v>
      </c>
      <c r="T9" t="str">
        <f>'SOR bracket'!A9</f>
        <v>EAST</v>
      </c>
    </row>
    <row r="10" spans="1:20" x14ac:dyDescent="0.25">
      <c r="A10" t="str">
        <f t="shared" si="0"/>
        <v>Vanderbilt Commodores</v>
      </c>
      <c r="B10">
        <f t="shared" si="1"/>
        <v>5</v>
      </c>
      <c r="C10" t="str">
        <f t="shared" si="2"/>
        <v>EAST</v>
      </c>
      <c r="D10">
        <f t="shared" si="3"/>
        <v>3</v>
      </c>
      <c r="E10" t="str">
        <f t="shared" si="4"/>
        <v>EAST</v>
      </c>
      <c r="F10">
        <f t="shared" si="5"/>
        <v>2</v>
      </c>
      <c r="G10" t="str">
        <f t="shared" si="6"/>
        <v>⬆ Overseeded</v>
      </c>
      <c r="H10" t="str">
        <f t="shared" si="7"/>
        <v>No</v>
      </c>
      <c r="I10" t="str">
        <f t="shared" si="8"/>
        <v>⚠️ YES</v>
      </c>
      <c r="J10" t="str">
        <f t="shared" si="9"/>
        <v>🟡 Notable</v>
      </c>
      <c r="K10" t="str">
        <f t="shared" si="10"/>
        <v>Yes</v>
      </c>
      <c r="N10" t="str">
        <f>'📋 Bracket Input'!G10</f>
        <v>Stephen F. Austin Lumberjacks</v>
      </c>
      <c r="O10">
        <f>'📋 Bracket Input'!F10</f>
        <v>13</v>
      </c>
      <c r="P10" t="str">
        <f>'📋 Bracket Input'!A10</f>
        <v>EAST</v>
      </c>
      <c r="R10" t="str">
        <f>'SOR bracket'!G9</f>
        <v>Seton Hall Pirates</v>
      </c>
      <c r="S10">
        <f>'SOR bracket'!F9</f>
        <v>13</v>
      </c>
      <c r="T10" t="str">
        <f>'SOR bracket'!A9</f>
        <v>EAST</v>
      </c>
    </row>
    <row r="11" spans="1:20" x14ac:dyDescent="0.25">
      <c r="A11" t="str">
        <f t="shared" si="0"/>
        <v>Liberty Flames</v>
      </c>
      <c r="B11">
        <f t="shared" si="1"/>
        <v>12</v>
      </c>
      <c r="C11" t="str">
        <f t="shared" si="2"/>
        <v>EAST</v>
      </c>
      <c r="D11" t="str">
        <f t="shared" si="3"/>
        <v/>
      </c>
      <c r="E11" t="str">
        <f t="shared" si="4"/>
        <v/>
      </c>
      <c r="F11" t="str">
        <f t="shared" si="5"/>
        <v/>
      </c>
      <c r="G11" t="str">
        <f t="shared" si="6"/>
        <v>Not in SOR</v>
      </c>
      <c r="H11" t="str">
        <f t="shared" si="7"/>
        <v/>
      </c>
      <c r="I11" t="str">
        <f t="shared" si="8"/>
        <v/>
      </c>
      <c r="J11" t="str">
        <f t="shared" si="9"/>
        <v>🔵 Actual only</v>
      </c>
      <c r="K11" t="str">
        <f t="shared" si="10"/>
        <v>No</v>
      </c>
      <c r="N11" t="str">
        <f>'📋 Bracket Input'!D11</f>
        <v>Louisville Cardinals</v>
      </c>
      <c r="O11">
        <f>'📋 Bracket Input'!C11</f>
        <v>6</v>
      </c>
      <c r="P11" t="str">
        <f>'📋 Bracket Input'!A11</f>
        <v>EAST</v>
      </c>
      <c r="R11" t="str">
        <f>'SOR bracket'!D10</f>
        <v>Wisconsin Badgers</v>
      </c>
      <c r="S11">
        <f>'SOR bracket'!C10</f>
        <v>6</v>
      </c>
      <c r="T11" t="str">
        <f>'SOR bracket'!A10</f>
        <v>EAST</v>
      </c>
    </row>
    <row r="12" spans="1:20" x14ac:dyDescent="0.25">
      <c r="A12" t="str">
        <f t="shared" si="0"/>
        <v>Gonzaga Bulldogs</v>
      </c>
      <c r="B12">
        <f t="shared" si="1"/>
        <v>4</v>
      </c>
      <c r="C12" t="str">
        <f t="shared" si="2"/>
        <v>EAST</v>
      </c>
      <c r="D12">
        <f t="shared" si="3"/>
        <v>4</v>
      </c>
      <c r="E12" t="str">
        <f t="shared" si="4"/>
        <v>EAST</v>
      </c>
      <c r="F12">
        <f t="shared" si="5"/>
        <v>0</v>
      </c>
      <c r="G12" t="str">
        <f t="shared" si="6"/>
        <v>✅ Match</v>
      </c>
      <c r="H12" t="str">
        <f t="shared" si="7"/>
        <v>No</v>
      </c>
      <c r="I12" t="str">
        <f t="shared" si="8"/>
        <v>No</v>
      </c>
      <c r="J12" t="str">
        <f t="shared" si="9"/>
        <v>✅ Aligned</v>
      </c>
      <c r="K12" t="str">
        <f t="shared" si="10"/>
        <v>Yes</v>
      </c>
      <c r="N12" t="str">
        <f>'📋 Bracket Input'!G11</f>
        <v>Miami (OH) RedHawks</v>
      </c>
      <c r="O12">
        <f>'📋 Bracket Input'!F11</f>
        <v>11</v>
      </c>
      <c r="P12" t="str">
        <f>'📋 Bracket Input'!A11</f>
        <v>EAST</v>
      </c>
      <c r="R12" t="str">
        <f>'SOR bracket'!G10</f>
        <v>TCU Horned Frogs</v>
      </c>
      <c r="S12">
        <f>'SOR bracket'!F10</f>
        <v>11</v>
      </c>
      <c r="T12" t="str">
        <f>'SOR bracket'!A10</f>
        <v>EAST</v>
      </c>
    </row>
    <row r="13" spans="1:20" x14ac:dyDescent="0.25">
      <c r="A13" t="str">
        <f t="shared" si="0"/>
        <v>Stephen F. Austin Lumberjacks</v>
      </c>
      <c r="B13">
        <f t="shared" si="1"/>
        <v>13</v>
      </c>
      <c r="C13" t="str">
        <f t="shared" si="2"/>
        <v>EAST</v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>Not in SOR</v>
      </c>
      <c r="H13" t="str">
        <f t="shared" si="7"/>
        <v/>
      </c>
      <c r="I13" t="str">
        <f t="shared" si="8"/>
        <v/>
      </c>
      <c r="J13" t="str">
        <f t="shared" si="9"/>
        <v>🔵 Actual only</v>
      </c>
      <c r="K13" t="str">
        <f t="shared" si="10"/>
        <v>No</v>
      </c>
      <c r="N13" t="str">
        <f>'📋 Bracket Input'!D12</f>
        <v>Iowa State Cyclones</v>
      </c>
      <c r="O13">
        <f>'📋 Bracket Input'!C12</f>
        <v>3</v>
      </c>
      <c r="P13" t="str">
        <f>'📋 Bracket Input'!A12</f>
        <v>EAST</v>
      </c>
      <c r="R13" t="str">
        <f>'SOR bracket'!D11</f>
        <v>Vanderbilt Commodores</v>
      </c>
      <c r="S13">
        <f>'SOR bracket'!C11</f>
        <v>3</v>
      </c>
      <c r="T13" t="str">
        <f>'SOR bracket'!A11</f>
        <v>EAST</v>
      </c>
    </row>
    <row r="14" spans="1:20" x14ac:dyDescent="0.25">
      <c r="A14" t="str">
        <f t="shared" si="0"/>
        <v>Louisville Cardinals</v>
      </c>
      <c r="B14">
        <f t="shared" si="1"/>
        <v>6</v>
      </c>
      <c r="C14" t="str">
        <f t="shared" si="2"/>
        <v>EAST</v>
      </c>
      <c r="D14">
        <f t="shared" si="3"/>
        <v>7</v>
      </c>
      <c r="E14" t="str">
        <f t="shared" si="4"/>
        <v>SOUTH</v>
      </c>
      <c r="F14">
        <f t="shared" si="5"/>
        <v>-1</v>
      </c>
      <c r="G14" t="str">
        <f t="shared" si="6"/>
        <v>⬇ Underseeded</v>
      </c>
      <c r="H14" t="str">
        <f t="shared" si="7"/>
        <v>Yes</v>
      </c>
      <c r="I14" t="str">
        <f t="shared" si="8"/>
        <v>No</v>
      </c>
      <c r="J14" t="str">
        <f t="shared" si="9"/>
        <v>🟠 Minor</v>
      </c>
      <c r="K14" t="str">
        <f t="shared" si="10"/>
        <v>Yes</v>
      </c>
      <c r="N14" t="str">
        <f>'📋 Bracket Input'!G12</f>
        <v>Navy Midshipmen</v>
      </c>
      <c r="O14">
        <f>'📋 Bracket Input'!F12</f>
        <v>14</v>
      </c>
      <c r="P14" t="str">
        <f>'📋 Bracket Input'!A12</f>
        <v>EAST</v>
      </c>
      <c r="R14" t="str">
        <f>'SOR bracket'!G11</f>
        <v>Stanford Cardinal</v>
      </c>
      <c r="S14">
        <f>'SOR bracket'!F11</f>
        <v>14</v>
      </c>
      <c r="T14" t="str">
        <f>'SOR bracket'!A11</f>
        <v>EAST</v>
      </c>
    </row>
    <row r="15" spans="1:20" x14ac:dyDescent="0.25">
      <c r="A15" t="str">
        <f t="shared" si="0"/>
        <v>Miami (OH) RedHawks</v>
      </c>
      <c r="B15">
        <f t="shared" si="1"/>
        <v>11</v>
      </c>
      <c r="C15" t="str">
        <f t="shared" si="2"/>
        <v>EAST</v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>Not in SOR</v>
      </c>
      <c r="H15" t="str">
        <f t="shared" si="7"/>
        <v/>
      </c>
      <c r="I15" t="str">
        <f t="shared" si="8"/>
        <v/>
      </c>
      <c r="J15" t="str">
        <f t="shared" si="9"/>
        <v>🔵 Actual only</v>
      </c>
      <c r="K15" t="str">
        <f t="shared" si="10"/>
        <v>No</v>
      </c>
      <c r="N15" t="str">
        <f>'📋 Bracket Input'!D13</f>
        <v>Utah State Aggies</v>
      </c>
      <c r="O15">
        <f>'📋 Bracket Input'!C13</f>
        <v>7</v>
      </c>
      <c r="P15" t="str">
        <f>'📋 Bracket Input'!A13</f>
        <v>EAST</v>
      </c>
      <c r="R15" t="str">
        <f>'SOR bracket'!D12</f>
        <v>BYU Cougars</v>
      </c>
      <c r="S15">
        <f>'SOR bracket'!C12</f>
        <v>7</v>
      </c>
      <c r="T15" t="str">
        <f>'SOR bracket'!A12</f>
        <v>EAST</v>
      </c>
    </row>
    <row r="16" spans="1:20" x14ac:dyDescent="0.25">
      <c r="A16" t="str">
        <f t="shared" si="0"/>
        <v>Iowa State Cyclones</v>
      </c>
      <c r="B16">
        <f t="shared" si="1"/>
        <v>3</v>
      </c>
      <c r="C16" t="str">
        <f t="shared" si="2"/>
        <v>EAST</v>
      </c>
      <c r="D16">
        <f t="shared" si="3"/>
        <v>5</v>
      </c>
      <c r="E16" t="str">
        <f t="shared" si="4"/>
        <v>MIDWEST</v>
      </c>
      <c r="F16">
        <f t="shared" si="5"/>
        <v>-2</v>
      </c>
      <c r="G16" t="str">
        <f t="shared" si="6"/>
        <v>⬇ Underseeded</v>
      </c>
      <c r="H16" t="str">
        <f t="shared" si="7"/>
        <v>Yes</v>
      </c>
      <c r="I16" t="str">
        <f t="shared" si="8"/>
        <v>⚠️ YES</v>
      </c>
      <c r="J16" t="str">
        <f t="shared" si="9"/>
        <v>🟡 Notable</v>
      </c>
      <c r="K16" t="str">
        <f t="shared" si="10"/>
        <v>Yes</v>
      </c>
      <c r="N16" t="str">
        <f>'📋 Bracket Input'!G13</f>
        <v>UCLA Bruins</v>
      </c>
      <c r="O16">
        <f>'📋 Bracket Input'!F13</f>
        <v>10</v>
      </c>
      <c r="P16" t="str">
        <f>'📋 Bracket Input'!A13</f>
        <v>EAST</v>
      </c>
      <c r="R16" t="str">
        <f>'SOR bracket'!G12</f>
        <v>Missouri Tigers</v>
      </c>
      <c r="S16">
        <f>'SOR bracket'!F12</f>
        <v>10</v>
      </c>
      <c r="T16" t="str">
        <f>'SOR bracket'!A12</f>
        <v>EAST</v>
      </c>
    </row>
    <row r="17" spans="1:20" x14ac:dyDescent="0.25">
      <c r="A17" t="str">
        <f t="shared" si="0"/>
        <v>Navy Midshipmen</v>
      </c>
      <c r="B17">
        <f t="shared" si="1"/>
        <v>14</v>
      </c>
      <c r="C17" t="str">
        <f t="shared" si="2"/>
        <v>EAST</v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>Not in SOR</v>
      </c>
      <c r="H17" t="str">
        <f t="shared" si="7"/>
        <v/>
      </c>
      <c r="I17" t="str">
        <f t="shared" si="8"/>
        <v/>
      </c>
      <c r="J17" t="str">
        <f t="shared" si="9"/>
        <v>🔵 Actual only</v>
      </c>
      <c r="K17" t="str">
        <f t="shared" si="10"/>
        <v>No</v>
      </c>
      <c r="N17" t="str">
        <f>'📋 Bracket Input'!D14</f>
        <v>Illinois Fighting Illini</v>
      </c>
      <c r="O17">
        <f>'📋 Bracket Input'!C14</f>
        <v>2</v>
      </c>
      <c r="P17" t="str">
        <f>'📋 Bracket Input'!A14</f>
        <v>EAST</v>
      </c>
      <c r="R17" t="str">
        <f>'SOR bracket'!D13</f>
        <v>Michigan State Spartans</v>
      </c>
      <c r="S17">
        <f>'SOR bracket'!C13</f>
        <v>2</v>
      </c>
      <c r="T17" t="str">
        <f>'SOR bracket'!A13</f>
        <v>EAST</v>
      </c>
    </row>
    <row r="18" spans="1:20" x14ac:dyDescent="0.25">
      <c r="A18" t="str">
        <f t="shared" si="0"/>
        <v>Utah State Aggies</v>
      </c>
      <c r="B18">
        <f t="shared" si="1"/>
        <v>7</v>
      </c>
      <c r="C18" t="str">
        <f t="shared" si="2"/>
        <v>EAST</v>
      </c>
      <c r="D18">
        <f t="shared" si="3"/>
        <v>8</v>
      </c>
      <c r="E18" t="str">
        <f t="shared" si="4"/>
        <v>WEST</v>
      </c>
      <c r="F18">
        <f t="shared" si="5"/>
        <v>-1</v>
      </c>
      <c r="G18" t="str">
        <f t="shared" si="6"/>
        <v>⬇ Underseeded</v>
      </c>
      <c r="H18" t="str">
        <f t="shared" si="7"/>
        <v>Yes</v>
      </c>
      <c r="I18" t="str">
        <f t="shared" si="8"/>
        <v>No</v>
      </c>
      <c r="J18" t="str">
        <f t="shared" si="9"/>
        <v>🟠 Minor</v>
      </c>
      <c r="K18" t="str">
        <f t="shared" si="10"/>
        <v>Yes</v>
      </c>
      <c r="N18" t="str">
        <f>'📋 Bracket Input'!G14</f>
        <v>East Tennessee State Buccaneers</v>
      </c>
      <c r="O18">
        <f>'📋 Bracket Input'!F14</f>
        <v>15</v>
      </c>
      <c r="P18" t="str">
        <f>'📋 Bracket Input'!A14</f>
        <v>EAST</v>
      </c>
      <c r="R18" t="str">
        <f>'SOR bracket'!G13</f>
        <v>Boise State Broncos</v>
      </c>
      <c r="S18">
        <f>'SOR bracket'!F13</f>
        <v>15</v>
      </c>
      <c r="T18" t="str">
        <f>'SOR bracket'!A13</f>
        <v>EAST</v>
      </c>
    </row>
    <row r="19" spans="1:20" x14ac:dyDescent="0.25">
      <c r="A19" t="str">
        <f t="shared" si="0"/>
        <v>UCLA Bruins</v>
      </c>
      <c r="B19">
        <f t="shared" si="1"/>
        <v>10</v>
      </c>
      <c r="C19" t="str">
        <f t="shared" si="2"/>
        <v>EAST</v>
      </c>
      <c r="D19">
        <f t="shared" si="3"/>
        <v>10</v>
      </c>
      <c r="E19" t="str">
        <f t="shared" si="4"/>
        <v>SOUTH</v>
      </c>
      <c r="F19">
        <f t="shared" si="5"/>
        <v>0</v>
      </c>
      <c r="G19" t="str">
        <f t="shared" si="6"/>
        <v>✅ Match</v>
      </c>
      <c r="H19" t="str">
        <f t="shared" si="7"/>
        <v>Yes</v>
      </c>
      <c r="I19" t="str">
        <f t="shared" si="8"/>
        <v>No</v>
      </c>
      <c r="J19" t="str">
        <f t="shared" si="9"/>
        <v>✅ Aligned</v>
      </c>
      <c r="K19" t="str">
        <f t="shared" si="10"/>
        <v>Yes</v>
      </c>
      <c r="N19" t="str">
        <f>'📋 Bracket Input'!D17</f>
        <v>Santa Clara Broncos</v>
      </c>
      <c r="O19">
        <f>'📋 Bracket Input'!C17</f>
        <v>11</v>
      </c>
      <c r="P19" t="str">
        <f>'📋 Bracket Input'!A17</f>
        <v>SOUTH</v>
      </c>
      <c r="R19" t="str">
        <f>'SOR bracket'!D16</f>
        <v>SMU Mustangs</v>
      </c>
      <c r="S19">
        <f>'SOR bracket'!C16</f>
        <v>11</v>
      </c>
      <c r="T19" t="str">
        <f>'SOR bracket'!A16</f>
        <v>SOUTH</v>
      </c>
    </row>
    <row r="20" spans="1:20" x14ac:dyDescent="0.25">
      <c r="A20" t="str">
        <f t="shared" si="0"/>
        <v>Illinois Fighting Illini</v>
      </c>
      <c r="B20">
        <f t="shared" si="1"/>
        <v>2</v>
      </c>
      <c r="C20" t="str">
        <f t="shared" si="2"/>
        <v>EAST</v>
      </c>
      <c r="D20">
        <f t="shared" si="3"/>
        <v>3</v>
      </c>
      <c r="E20" t="str">
        <f t="shared" si="4"/>
        <v>WEST</v>
      </c>
      <c r="F20">
        <f t="shared" si="5"/>
        <v>-1</v>
      </c>
      <c r="G20" t="str">
        <f t="shared" si="6"/>
        <v>⬇ Underseeded</v>
      </c>
      <c r="H20" t="str">
        <f t="shared" si="7"/>
        <v>Yes</v>
      </c>
      <c r="I20" t="str">
        <f t="shared" si="8"/>
        <v>No</v>
      </c>
      <c r="J20" t="str">
        <f t="shared" si="9"/>
        <v>🟠 Minor</v>
      </c>
      <c r="K20" t="str">
        <f t="shared" si="10"/>
        <v>Yes</v>
      </c>
      <c r="N20" t="str">
        <f>'📋 Bracket Input'!G17</f>
        <v>New Mexico Lobos</v>
      </c>
      <c r="O20">
        <f>'📋 Bracket Input'!F17</f>
        <v>11</v>
      </c>
      <c r="P20" t="str">
        <f>'📋 Bracket Input'!A17</f>
        <v>SOUTH</v>
      </c>
      <c r="R20" t="str">
        <f>'SOR bracket'!G16</f>
        <v>McNeese Cowboys</v>
      </c>
      <c r="S20">
        <f>'SOR bracket'!F16</f>
        <v>11</v>
      </c>
      <c r="T20" t="str">
        <f>'SOR bracket'!A16</f>
        <v>SOUTH</v>
      </c>
    </row>
    <row r="21" spans="1:20" x14ac:dyDescent="0.25">
      <c r="A21" t="str">
        <f t="shared" si="0"/>
        <v>East Tennessee State Buccaneers</v>
      </c>
      <c r="B21">
        <f t="shared" si="1"/>
        <v>15</v>
      </c>
      <c r="C21" t="str">
        <f t="shared" si="2"/>
        <v>EAST</v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>Not in SOR</v>
      </c>
      <c r="H21" t="str">
        <f t="shared" si="7"/>
        <v/>
      </c>
      <c r="I21" t="str">
        <f t="shared" si="8"/>
        <v/>
      </c>
      <c r="J21" t="str">
        <f t="shared" si="9"/>
        <v>🔵 Actual only</v>
      </c>
      <c r="K21" t="str">
        <f t="shared" si="10"/>
        <v>No</v>
      </c>
      <c r="N21" t="str">
        <f>'📋 Bracket Input'!D18</f>
        <v>UConn Huskies</v>
      </c>
      <c r="O21">
        <f>'📋 Bracket Input'!C18</f>
        <v>1</v>
      </c>
      <c r="P21" t="str">
        <f>'📋 Bracket Input'!A18</f>
        <v>SOUTH</v>
      </c>
      <c r="R21" t="str">
        <f>'SOR bracket'!D17</f>
        <v>Duke Blue Devils</v>
      </c>
      <c r="S21">
        <f>'SOR bracket'!C17</f>
        <v>1</v>
      </c>
      <c r="T21" t="str">
        <f>'SOR bracket'!A17</f>
        <v>SOUTH</v>
      </c>
    </row>
    <row r="22" spans="1:20" x14ac:dyDescent="0.25">
      <c r="A22" t="str">
        <f t="shared" si="0"/>
        <v>Santa Clara Broncos</v>
      </c>
      <c r="B22">
        <f t="shared" si="1"/>
        <v>11</v>
      </c>
      <c r="C22" t="str">
        <f t="shared" si="2"/>
        <v>SOUTH</v>
      </c>
      <c r="D22">
        <f t="shared" si="3"/>
        <v>8</v>
      </c>
      <c r="E22" t="str">
        <f t="shared" si="4"/>
        <v>EAST</v>
      </c>
      <c r="F22">
        <f t="shared" si="5"/>
        <v>3</v>
      </c>
      <c r="G22" t="str">
        <f t="shared" si="6"/>
        <v>⬆ Overseeded</v>
      </c>
      <c r="H22" t="str">
        <f t="shared" si="7"/>
        <v>Yes</v>
      </c>
      <c r="I22" t="str">
        <f t="shared" si="8"/>
        <v>⚠️ YES</v>
      </c>
      <c r="J22" t="str">
        <f t="shared" si="9"/>
        <v>🔴 Major Mismatch</v>
      </c>
      <c r="K22" t="str">
        <f t="shared" si="10"/>
        <v>Yes</v>
      </c>
      <c r="N22" t="str">
        <f>'📋 Bracket Input'!G18</f>
        <v>Merrimack Warriors</v>
      </c>
      <c r="O22">
        <f>'📋 Bracket Input'!F18</f>
        <v>16</v>
      </c>
      <c r="P22" t="str">
        <f>'📋 Bracket Input'!A18</f>
        <v>SOUTH</v>
      </c>
      <c r="R22" t="str">
        <f>'SOR bracket'!G17</f>
        <v>Cincinnati Bearcats</v>
      </c>
      <c r="S22">
        <f>'SOR bracket'!F17</f>
        <v>16</v>
      </c>
      <c r="T22" t="str">
        <f>'SOR bracket'!A17</f>
        <v>SOUTH</v>
      </c>
    </row>
    <row r="23" spans="1:20" x14ac:dyDescent="0.25">
      <c r="A23" t="str">
        <f t="shared" si="0"/>
        <v>New Mexico Lobos</v>
      </c>
      <c r="B23">
        <f t="shared" si="1"/>
        <v>11</v>
      </c>
      <c r="C23" t="str">
        <f t="shared" si="2"/>
        <v>SOUTH</v>
      </c>
      <c r="D23">
        <f t="shared" si="3"/>
        <v>12</v>
      </c>
      <c r="E23" t="str">
        <f t="shared" si="4"/>
        <v>WEST</v>
      </c>
      <c r="F23">
        <f t="shared" si="5"/>
        <v>-1</v>
      </c>
      <c r="G23" t="str">
        <f t="shared" si="6"/>
        <v>⬇ Underseeded</v>
      </c>
      <c r="H23" t="str">
        <f t="shared" si="7"/>
        <v>Yes</v>
      </c>
      <c r="I23" t="str">
        <f t="shared" si="8"/>
        <v>No</v>
      </c>
      <c r="J23" t="str">
        <f t="shared" si="9"/>
        <v>🟠 Minor</v>
      </c>
      <c r="K23" t="str">
        <f t="shared" si="10"/>
        <v>Yes</v>
      </c>
      <c r="N23" t="str">
        <f>'📋 Bracket Input'!D19</f>
        <v>Saint Louis Billikens</v>
      </c>
      <c r="O23">
        <f>'📋 Bracket Input'!C19</f>
        <v>8</v>
      </c>
      <c r="P23" t="str">
        <f>'📋 Bracket Input'!A19</f>
        <v>SOUTH</v>
      </c>
      <c r="R23" t="str">
        <f>'SOR bracket'!D18</f>
        <v>NC State Wolfpack</v>
      </c>
      <c r="S23">
        <f>'SOR bracket'!C18</f>
        <v>8</v>
      </c>
      <c r="T23" t="str">
        <f>'SOR bracket'!A18</f>
        <v>SOUTH</v>
      </c>
    </row>
    <row r="24" spans="1:20" x14ac:dyDescent="0.25">
      <c r="A24" t="str">
        <f t="shared" si="0"/>
        <v>UConn Huskies</v>
      </c>
      <c r="B24">
        <f t="shared" si="1"/>
        <v>1</v>
      </c>
      <c r="C24" t="str">
        <f t="shared" si="2"/>
        <v>SOUTH</v>
      </c>
      <c r="D24">
        <f t="shared" si="3"/>
        <v>1</v>
      </c>
      <c r="E24" t="str">
        <f t="shared" si="4"/>
        <v>WEST</v>
      </c>
      <c r="F24">
        <f t="shared" si="5"/>
        <v>0</v>
      </c>
      <c r="G24" t="str">
        <f t="shared" si="6"/>
        <v>✅ Match</v>
      </c>
      <c r="H24" t="str">
        <f t="shared" si="7"/>
        <v>Yes</v>
      </c>
      <c r="I24" t="str">
        <f t="shared" si="8"/>
        <v>No</v>
      </c>
      <c r="J24" t="str">
        <f t="shared" si="9"/>
        <v>✅ Aligned</v>
      </c>
      <c r="K24" t="str">
        <f t="shared" si="10"/>
        <v>Yes</v>
      </c>
      <c r="N24" t="str">
        <f>'📋 Bracket Input'!G19</f>
        <v>NC State Wolfpack</v>
      </c>
      <c r="O24">
        <f>'📋 Bracket Input'!F19</f>
        <v>9</v>
      </c>
      <c r="P24" t="str">
        <f>'📋 Bracket Input'!A19</f>
        <v>SOUTH</v>
      </c>
      <c r="R24" t="str">
        <f>'SOR bracket'!G18</f>
        <v>Saint Louis Billikens</v>
      </c>
      <c r="S24">
        <f>'SOR bracket'!F18</f>
        <v>9</v>
      </c>
      <c r="T24" t="str">
        <f>'SOR bracket'!A18</f>
        <v>SOUTH</v>
      </c>
    </row>
    <row r="25" spans="1:20" x14ac:dyDescent="0.25">
      <c r="A25" t="str">
        <f t="shared" si="0"/>
        <v>Merrimack Warriors</v>
      </c>
      <c r="B25">
        <f t="shared" si="1"/>
        <v>16</v>
      </c>
      <c r="C25" t="str">
        <f t="shared" si="2"/>
        <v>SOUTH</v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>Not in SOR</v>
      </c>
      <c r="H25" t="str">
        <f t="shared" si="7"/>
        <v/>
      </c>
      <c r="I25" t="str">
        <f t="shared" si="8"/>
        <v/>
      </c>
      <c r="J25" t="str">
        <f t="shared" si="9"/>
        <v>🔵 Actual only</v>
      </c>
      <c r="K25" t="str">
        <f t="shared" si="10"/>
        <v>No</v>
      </c>
      <c r="N25" t="str">
        <f>'📋 Bracket Input'!D20</f>
        <v>Tennessee Volunteers</v>
      </c>
      <c r="O25">
        <f>'📋 Bracket Input'!C20</f>
        <v>5</v>
      </c>
      <c r="P25" t="str">
        <f>'📋 Bracket Input'!A20</f>
        <v>SOUTH</v>
      </c>
      <c r="R25" t="str">
        <f>'SOR bracket'!D19</f>
        <v>Virginia Cavaliers</v>
      </c>
      <c r="S25">
        <f>'SOR bracket'!C19</f>
        <v>5</v>
      </c>
      <c r="T25" t="str">
        <f>'SOR bracket'!A19</f>
        <v>SOUTH</v>
      </c>
    </row>
    <row r="26" spans="1:20" x14ac:dyDescent="0.25">
      <c r="A26" t="str">
        <f t="shared" si="0"/>
        <v>Saint Louis Billikens</v>
      </c>
      <c r="B26">
        <f t="shared" si="1"/>
        <v>8</v>
      </c>
      <c r="C26" t="str">
        <f t="shared" si="2"/>
        <v>SOUTH</v>
      </c>
      <c r="D26">
        <f t="shared" si="3"/>
        <v>9</v>
      </c>
      <c r="E26" t="str">
        <f t="shared" si="4"/>
        <v>SOUTH</v>
      </c>
      <c r="F26">
        <f t="shared" si="5"/>
        <v>-1</v>
      </c>
      <c r="G26" t="str">
        <f t="shared" si="6"/>
        <v>⬇ Underseeded</v>
      </c>
      <c r="H26" t="str">
        <f t="shared" si="7"/>
        <v>No</v>
      </c>
      <c r="I26" t="str">
        <f t="shared" si="8"/>
        <v>No</v>
      </c>
      <c r="J26" t="str">
        <f t="shared" si="9"/>
        <v>🟠 Minor</v>
      </c>
      <c r="K26" t="str">
        <f t="shared" si="10"/>
        <v>Yes</v>
      </c>
      <c r="N26" t="str">
        <f>'📋 Bracket Input'!G20</f>
        <v>South Florida Bulls</v>
      </c>
      <c r="O26">
        <f>'📋 Bracket Input'!F20</f>
        <v>12</v>
      </c>
      <c r="P26" t="str">
        <f>'📋 Bracket Input'!A20</f>
        <v>SOUTH</v>
      </c>
      <c r="R26" t="str">
        <f>'SOR bracket'!G19</f>
        <v>Auburn Tigers</v>
      </c>
      <c r="S26">
        <f>'SOR bracket'!F19</f>
        <v>12</v>
      </c>
      <c r="T26" t="str">
        <f>'SOR bracket'!A19</f>
        <v>SOUTH</v>
      </c>
    </row>
    <row r="27" spans="1:20" x14ac:dyDescent="0.25">
      <c r="A27" t="str">
        <f t="shared" si="0"/>
        <v>NC State Wolfpack</v>
      </c>
      <c r="B27">
        <f t="shared" si="1"/>
        <v>9</v>
      </c>
      <c r="C27" t="str">
        <f t="shared" si="2"/>
        <v>SOUTH</v>
      </c>
      <c r="D27">
        <f t="shared" si="3"/>
        <v>8</v>
      </c>
      <c r="E27" t="str">
        <f t="shared" si="4"/>
        <v>SOUTH</v>
      </c>
      <c r="F27">
        <f t="shared" si="5"/>
        <v>1</v>
      </c>
      <c r="G27" t="str">
        <f t="shared" si="6"/>
        <v>⬆ Overseeded</v>
      </c>
      <c r="H27" t="str">
        <f t="shared" si="7"/>
        <v>No</v>
      </c>
      <c r="I27" t="str">
        <f t="shared" si="8"/>
        <v>No</v>
      </c>
      <c r="J27" t="str">
        <f t="shared" si="9"/>
        <v>🟠 Minor</v>
      </c>
      <c r="K27" t="str">
        <f t="shared" si="10"/>
        <v>Yes</v>
      </c>
      <c r="N27" t="str">
        <f>'📋 Bracket Input'!D21</f>
        <v>Kansas Jayhawks</v>
      </c>
      <c r="O27">
        <f>'📋 Bracket Input'!C21</f>
        <v>4</v>
      </c>
      <c r="P27" t="str">
        <f>'📋 Bracket Input'!A21</f>
        <v>SOUTH</v>
      </c>
      <c r="R27" t="str">
        <f>'SOR bracket'!D20</f>
        <v>Arkansas Razorbacks</v>
      </c>
      <c r="S27">
        <f>'SOR bracket'!C20</f>
        <v>4</v>
      </c>
      <c r="T27" t="str">
        <f>'SOR bracket'!A20</f>
        <v>SOUTH</v>
      </c>
    </row>
    <row r="28" spans="1:20" x14ac:dyDescent="0.25">
      <c r="A28" t="str">
        <f t="shared" si="0"/>
        <v>Tennessee Volunteers</v>
      </c>
      <c r="B28">
        <f t="shared" si="1"/>
        <v>5</v>
      </c>
      <c r="C28" t="str">
        <f t="shared" si="2"/>
        <v>SOUTH</v>
      </c>
      <c r="D28">
        <f t="shared" si="3"/>
        <v>6</v>
      </c>
      <c r="E28" t="str">
        <f t="shared" si="4"/>
        <v>WEST</v>
      </c>
      <c r="F28">
        <f t="shared" si="5"/>
        <v>-1</v>
      </c>
      <c r="G28" t="str">
        <f t="shared" si="6"/>
        <v>⬇ Underseeded</v>
      </c>
      <c r="H28" t="str">
        <f t="shared" si="7"/>
        <v>Yes</v>
      </c>
      <c r="I28" t="str">
        <f t="shared" si="8"/>
        <v>No</v>
      </c>
      <c r="J28" t="str">
        <f t="shared" si="9"/>
        <v>🟠 Minor</v>
      </c>
      <c r="K28" t="str">
        <f t="shared" si="10"/>
        <v>Yes</v>
      </c>
      <c r="N28" t="str">
        <f>'📋 Bracket Input'!G21</f>
        <v>Utah Valley Wolverines</v>
      </c>
      <c r="O28">
        <f>'📋 Bracket Input'!F21</f>
        <v>13</v>
      </c>
      <c r="P28" t="str">
        <f>'📋 Bracket Input'!A21</f>
        <v>SOUTH</v>
      </c>
      <c r="R28" t="str">
        <f>'SOR bracket'!G20</f>
        <v>Virginia Tech Hokies</v>
      </c>
      <c r="S28">
        <f>'SOR bracket'!F20</f>
        <v>13</v>
      </c>
      <c r="T28" t="str">
        <f>'SOR bracket'!A20</f>
        <v>SOUTH</v>
      </c>
    </row>
    <row r="29" spans="1:20" x14ac:dyDescent="0.25">
      <c r="A29" t="str">
        <f t="shared" si="0"/>
        <v>South Florida Bulls</v>
      </c>
      <c r="B29">
        <f t="shared" si="1"/>
        <v>12</v>
      </c>
      <c r="C29" t="str">
        <f t="shared" si="2"/>
        <v>SOUTH</v>
      </c>
      <c r="D29">
        <f t="shared" si="3"/>
        <v>10</v>
      </c>
      <c r="E29" t="str">
        <f t="shared" si="4"/>
        <v>WEST</v>
      </c>
      <c r="F29">
        <f t="shared" si="5"/>
        <v>2</v>
      </c>
      <c r="G29" t="str">
        <f t="shared" si="6"/>
        <v>⬆ Overseeded</v>
      </c>
      <c r="H29" t="str">
        <f t="shared" si="7"/>
        <v>Yes</v>
      </c>
      <c r="I29" t="str">
        <f t="shared" si="8"/>
        <v>⚠️ YES</v>
      </c>
      <c r="J29" t="str">
        <f t="shared" si="9"/>
        <v>🟡 Notable</v>
      </c>
      <c r="K29" t="str">
        <f t="shared" si="10"/>
        <v>Yes</v>
      </c>
      <c r="N29" t="str">
        <f>'📋 Bracket Input'!D22</f>
        <v>St. John's Red Storm</v>
      </c>
      <c r="O29">
        <f>'📋 Bracket Input'!C22</f>
        <v>6</v>
      </c>
      <c r="P29" t="str">
        <f>'📋 Bracket Input'!A22</f>
        <v>SOUTH</v>
      </c>
      <c r="R29" t="str">
        <f>'SOR bracket'!D21</f>
        <v>Saint Mary's Gaels</v>
      </c>
      <c r="S29">
        <f>'SOR bracket'!C21</f>
        <v>6</v>
      </c>
      <c r="T29" t="str">
        <f>'SOR bracket'!A21</f>
        <v>SOUTH</v>
      </c>
    </row>
    <row r="30" spans="1:20" x14ac:dyDescent="0.25">
      <c r="A30" t="str">
        <f t="shared" si="0"/>
        <v>Kansas Jayhawks</v>
      </c>
      <c r="B30">
        <f t="shared" si="1"/>
        <v>4</v>
      </c>
      <c r="C30" t="str">
        <f t="shared" si="2"/>
        <v>SOUTH</v>
      </c>
      <c r="D30">
        <f t="shared" si="3"/>
        <v>5</v>
      </c>
      <c r="E30" t="str">
        <f t="shared" si="4"/>
        <v>EAST</v>
      </c>
      <c r="F30">
        <f t="shared" si="5"/>
        <v>-1</v>
      </c>
      <c r="G30" t="str">
        <f t="shared" si="6"/>
        <v>⬇ Underseeded</v>
      </c>
      <c r="H30" t="str">
        <f t="shared" si="7"/>
        <v>Yes</v>
      </c>
      <c r="I30" t="str">
        <f t="shared" si="8"/>
        <v>No</v>
      </c>
      <c r="J30" t="str">
        <f t="shared" si="9"/>
        <v>🟠 Minor</v>
      </c>
      <c r="K30" t="str">
        <f t="shared" si="10"/>
        <v>Yes</v>
      </c>
      <c r="N30" t="str">
        <f>'📋 Bracket Input'!D23</f>
        <v>Purdue Boilermakers</v>
      </c>
      <c r="O30">
        <f>'📋 Bracket Input'!C23</f>
        <v>3</v>
      </c>
      <c r="P30" t="str">
        <f>'📋 Bracket Input'!A23</f>
        <v>SOUTH</v>
      </c>
      <c r="R30" t="str">
        <f>'SOR bracket'!D22</f>
        <v>St. John's Red Storm</v>
      </c>
      <c r="S30">
        <f>'SOR bracket'!C22</f>
        <v>3</v>
      </c>
      <c r="T30" t="str">
        <f>'SOR bracket'!A22</f>
        <v>SOUTH</v>
      </c>
    </row>
    <row r="31" spans="1:20" x14ac:dyDescent="0.25">
      <c r="A31" t="str">
        <f t="shared" si="0"/>
        <v>Utah Valley Wolverines</v>
      </c>
      <c r="B31">
        <f t="shared" si="1"/>
        <v>13</v>
      </c>
      <c r="C31" t="str">
        <f t="shared" si="2"/>
        <v>SOUTH</v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>Not in SOR</v>
      </c>
      <c r="H31" t="str">
        <f t="shared" si="7"/>
        <v/>
      </c>
      <c r="I31" t="str">
        <f t="shared" si="8"/>
        <v/>
      </c>
      <c r="J31" t="str">
        <f t="shared" si="9"/>
        <v>🔵 Actual only</v>
      </c>
      <c r="K31" t="str">
        <f t="shared" si="10"/>
        <v>No</v>
      </c>
      <c r="N31" t="str">
        <f>'📋 Bracket Input'!G23</f>
        <v>Hawai'i Rainbow Warriors</v>
      </c>
      <c r="O31">
        <f>'📋 Bracket Input'!F23</f>
        <v>14</v>
      </c>
      <c r="P31" t="str">
        <f>'📋 Bracket Input'!A23</f>
        <v>SOUTH</v>
      </c>
      <c r="R31" t="str">
        <f>'SOR bracket'!G22</f>
        <v>Oklahoma State Cowboys</v>
      </c>
      <c r="S31">
        <f>'SOR bracket'!F22</f>
        <v>14</v>
      </c>
      <c r="T31" t="str">
        <f>'SOR bracket'!A22</f>
        <v>SOUTH</v>
      </c>
    </row>
    <row r="32" spans="1:20" x14ac:dyDescent="0.25">
      <c r="A32" t="str">
        <f t="shared" si="0"/>
        <v>St. John's Red Storm</v>
      </c>
      <c r="B32">
        <f t="shared" si="1"/>
        <v>6</v>
      </c>
      <c r="C32" t="str">
        <f t="shared" si="2"/>
        <v>SOUTH</v>
      </c>
      <c r="D32">
        <f t="shared" si="3"/>
        <v>3</v>
      </c>
      <c r="E32" t="str">
        <f t="shared" si="4"/>
        <v>SOUTH</v>
      </c>
      <c r="F32">
        <f t="shared" si="5"/>
        <v>3</v>
      </c>
      <c r="G32" t="str">
        <f t="shared" si="6"/>
        <v>⬆ Overseeded</v>
      </c>
      <c r="H32" t="str">
        <f t="shared" si="7"/>
        <v>No</v>
      </c>
      <c r="I32" t="str">
        <f t="shared" si="8"/>
        <v>⚠️ YES</v>
      </c>
      <c r="J32" t="str">
        <f t="shared" si="9"/>
        <v>🔴 Major Mismatch</v>
      </c>
      <c r="K32" t="str">
        <f t="shared" si="10"/>
        <v>Yes</v>
      </c>
      <c r="N32" t="str">
        <f>'📋 Bracket Input'!D24</f>
        <v>Villanova Wildcats</v>
      </c>
      <c r="O32">
        <f>'📋 Bracket Input'!C24</f>
        <v>7</v>
      </c>
      <c r="P32" t="str">
        <f>'📋 Bracket Input'!A24</f>
        <v>SOUTH</v>
      </c>
      <c r="R32" t="str">
        <f>'SOR bracket'!D23</f>
        <v>Louisville Cardinals</v>
      </c>
      <c r="S32">
        <f>'SOR bracket'!C23</f>
        <v>7</v>
      </c>
      <c r="T32" t="str">
        <f>'SOR bracket'!A23</f>
        <v>SOUTH</v>
      </c>
    </row>
    <row r="33" spans="1:20" x14ac:dyDescent="0.25">
      <c r="A33" t="str">
        <f t="shared" si="0"/>
        <v>Purdue Boilermakers</v>
      </c>
      <c r="B33">
        <f t="shared" si="1"/>
        <v>3</v>
      </c>
      <c r="C33" t="str">
        <f t="shared" si="2"/>
        <v>SOUTH</v>
      </c>
      <c r="D33">
        <f t="shared" si="3"/>
        <v>2</v>
      </c>
      <c r="E33" t="str">
        <f t="shared" si="4"/>
        <v>WEST</v>
      </c>
      <c r="F33">
        <f t="shared" si="5"/>
        <v>1</v>
      </c>
      <c r="G33" t="str">
        <f t="shared" si="6"/>
        <v>⬆ Overseeded</v>
      </c>
      <c r="H33" t="str">
        <f t="shared" si="7"/>
        <v>Yes</v>
      </c>
      <c r="I33" t="str">
        <f t="shared" si="8"/>
        <v>No</v>
      </c>
      <c r="J33" t="str">
        <f t="shared" si="9"/>
        <v>🟠 Minor</v>
      </c>
      <c r="K33" t="str">
        <f t="shared" si="10"/>
        <v>Yes</v>
      </c>
      <c r="N33" t="str">
        <f>'📋 Bracket Input'!G24</f>
        <v>Texas Longhorns</v>
      </c>
      <c r="O33">
        <f>'📋 Bracket Input'!F24</f>
        <v>10</v>
      </c>
      <c r="P33" t="str">
        <f>'📋 Bracket Input'!A24</f>
        <v>SOUTH</v>
      </c>
      <c r="R33" t="str">
        <f>'SOR bracket'!G23</f>
        <v>UCLA Bruins</v>
      </c>
      <c r="S33">
        <f>'SOR bracket'!F23</f>
        <v>10</v>
      </c>
      <c r="T33" t="str">
        <f>'SOR bracket'!A23</f>
        <v>SOUTH</v>
      </c>
    </row>
    <row r="34" spans="1:20" x14ac:dyDescent="0.25">
      <c r="A34" t="str">
        <f t="shared" si="0"/>
        <v>Hawai'i Rainbow Warriors</v>
      </c>
      <c r="B34">
        <f t="shared" si="1"/>
        <v>14</v>
      </c>
      <c r="C34" t="str">
        <f t="shared" si="2"/>
        <v>SOUTH</v>
      </c>
      <c r="D34" t="str">
        <f t="shared" si="3"/>
        <v/>
      </c>
      <c r="E34" t="str">
        <f t="shared" si="4"/>
        <v/>
      </c>
      <c r="F34" t="str">
        <f t="shared" si="5"/>
        <v/>
      </c>
      <c r="G34" t="str">
        <f t="shared" si="6"/>
        <v>Not in SOR</v>
      </c>
      <c r="H34" t="str">
        <f t="shared" si="7"/>
        <v/>
      </c>
      <c r="I34" t="str">
        <f t="shared" si="8"/>
        <v/>
      </c>
      <c r="J34" t="str">
        <f t="shared" si="9"/>
        <v>🔵 Actual only</v>
      </c>
      <c r="K34" t="str">
        <f t="shared" si="10"/>
        <v>No</v>
      </c>
      <c r="N34" t="str">
        <f>'📋 Bracket Input'!D25</f>
        <v>Florida Gators</v>
      </c>
      <c r="O34">
        <f>'📋 Bracket Input'!C25</f>
        <v>2</v>
      </c>
      <c r="P34" t="str">
        <f>'📋 Bracket Input'!A25</f>
        <v>SOUTH</v>
      </c>
      <c r="R34" t="str">
        <f>'SOR bracket'!D24</f>
        <v>Florida Gators</v>
      </c>
      <c r="S34">
        <f>'SOR bracket'!C24</f>
        <v>2</v>
      </c>
      <c r="T34" t="str">
        <f>'SOR bracket'!A24</f>
        <v>SOUTH</v>
      </c>
    </row>
    <row r="35" spans="1:20" x14ac:dyDescent="0.25">
      <c r="A35" t="str">
        <f t="shared" si="0"/>
        <v>Villanova Wildcats</v>
      </c>
      <c r="B35">
        <f t="shared" si="1"/>
        <v>7</v>
      </c>
      <c r="C35" t="str">
        <f t="shared" si="2"/>
        <v>SOUTH</v>
      </c>
      <c r="D35">
        <f t="shared" si="3"/>
        <v>6</v>
      </c>
      <c r="E35" t="str">
        <f t="shared" si="4"/>
        <v>MIDWEST</v>
      </c>
      <c r="F35">
        <f t="shared" si="5"/>
        <v>1</v>
      </c>
      <c r="G35" t="str">
        <f t="shared" si="6"/>
        <v>⬆ Overseeded</v>
      </c>
      <c r="H35" t="str">
        <f t="shared" si="7"/>
        <v>Yes</v>
      </c>
      <c r="I35" t="str">
        <f t="shared" si="8"/>
        <v>No</v>
      </c>
      <c r="J35" t="str">
        <f t="shared" si="9"/>
        <v>🟠 Minor</v>
      </c>
      <c r="K35" t="str">
        <f t="shared" si="10"/>
        <v>Yes</v>
      </c>
      <c r="N35" t="str">
        <f>'📋 Bracket Input'!G25</f>
        <v>Wright State Raiders</v>
      </c>
      <c r="O35">
        <f>'📋 Bracket Input'!F25</f>
        <v>15</v>
      </c>
      <c r="P35" t="str">
        <f>'📋 Bracket Input'!A25</f>
        <v>SOUTH</v>
      </c>
      <c r="R35" t="str">
        <f>'SOR bracket'!G24</f>
        <v>Tulsa Golden Hurricane</v>
      </c>
      <c r="S35">
        <f>'SOR bracket'!F24</f>
        <v>15</v>
      </c>
      <c r="T35" t="str">
        <f>'SOR bracket'!A24</f>
        <v>SOUTH</v>
      </c>
    </row>
    <row r="36" spans="1:20" x14ac:dyDescent="0.25">
      <c r="A36" t="str">
        <f t="shared" si="0"/>
        <v>Texas Longhorns</v>
      </c>
      <c r="B36">
        <f t="shared" si="1"/>
        <v>10</v>
      </c>
      <c r="C36" t="str">
        <f t="shared" si="2"/>
        <v>SOUTH</v>
      </c>
      <c r="D36">
        <f t="shared" si="3"/>
        <v>14</v>
      </c>
      <c r="E36" t="str">
        <f t="shared" si="4"/>
        <v>MIDWEST</v>
      </c>
      <c r="F36">
        <f t="shared" si="5"/>
        <v>-4</v>
      </c>
      <c r="G36" t="str">
        <f t="shared" si="6"/>
        <v>⬇ Underseeded</v>
      </c>
      <c r="H36" t="str">
        <f t="shared" si="7"/>
        <v>Yes</v>
      </c>
      <c r="I36" t="str">
        <f t="shared" si="8"/>
        <v>⚠️ YES</v>
      </c>
      <c r="J36" t="str">
        <f t="shared" si="9"/>
        <v>🔴 Major Mismatch</v>
      </c>
      <c r="K36" t="str">
        <f t="shared" si="10"/>
        <v>Yes</v>
      </c>
      <c r="N36" t="str">
        <f>'📋 Bracket Input'!D28</f>
        <v>Long Island University Sharks</v>
      </c>
      <c r="O36">
        <f>'📋 Bracket Input'!C28</f>
        <v>16</v>
      </c>
      <c r="P36" t="str">
        <f>'📋 Bracket Input'!A28</f>
        <v>MIDWEST</v>
      </c>
      <c r="R36" t="str">
        <f>'SOR bracket'!D27</f>
        <v>Yale Bulldogs</v>
      </c>
      <c r="S36">
        <f>'SOR bracket'!C27</f>
        <v>16</v>
      </c>
      <c r="T36" t="str">
        <f>'SOR bracket'!A27</f>
        <v>MIDWEST</v>
      </c>
    </row>
    <row r="37" spans="1:20" x14ac:dyDescent="0.25">
      <c r="A37" t="str">
        <f t="shared" ref="A37:A68" si="11">N34</f>
        <v>Florida Gators</v>
      </c>
      <c r="B37">
        <f t="shared" ref="B37:B68" si="12">O34</f>
        <v>2</v>
      </c>
      <c r="C37" t="str">
        <f t="shared" ref="C37:C68" si="13">P34</f>
        <v>SOUTH</v>
      </c>
      <c r="D37">
        <f t="shared" ref="D37:D72" si="14">IFERROR(_xlfn.XLOOKUP(A37,$R$2:$R$69,$S$2:$S$69),"")</f>
        <v>2</v>
      </c>
      <c r="E37" t="str">
        <f t="shared" ref="E37:E72" si="15">IFERROR(_xlfn.XLOOKUP(A37,$R$2:$R$69,$T$2:$T$69),"")</f>
        <v>SOUTH</v>
      </c>
      <c r="F37">
        <f t="shared" ref="F37:F72" si="16">IF(AND(D37&lt;&gt;"",B37&lt;&gt;""),B37-D37,"")</f>
        <v>0</v>
      </c>
      <c r="G37" t="str">
        <f t="shared" ref="G37:G68" si="17">IF(F37="","Not in SOR",IF(F37&gt;0,"⬆ Overseeded",IF(F37&lt;0,"⬇ Underseeded","✅ Match")))</f>
        <v>✅ Match</v>
      </c>
      <c r="H37" t="str">
        <f t="shared" ref="H37:H72" si="18">IF(AND(C37&lt;&gt;"",E37&lt;&gt;""),IF(C37&lt;&gt;E37,"Yes","No"),"")</f>
        <v>No</v>
      </c>
      <c r="I37" t="str">
        <f t="shared" ref="I37:I72" si="19">IF(F37="","",IF(ABS(F37)&gt;=2,"⚠️ YES","No"))</f>
        <v>No</v>
      </c>
      <c r="J37" t="str">
        <f t="shared" ref="J37:J72" si="20">IF(F37="","🔵 Actual only",IF(ABS(F37)&gt;=3,"🔴 Major Mismatch",IF(ABS(F37)&gt;=2,"🟡 Notable",IF(ABS(F37)&gt;=1,"🟠 Minor","✅ Aligned"))))</f>
        <v>✅ Aligned</v>
      </c>
      <c r="K37" t="str">
        <f t="shared" ref="K37:K72" si="21">IF(ISNUMBER(MATCH(A37,$R$2:$R$69,0)),"Yes","No")</f>
        <v>Yes</v>
      </c>
      <c r="N37" t="str">
        <f>'📋 Bracket Input'!G28</f>
        <v>Bethune-Cookman Wildcats</v>
      </c>
      <c r="O37">
        <f>'📋 Bracket Input'!F28</f>
        <v>16</v>
      </c>
      <c r="P37" t="str">
        <f>'📋 Bracket Input'!A28</f>
        <v>MIDWEST</v>
      </c>
      <c r="R37" t="str">
        <f>'SOR bracket'!G27</f>
        <v>Oklahoma Sooners</v>
      </c>
      <c r="S37">
        <f>'SOR bracket'!F27</f>
        <v>16</v>
      </c>
      <c r="T37" t="str">
        <f>'SOR bracket'!A27</f>
        <v>MIDWEST</v>
      </c>
    </row>
    <row r="38" spans="1:20" x14ac:dyDescent="0.25">
      <c r="A38" t="str">
        <f t="shared" si="11"/>
        <v>Wright State Raiders</v>
      </c>
      <c r="B38">
        <f t="shared" si="12"/>
        <v>15</v>
      </c>
      <c r="C38" t="str">
        <f t="shared" si="13"/>
        <v>SOUTH</v>
      </c>
      <c r="D38" t="str">
        <f t="shared" si="14"/>
        <v/>
      </c>
      <c r="E38" t="str">
        <f t="shared" si="15"/>
        <v/>
      </c>
      <c r="F38" t="str">
        <f t="shared" si="16"/>
        <v/>
      </c>
      <c r="G38" t="str">
        <f t="shared" si="17"/>
        <v>Not in SOR</v>
      </c>
      <c r="H38" t="str">
        <f t="shared" si="18"/>
        <v/>
      </c>
      <c r="I38" t="str">
        <f t="shared" si="19"/>
        <v/>
      </c>
      <c r="J38" t="str">
        <f t="shared" si="20"/>
        <v>🔵 Actual only</v>
      </c>
      <c r="K38" t="str">
        <f t="shared" si="21"/>
        <v>No</v>
      </c>
      <c r="N38" t="str">
        <f>'📋 Bracket Input'!D29</f>
        <v>Michigan Wolverines</v>
      </c>
      <c r="O38">
        <f>'📋 Bracket Input'!C29</f>
        <v>1</v>
      </c>
      <c r="P38" t="str">
        <f>'📋 Bracket Input'!A29</f>
        <v>MIDWEST</v>
      </c>
      <c r="R38" t="str">
        <f>'SOR bracket'!D28</f>
        <v>Arizona Wildcats</v>
      </c>
      <c r="S38">
        <f>'SOR bracket'!C28</f>
        <v>1</v>
      </c>
      <c r="T38" t="str">
        <f>'SOR bracket'!A28</f>
        <v>MIDWEST</v>
      </c>
    </row>
    <row r="39" spans="1:20" x14ac:dyDescent="0.25">
      <c r="A39" t="str">
        <f t="shared" si="11"/>
        <v>Long Island University Sharks</v>
      </c>
      <c r="B39">
        <f t="shared" si="12"/>
        <v>16</v>
      </c>
      <c r="C39" t="str">
        <f t="shared" si="13"/>
        <v>MIDWEST</v>
      </c>
      <c r="D39" t="str">
        <f t="shared" si="14"/>
        <v/>
      </c>
      <c r="E39" t="str">
        <f t="shared" si="15"/>
        <v/>
      </c>
      <c r="F39" t="str">
        <f t="shared" si="16"/>
        <v/>
      </c>
      <c r="G39" t="str">
        <f t="shared" si="17"/>
        <v>Not in SOR</v>
      </c>
      <c r="H39" t="str">
        <f t="shared" si="18"/>
        <v/>
      </c>
      <c r="I39" t="str">
        <f t="shared" si="19"/>
        <v/>
      </c>
      <c r="J39" t="str">
        <f t="shared" si="20"/>
        <v>🔵 Actual only</v>
      </c>
      <c r="K39" t="str">
        <f t="shared" si="21"/>
        <v>No</v>
      </c>
      <c r="N39" t="str">
        <f>'📋 Bracket Input'!D30</f>
        <v>Clemson Tigers</v>
      </c>
      <c r="O39">
        <f>'📋 Bracket Input'!C30</f>
        <v>8</v>
      </c>
      <c r="P39" t="str">
        <f>'📋 Bracket Input'!A30</f>
        <v>MIDWEST</v>
      </c>
      <c r="R39" t="str">
        <f>'SOR bracket'!D29</f>
        <v>UCF Knights</v>
      </c>
      <c r="S39">
        <f>'SOR bracket'!C29</f>
        <v>8</v>
      </c>
      <c r="T39" t="str">
        <f>'SOR bracket'!A29</f>
        <v>MIDWEST</v>
      </c>
    </row>
    <row r="40" spans="1:20" x14ac:dyDescent="0.25">
      <c r="A40" t="str">
        <f t="shared" si="11"/>
        <v>Bethune-Cookman Wildcats</v>
      </c>
      <c r="B40">
        <f t="shared" si="12"/>
        <v>16</v>
      </c>
      <c r="C40" t="str">
        <f t="shared" si="13"/>
        <v>MIDWEST</v>
      </c>
      <c r="D40" t="str">
        <f t="shared" si="14"/>
        <v/>
      </c>
      <c r="E40" t="str">
        <f t="shared" si="15"/>
        <v/>
      </c>
      <c r="F40" t="str">
        <f t="shared" si="16"/>
        <v/>
      </c>
      <c r="G40" t="str">
        <f t="shared" si="17"/>
        <v>Not in SOR</v>
      </c>
      <c r="H40" t="str">
        <f t="shared" si="18"/>
        <v/>
      </c>
      <c r="I40" t="str">
        <f t="shared" si="19"/>
        <v/>
      </c>
      <c r="J40" t="str">
        <f t="shared" si="20"/>
        <v>🔵 Actual only</v>
      </c>
      <c r="K40" t="str">
        <f t="shared" si="21"/>
        <v>No</v>
      </c>
      <c r="N40" t="str">
        <f>'📋 Bracket Input'!G30</f>
        <v>Iowa Hawkeyes</v>
      </c>
      <c r="O40">
        <f>'📋 Bracket Input'!F30</f>
        <v>9</v>
      </c>
      <c r="P40" t="str">
        <f>'📋 Bracket Input'!A30</f>
        <v>MIDWEST</v>
      </c>
      <c r="R40" t="str">
        <f>'SOR bracket'!G29</f>
        <v>Ohio State Buckeyes</v>
      </c>
      <c r="S40">
        <f>'SOR bracket'!F29</f>
        <v>9</v>
      </c>
      <c r="T40" t="str">
        <f>'SOR bracket'!A29</f>
        <v>MIDWEST</v>
      </c>
    </row>
    <row r="41" spans="1:20" x14ac:dyDescent="0.25">
      <c r="A41" t="str">
        <f t="shared" si="11"/>
        <v>Michigan Wolverines</v>
      </c>
      <c r="B41">
        <f t="shared" si="12"/>
        <v>1</v>
      </c>
      <c r="C41" t="str">
        <f t="shared" si="13"/>
        <v>MIDWEST</v>
      </c>
      <c r="D41">
        <f t="shared" si="14"/>
        <v>1</v>
      </c>
      <c r="E41" t="str">
        <f t="shared" si="15"/>
        <v>EAST</v>
      </c>
      <c r="F41">
        <f t="shared" si="16"/>
        <v>0</v>
      </c>
      <c r="G41" t="str">
        <f t="shared" si="17"/>
        <v>✅ Match</v>
      </c>
      <c r="H41" t="str">
        <f t="shared" si="18"/>
        <v>Yes</v>
      </c>
      <c r="I41" t="str">
        <f t="shared" si="19"/>
        <v>No</v>
      </c>
      <c r="J41" t="str">
        <f t="shared" si="20"/>
        <v>✅ Aligned</v>
      </c>
      <c r="K41" t="str">
        <f t="shared" si="21"/>
        <v>Yes</v>
      </c>
      <c r="N41" t="str">
        <f>'📋 Bracket Input'!D31</f>
        <v>Arkansas Razorbacks</v>
      </c>
      <c r="O41">
        <f>'📋 Bracket Input'!C31</f>
        <v>5</v>
      </c>
      <c r="P41" t="str">
        <f>'📋 Bracket Input'!A31</f>
        <v>MIDWEST</v>
      </c>
      <c r="R41" t="str">
        <f>'SOR bracket'!D30</f>
        <v>Iowa State Cyclones</v>
      </c>
      <c r="S41">
        <f>'SOR bracket'!C30</f>
        <v>5</v>
      </c>
      <c r="T41" t="str">
        <f>'SOR bracket'!A30</f>
        <v>MIDWEST</v>
      </c>
    </row>
    <row r="42" spans="1:20" x14ac:dyDescent="0.25">
      <c r="A42" t="str">
        <f t="shared" si="11"/>
        <v>Clemson Tigers</v>
      </c>
      <c r="B42">
        <f t="shared" si="12"/>
        <v>8</v>
      </c>
      <c r="C42" t="str">
        <f t="shared" si="13"/>
        <v>MIDWEST</v>
      </c>
      <c r="D42">
        <f t="shared" si="14"/>
        <v>7</v>
      </c>
      <c r="E42" t="str">
        <f t="shared" si="15"/>
        <v>WEST</v>
      </c>
      <c r="F42">
        <f t="shared" si="16"/>
        <v>1</v>
      </c>
      <c r="G42" t="str">
        <f t="shared" si="17"/>
        <v>⬆ Overseeded</v>
      </c>
      <c r="H42" t="str">
        <f t="shared" si="18"/>
        <v>Yes</v>
      </c>
      <c r="I42" t="str">
        <f t="shared" si="19"/>
        <v>No</v>
      </c>
      <c r="J42" t="str">
        <f t="shared" si="20"/>
        <v>🟠 Minor</v>
      </c>
      <c r="K42" t="str">
        <f t="shared" si="21"/>
        <v>Yes</v>
      </c>
      <c r="N42" t="str">
        <f>'📋 Bracket Input'!G31</f>
        <v>Yale Bulldogs</v>
      </c>
      <c r="O42">
        <f>'📋 Bracket Input'!F31</f>
        <v>12</v>
      </c>
      <c r="P42" t="str">
        <f>'📋 Bracket Input'!A31</f>
        <v>MIDWEST</v>
      </c>
      <c r="R42" t="str">
        <f>'SOR bracket'!G30</f>
        <v>Dayton Flyers</v>
      </c>
      <c r="S42">
        <f>'SOR bracket'!F30</f>
        <v>12</v>
      </c>
      <c r="T42" t="str">
        <f>'SOR bracket'!A30</f>
        <v>MIDWEST</v>
      </c>
    </row>
    <row r="43" spans="1:20" x14ac:dyDescent="0.25">
      <c r="A43" t="str">
        <f t="shared" si="11"/>
        <v>Iowa Hawkeyes</v>
      </c>
      <c r="B43">
        <f t="shared" si="12"/>
        <v>9</v>
      </c>
      <c r="C43" t="str">
        <f t="shared" si="13"/>
        <v>MIDWEST</v>
      </c>
      <c r="D43">
        <f t="shared" si="14"/>
        <v>11</v>
      </c>
      <c r="E43" t="str">
        <f t="shared" si="15"/>
        <v>WEST</v>
      </c>
      <c r="F43">
        <f t="shared" si="16"/>
        <v>-2</v>
      </c>
      <c r="G43" t="str">
        <f t="shared" si="17"/>
        <v>⬇ Underseeded</v>
      </c>
      <c r="H43" t="str">
        <f t="shared" si="18"/>
        <v>Yes</v>
      </c>
      <c r="I43" t="str">
        <f t="shared" si="19"/>
        <v>⚠️ YES</v>
      </c>
      <c r="J43" t="str">
        <f t="shared" si="20"/>
        <v>🟡 Notable</v>
      </c>
      <c r="K43" t="str">
        <f t="shared" si="21"/>
        <v>Yes</v>
      </c>
      <c r="N43" t="str">
        <f>'📋 Bracket Input'!D32</f>
        <v>Virginia Cavaliers</v>
      </c>
      <c r="O43">
        <f>'📋 Bracket Input'!C32</f>
        <v>4</v>
      </c>
      <c r="P43" t="str">
        <f>'📋 Bracket Input'!A32</f>
        <v>MIDWEST</v>
      </c>
      <c r="R43" t="str">
        <f>'SOR bracket'!D31</f>
        <v>Texas Tech Red Raiders</v>
      </c>
      <c r="S43">
        <f>'SOR bracket'!C31</f>
        <v>4</v>
      </c>
      <c r="T43" t="str">
        <f>'SOR bracket'!A31</f>
        <v>MIDWEST</v>
      </c>
    </row>
    <row r="44" spans="1:20" x14ac:dyDescent="0.25">
      <c r="A44" t="str">
        <f t="shared" si="11"/>
        <v>Arkansas Razorbacks</v>
      </c>
      <c r="B44">
        <f t="shared" si="12"/>
        <v>5</v>
      </c>
      <c r="C44" t="str">
        <f t="shared" si="13"/>
        <v>MIDWEST</v>
      </c>
      <c r="D44">
        <f t="shared" si="14"/>
        <v>4</v>
      </c>
      <c r="E44" t="str">
        <f t="shared" si="15"/>
        <v>SOUTH</v>
      </c>
      <c r="F44">
        <f t="shared" si="16"/>
        <v>1</v>
      </c>
      <c r="G44" t="str">
        <f t="shared" si="17"/>
        <v>⬆ Overseeded</v>
      </c>
      <c r="H44" t="str">
        <f t="shared" si="18"/>
        <v>Yes</v>
      </c>
      <c r="I44" t="str">
        <f t="shared" si="19"/>
        <v>No</v>
      </c>
      <c r="J44" t="str">
        <f t="shared" si="20"/>
        <v>🟠 Minor</v>
      </c>
      <c r="K44" t="str">
        <f t="shared" si="21"/>
        <v>Yes</v>
      </c>
      <c r="N44" t="str">
        <f>'📋 Bracket Input'!G32</f>
        <v>High Point Panthers</v>
      </c>
      <c r="O44">
        <f>'📋 Bracket Input'!F32</f>
        <v>13</v>
      </c>
      <c r="P44" t="str">
        <f>'📋 Bracket Input'!A32</f>
        <v>MIDWEST</v>
      </c>
      <c r="R44" t="str">
        <f>'SOR bracket'!G31</f>
        <v>California Golden Bears</v>
      </c>
      <c r="S44">
        <f>'SOR bracket'!F31</f>
        <v>13</v>
      </c>
      <c r="T44" t="str">
        <f>'SOR bracket'!A31</f>
        <v>MIDWEST</v>
      </c>
    </row>
    <row r="45" spans="1:20" x14ac:dyDescent="0.25">
      <c r="A45" t="str">
        <f t="shared" si="11"/>
        <v>Yale Bulldogs</v>
      </c>
      <c r="B45">
        <f t="shared" si="12"/>
        <v>12</v>
      </c>
      <c r="C45" t="str">
        <f t="shared" si="13"/>
        <v>MIDWEST</v>
      </c>
      <c r="D45">
        <f t="shared" si="14"/>
        <v>16</v>
      </c>
      <c r="E45" t="str">
        <f t="shared" si="15"/>
        <v>MIDWEST</v>
      </c>
      <c r="F45">
        <f t="shared" si="16"/>
        <v>-4</v>
      </c>
      <c r="G45" t="str">
        <f t="shared" si="17"/>
        <v>⬇ Underseeded</v>
      </c>
      <c r="H45" t="str">
        <f t="shared" si="18"/>
        <v>No</v>
      </c>
      <c r="I45" t="str">
        <f t="shared" si="19"/>
        <v>⚠️ YES</v>
      </c>
      <c r="J45" t="str">
        <f t="shared" si="20"/>
        <v>🔴 Major Mismatch</v>
      </c>
      <c r="K45" t="str">
        <f t="shared" si="21"/>
        <v>Yes</v>
      </c>
      <c r="N45" t="str">
        <f>'📋 Bracket Input'!D33</f>
        <v>BYU Cougars</v>
      </c>
      <c r="O45">
        <f>'📋 Bracket Input'!C33</f>
        <v>6</v>
      </c>
      <c r="P45" t="str">
        <f>'📋 Bracket Input'!A33</f>
        <v>MIDWEST</v>
      </c>
      <c r="R45" t="str">
        <f>'SOR bracket'!D32</f>
        <v>Villanova Wildcats</v>
      </c>
      <c r="S45">
        <f>'SOR bracket'!C32</f>
        <v>6</v>
      </c>
      <c r="T45" t="str">
        <f>'SOR bracket'!A32</f>
        <v>MIDWEST</v>
      </c>
    </row>
    <row r="46" spans="1:20" x14ac:dyDescent="0.25">
      <c r="A46" t="str">
        <f t="shared" si="11"/>
        <v>Virginia Cavaliers</v>
      </c>
      <c r="B46">
        <f t="shared" si="12"/>
        <v>4</v>
      </c>
      <c r="C46" t="str">
        <f t="shared" si="13"/>
        <v>MIDWEST</v>
      </c>
      <c r="D46">
        <f t="shared" si="14"/>
        <v>5</v>
      </c>
      <c r="E46" t="str">
        <f t="shared" si="15"/>
        <v>SOUTH</v>
      </c>
      <c r="F46">
        <f t="shared" si="16"/>
        <v>-1</v>
      </c>
      <c r="G46" t="str">
        <f t="shared" si="17"/>
        <v>⬇ Underseeded</v>
      </c>
      <c r="H46" t="str">
        <f t="shared" si="18"/>
        <v>Yes</v>
      </c>
      <c r="I46" t="str">
        <f t="shared" si="19"/>
        <v>No</v>
      </c>
      <c r="J46" t="str">
        <f t="shared" si="20"/>
        <v>🟠 Minor</v>
      </c>
      <c r="K46" t="str">
        <f t="shared" si="21"/>
        <v>Yes</v>
      </c>
      <c r="N46" t="str">
        <f>'📋 Bracket Input'!G33</f>
        <v>Ohio State Buckeyes</v>
      </c>
      <c r="O46">
        <f>'📋 Bracket Input'!F33</f>
        <v>11</v>
      </c>
      <c r="P46" t="str">
        <f>'📋 Bracket Input'!A33</f>
        <v>MIDWEST</v>
      </c>
      <c r="R46" t="str">
        <f>'SOR bracket'!G32</f>
        <v>Texas A&amp;M Aggies</v>
      </c>
      <c r="S46">
        <f>'SOR bracket'!F32</f>
        <v>11</v>
      </c>
      <c r="T46" t="str">
        <f>'SOR bracket'!A32</f>
        <v>MIDWEST</v>
      </c>
    </row>
    <row r="47" spans="1:20" x14ac:dyDescent="0.25">
      <c r="A47" t="str">
        <f t="shared" si="11"/>
        <v>High Point Panthers</v>
      </c>
      <c r="B47">
        <f t="shared" si="12"/>
        <v>13</v>
      </c>
      <c r="C47" t="str">
        <f t="shared" si="13"/>
        <v>MIDWEST</v>
      </c>
      <c r="D47" t="str">
        <f t="shared" si="14"/>
        <v/>
      </c>
      <c r="E47" t="str">
        <f t="shared" si="15"/>
        <v/>
      </c>
      <c r="F47" t="str">
        <f t="shared" si="16"/>
        <v/>
      </c>
      <c r="G47" t="str">
        <f t="shared" si="17"/>
        <v>Not in SOR</v>
      </c>
      <c r="H47" t="str">
        <f t="shared" si="18"/>
        <v/>
      </c>
      <c r="I47" t="str">
        <f t="shared" si="19"/>
        <v/>
      </c>
      <c r="J47" t="str">
        <f t="shared" si="20"/>
        <v>🔵 Actual only</v>
      </c>
      <c r="K47" t="str">
        <f t="shared" si="21"/>
        <v>No</v>
      </c>
      <c r="N47" t="str">
        <f>'📋 Bracket Input'!D34</f>
        <v>Nebraska Cornhuskers</v>
      </c>
      <c r="O47">
        <f>'📋 Bracket Input'!C34</f>
        <v>3</v>
      </c>
      <c r="P47" t="str">
        <f>'📋 Bracket Input'!A34</f>
        <v>MIDWEST</v>
      </c>
      <c r="R47" t="str">
        <f>'SOR bracket'!D33</f>
        <v>Alabama Crimson Tide</v>
      </c>
      <c r="S47">
        <f>'SOR bracket'!C33</f>
        <v>3</v>
      </c>
      <c r="T47" t="str">
        <f>'SOR bracket'!A33</f>
        <v>MIDWEST</v>
      </c>
    </row>
    <row r="48" spans="1:20" x14ac:dyDescent="0.25">
      <c r="A48" t="str">
        <f t="shared" si="11"/>
        <v>BYU Cougars</v>
      </c>
      <c r="B48">
        <f t="shared" si="12"/>
        <v>6</v>
      </c>
      <c r="C48" t="str">
        <f t="shared" si="13"/>
        <v>MIDWEST</v>
      </c>
      <c r="D48">
        <f t="shared" si="14"/>
        <v>7</v>
      </c>
      <c r="E48" t="str">
        <f t="shared" si="15"/>
        <v>EAST</v>
      </c>
      <c r="F48">
        <f t="shared" si="16"/>
        <v>-1</v>
      </c>
      <c r="G48" t="str">
        <f t="shared" si="17"/>
        <v>⬇ Underseeded</v>
      </c>
      <c r="H48" t="str">
        <f t="shared" si="18"/>
        <v>Yes</v>
      </c>
      <c r="I48" t="str">
        <f t="shared" si="19"/>
        <v>No</v>
      </c>
      <c r="J48" t="str">
        <f t="shared" si="20"/>
        <v>🟠 Minor</v>
      </c>
      <c r="K48" t="str">
        <f t="shared" si="21"/>
        <v>Yes</v>
      </c>
      <c r="N48" t="str">
        <f>'📋 Bracket Input'!G34</f>
        <v>Troy Trojans</v>
      </c>
      <c r="O48">
        <f>'📋 Bracket Input'!F34</f>
        <v>14</v>
      </c>
      <c r="P48" t="str">
        <f>'📋 Bracket Input'!A34</f>
        <v>MIDWEST</v>
      </c>
      <c r="R48" t="str">
        <f>'SOR bracket'!G33</f>
        <v>Texas Longhorns</v>
      </c>
      <c r="S48">
        <f>'SOR bracket'!F33</f>
        <v>14</v>
      </c>
      <c r="T48" t="str">
        <f>'SOR bracket'!A33</f>
        <v>MIDWEST</v>
      </c>
    </row>
    <row r="49" spans="1:20" x14ac:dyDescent="0.25">
      <c r="A49" t="str">
        <f t="shared" si="11"/>
        <v>Ohio State Buckeyes</v>
      </c>
      <c r="B49">
        <f t="shared" si="12"/>
        <v>11</v>
      </c>
      <c r="C49" t="str">
        <f t="shared" si="13"/>
        <v>MIDWEST</v>
      </c>
      <c r="D49">
        <f t="shared" si="14"/>
        <v>9</v>
      </c>
      <c r="E49" t="str">
        <f t="shared" si="15"/>
        <v>MIDWEST</v>
      </c>
      <c r="F49">
        <f t="shared" si="16"/>
        <v>2</v>
      </c>
      <c r="G49" t="str">
        <f t="shared" si="17"/>
        <v>⬆ Overseeded</v>
      </c>
      <c r="H49" t="str">
        <f t="shared" si="18"/>
        <v>No</v>
      </c>
      <c r="I49" t="str">
        <f t="shared" si="19"/>
        <v>⚠️ YES</v>
      </c>
      <c r="J49" t="str">
        <f t="shared" si="20"/>
        <v>🟡 Notable</v>
      </c>
      <c r="K49" t="str">
        <f t="shared" si="21"/>
        <v>Yes</v>
      </c>
      <c r="N49" t="str">
        <f>'📋 Bracket Input'!D35</f>
        <v>Wisconsin Badgers</v>
      </c>
      <c r="O49">
        <f>'📋 Bracket Input'!C35</f>
        <v>7</v>
      </c>
      <c r="P49" t="str">
        <f>'📋 Bracket Input'!A35</f>
        <v>MIDWEST</v>
      </c>
      <c r="R49" t="str">
        <f>'SOR bracket'!D34</f>
        <v>Kentucky Wildcats</v>
      </c>
      <c r="S49">
        <f>'SOR bracket'!C34</f>
        <v>7</v>
      </c>
      <c r="T49" t="str">
        <f>'SOR bracket'!A34</f>
        <v>MIDWEST</v>
      </c>
    </row>
    <row r="50" spans="1:20" x14ac:dyDescent="0.25">
      <c r="A50" t="str">
        <f t="shared" si="11"/>
        <v>Nebraska Cornhuskers</v>
      </c>
      <c r="B50">
        <f t="shared" si="12"/>
        <v>3</v>
      </c>
      <c r="C50" t="str">
        <f t="shared" si="13"/>
        <v>MIDWEST</v>
      </c>
      <c r="D50">
        <f t="shared" si="14"/>
        <v>5</v>
      </c>
      <c r="E50" t="str">
        <f t="shared" si="15"/>
        <v>WEST</v>
      </c>
      <c r="F50">
        <f t="shared" si="16"/>
        <v>-2</v>
      </c>
      <c r="G50" t="str">
        <f t="shared" si="17"/>
        <v>⬇ Underseeded</v>
      </c>
      <c r="H50" t="str">
        <f t="shared" si="18"/>
        <v>Yes</v>
      </c>
      <c r="I50" t="str">
        <f t="shared" si="19"/>
        <v>⚠️ YES</v>
      </c>
      <c r="J50" t="str">
        <f t="shared" si="20"/>
        <v>🟡 Notable</v>
      </c>
      <c r="K50" t="str">
        <f t="shared" si="21"/>
        <v>Yes</v>
      </c>
      <c r="N50" t="str">
        <f>'📋 Bracket Input'!G35</f>
        <v>Texas A&amp;M Aggies</v>
      </c>
      <c r="O50">
        <f>'📋 Bracket Input'!F35</f>
        <v>10</v>
      </c>
      <c r="P50" t="str">
        <f>'📋 Bracket Input'!A35</f>
        <v>MIDWEST</v>
      </c>
      <c r="R50" t="str">
        <f>'SOR bracket'!G34</f>
        <v>VCU Rams</v>
      </c>
      <c r="S50">
        <f>'SOR bracket'!F34</f>
        <v>10</v>
      </c>
      <c r="T50" t="str">
        <f>'SOR bracket'!A34</f>
        <v>MIDWEST</v>
      </c>
    </row>
    <row r="51" spans="1:20" x14ac:dyDescent="0.25">
      <c r="A51" t="str">
        <f t="shared" si="11"/>
        <v>Troy Trojans</v>
      </c>
      <c r="B51">
        <f t="shared" si="12"/>
        <v>14</v>
      </c>
      <c r="C51" t="str">
        <f t="shared" si="13"/>
        <v>MIDWEST</v>
      </c>
      <c r="D51" t="str">
        <f t="shared" si="14"/>
        <v/>
      </c>
      <c r="E51" t="str">
        <f t="shared" si="15"/>
        <v/>
      </c>
      <c r="F51" t="str">
        <f t="shared" si="16"/>
        <v/>
      </c>
      <c r="G51" t="str">
        <f t="shared" si="17"/>
        <v>Not in SOR</v>
      </c>
      <c r="H51" t="str">
        <f t="shared" si="18"/>
        <v/>
      </c>
      <c r="I51" t="str">
        <f t="shared" si="19"/>
        <v/>
      </c>
      <c r="J51" t="str">
        <f t="shared" si="20"/>
        <v>🔵 Actual only</v>
      </c>
      <c r="K51" t="str">
        <f t="shared" si="21"/>
        <v>No</v>
      </c>
      <c r="N51" t="str">
        <f>'📋 Bracket Input'!D36</f>
        <v>Houston Cougars</v>
      </c>
      <c r="O51">
        <f>'📋 Bracket Input'!C36</f>
        <v>2</v>
      </c>
      <c r="P51" t="str">
        <f>'📋 Bracket Input'!A36</f>
        <v>MIDWEST</v>
      </c>
      <c r="R51" t="str">
        <f>'SOR bracket'!D35</f>
        <v>Houston Cougars</v>
      </c>
      <c r="S51">
        <f>'SOR bracket'!C35</f>
        <v>2</v>
      </c>
      <c r="T51" t="str">
        <f>'SOR bracket'!A35</f>
        <v>MIDWEST</v>
      </c>
    </row>
    <row r="52" spans="1:20" x14ac:dyDescent="0.25">
      <c r="A52" t="str">
        <f t="shared" si="11"/>
        <v>Wisconsin Badgers</v>
      </c>
      <c r="B52">
        <f t="shared" si="12"/>
        <v>7</v>
      </c>
      <c r="C52" t="str">
        <f t="shared" si="13"/>
        <v>MIDWEST</v>
      </c>
      <c r="D52">
        <f t="shared" si="14"/>
        <v>6</v>
      </c>
      <c r="E52" t="str">
        <f t="shared" si="15"/>
        <v>EAST</v>
      </c>
      <c r="F52">
        <f t="shared" si="16"/>
        <v>1</v>
      </c>
      <c r="G52" t="str">
        <f t="shared" si="17"/>
        <v>⬆ Overseeded</v>
      </c>
      <c r="H52" t="str">
        <f t="shared" si="18"/>
        <v>Yes</v>
      </c>
      <c r="I52" t="str">
        <f t="shared" si="19"/>
        <v>No</v>
      </c>
      <c r="J52" t="str">
        <f t="shared" si="20"/>
        <v>🟠 Minor</v>
      </c>
      <c r="K52" t="str">
        <f t="shared" si="21"/>
        <v>Yes</v>
      </c>
      <c r="N52" t="str">
        <f>'📋 Bracket Input'!G36</f>
        <v>Austin Peay Governors</v>
      </c>
      <c r="O52">
        <f>'📋 Bracket Input'!F36</f>
        <v>15</v>
      </c>
      <c r="P52" t="str">
        <f>'📋 Bracket Input'!A36</f>
        <v>MIDWEST</v>
      </c>
      <c r="R52" t="str">
        <f>'SOR bracket'!G35</f>
        <v>Belmont Bruins</v>
      </c>
      <c r="S52">
        <f>'SOR bracket'!F35</f>
        <v>15</v>
      </c>
      <c r="T52" t="str">
        <f>'SOR bracket'!A35</f>
        <v>MIDWEST</v>
      </c>
    </row>
    <row r="53" spans="1:20" x14ac:dyDescent="0.25">
      <c r="A53" t="str">
        <f t="shared" si="11"/>
        <v>Texas A&amp;M Aggies</v>
      </c>
      <c r="B53">
        <f t="shared" si="12"/>
        <v>10</v>
      </c>
      <c r="C53" t="str">
        <f t="shared" si="13"/>
        <v>MIDWEST</v>
      </c>
      <c r="D53">
        <f t="shared" si="14"/>
        <v>11</v>
      </c>
      <c r="E53" t="str">
        <f t="shared" si="15"/>
        <v>MIDWEST</v>
      </c>
      <c r="F53">
        <f t="shared" si="16"/>
        <v>-1</v>
      </c>
      <c r="G53" t="str">
        <f t="shared" si="17"/>
        <v>⬇ Underseeded</v>
      </c>
      <c r="H53" t="str">
        <f t="shared" si="18"/>
        <v>No</v>
      </c>
      <c r="I53" t="str">
        <f t="shared" si="19"/>
        <v>No</v>
      </c>
      <c r="J53" t="str">
        <f t="shared" si="20"/>
        <v>🟠 Minor</v>
      </c>
      <c r="K53" t="str">
        <f t="shared" si="21"/>
        <v>Yes</v>
      </c>
      <c r="N53" t="str">
        <f>'📋 Bracket Input'!D39</f>
        <v>Arizona Wildcats</v>
      </c>
      <c r="O53">
        <f>'📋 Bracket Input'!C39</f>
        <v>1</v>
      </c>
      <c r="P53" t="str">
        <f>'📋 Bracket Input'!A39</f>
        <v>WEST</v>
      </c>
      <c r="R53" t="str">
        <f>'SOR bracket'!D38</f>
        <v>UConn Huskies</v>
      </c>
      <c r="S53">
        <f>'SOR bracket'!C38</f>
        <v>1</v>
      </c>
      <c r="T53" t="str">
        <f>'SOR bracket'!A38</f>
        <v>WEST</v>
      </c>
    </row>
    <row r="54" spans="1:20" x14ac:dyDescent="0.25">
      <c r="A54" t="str">
        <f t="shared" si="11"/>
        <v>Houston Cougars</v>
      </c>
      <c r="B54">
        <f t="shared" si="12"/>
        <v>2</v>
      </c>
      <c r="C54" t="str">
        <f t="shared" si="13"/>
        <v>MIDWEST</v>
      </c>
      <c r="D54">
        <f t="shared" si="14"/>
        <v>2</v>
      </c>
      <c r="E54" t="str">
        <f t="shared" si="15"/>
        <v>MIDWEST</v>
      </c>
      <c r="F54">
        <f t="shared" si="16"/>
        <v>0</v>
      </c>
      <c r="G54" t="str">
        <f t="shared" si="17"/>
        <v>✅ Match</v>
      </c>
      <c r="H54" t="str">
        <f t="shared" si="18"/>
        <v>No</v>
      </c>
      <c r="I54" t="str">
        <f t="shared" si="19"/>
        <v>No</v>
      </c>
      <c r="J54" t="str">
        <f t="shared" si="20"/>
        <v>✅ Aligned</v>
      </c>
      <c r="K54" t="str">
        <f t="shared" si="21"/>
        <v>Yes</v>
      </c>
      <c r="N54" t="str">
        <f>'📋 Bracket Input'!G39</f>
        <v>Tennessee State Tigers</v>
      </c>
      <c r="O54">
        <f>'📋 Bracket Input'!F39</f>
        <v>16</v>
      </c>
      <c r="P54" t="str">
        <f>'📋 Bracket Input'!A39</f>
        <v>WEST</v>
      </c>
      <c r="R54" t="str">
        <f>'SOR bracket'!G38</f>
        <v>Nevada Wolf Pack</v>
      </c>
      <c r="S54">
        <f>'SOR bracket'!F38</f>
        <v>16</v>
      </c>
      <c r="T54" t="str">
        <f>'SOR bracket'!A38</f>
        <v>WEST</v>
      </c>
    </row>
    <row r="55" spans="1:20" x14ac:dyDescent="0.25">
      <c r="A55" t="str">
        <f t="shared" si="11"/>
        <v>Austin Peay Governors</v>
      </c>
      <c r="B55">
        <f t="shared" si="12"/>
        <v>15</v>
      </c>
      <c r="C55" t="str">
        <f t="shared" si="13"/>
        <v>MIDWEST</v>
      </c>
      <c r="D55" t="str">
        <f t="shared" si="14"/>
        <v/>
      </c>
      <c r="E55" t="str">
        <f t="shared" si="15"/>
        <v/>
      </c>
      <c r="F55" t="str">
        <f t="shared" si="16"/>
        <v/>
      </c>
      <c r="G55" t="str">
        <f t="shared" si="17"/>
        <v>Not in SOR</v>
      </c>
      <c r="H55" t="str">
        <f t="shared" si="18"/>
        <v/>
      </c>
      <c r="I55" t="str">
        <f t="shared" si="19"/>
        <v/>
      </c>
      <c r="J55" t="str">
        <f t="shared" si="20"/>
        <v>🔵 Actual only</v>
      </c>
      <c r="K55" t="str">
        <f t="shared" si="21"/>
        <v>No</v>
      </c>
      <c r="N55" t="str">
        <f>'📋 Bracket Input'!D40</f>
        <v>Miami Hurricanes</v>
      </c>
      <c r="O55">
        <f>'📋 Bracket Input'!C40</f>
        <v>8</v>
      </c>
      <c r="P55" t="str">
        <f>'📋 Bracket Input'!A40</f>
        <v>WEST</v>
      </c>
      <c r="R55" t="str">
        <f>'SOR bracket'!D39</f>
        <v>Utah State Aggies</v>
      </c>
      <c r="S55">
        <f>'SOR bracket'!C39</f>
        <v>8</v>
      </c>
      <c r="T55" t="str">
        <f>'SOR bracket'!A39</f>
        <v>WEST</v>
      </c>
    </row>
    <row r="56" spans="1:20" x14ac:dyDescent="0.25">
      <c r="A56" t="str">
        <f t="shared" si="11"/>
        <v>Arizona Wildcats</v>
      </c>
      <c r="B56">
        <f t="shared" si="12"/>
        <v>1</v>
      </c>
      <c r="C56" t="str">
        <f t="shared" si="13"/>
        <v>WEST</v>
      </c>
      <c r="D56">
        <f t="shared" si="14"/>
        <v>1</v>
      </c>
      <c r="E56" t="str">
        <f t="shared" si="15"/>
        <v>MIDWEST</v>
      </c>
      <c r="F56">
        <f t="shared" si="16"/>
        <v>0</v>
      </c>
      <c r="G56" t="str">
        <f t="shared" si="17"/>
        <v>✅ Match</v>
      </c>
      <c r="H56" t="str">
        <f t="shared" si="18"/>
        <v>Yes</v>
      </c>
      <c r="I56" t="str">
        <f t="shared" si="19"/>
        <v>No</v>
      </c>
      <c r="J56" t="str">
        <f t="shared" si="20"/>
        <v>✅ Aligned</v>
      </c>
      <c r="K56" t="str">
        <f t="shared" si="21"/>
        <v>Yes</v>
      </c>
      <c r="N56" t="str">
        <f>'📋 Bracket Input'!G40</f>
        <v>Georgia Bulldogs</v>
      </c>
      <c r="O56">
        <f>'📋 Bracket Input'!F40</f>
        <v>9</v>
      </c>
      <c r="P56" t="str">
        <f>'📋 Bracket Input'!A40</f>
        <v>WEST</v>
      </c>
      <c r="R56" t="str">
        <f>'SOR bracket'!G39</f>
        <v>Georgia Bulldogs</v>
      </c>
      <c r="S56">
        <f>'SOR bracket'!F39</f>
        <v>9</v>
      </c>
      <c r="T56" t="str">
        <f>'SOR bracket'!A39</f>
        <v>WEST</v>
      </c>
    </row>
    <row r="57" spans="1:20" x14ac:dyDescent="0.25">
      <c r="A57" t="str">
        <f t="shared" si="11"/>
        <v>Tennessee State Tigers</v>
      </c>
      <c r="B57">
        <f t="shared" si="12"/>
        <v>16</v>
      </c>
      <c r="C57" t="str">
        <f t="shared" si="13"/>
        <v>WEST</v>
      </c>
      <c r="D57" t="str">
        <f t="shared" si="14"/>
        <v/>
      </c>
      <c r="E57" t="str">
        <f t="shared" si="15"/>
        <v/>
      </c>
      <c r="F57" t="str">
        <f t="shared" si="16"/>
        <v/>
      </c>
      <c r="G57" t="str">
        <f t="shared" si="17"/>
        <v>Not in SOR</v>
      </c>
      <c r="H57" t="str">
        <f t="shared" si="18"/>
        <v/>
      </c>
      <c r="I57" t="str">
        <f t="shared" si="19"/>
        <v/>
      </c>
      <c r="J57" t="str">
        <f t="shared" si="20"/>
        <v>🔵 Actual only</v>
      </c>
      <c r="K57" t="str">
        <f t="shared" si="21"/>
        <v>No</v>
      </c>
      <c r="N57" t="str">
        <f>'📋 Bracket Input'!D41</f>
        <v>North Carolina Tar Heels</v>
      </c>
      <c r="O57">
        <f>'📋 Bracket Input'!C41</f>
        <v>5</v>
      </c>
      <c r="P57" t="str">
        <f>'📋 Bracket Input'!A41</f>
        <v>WEST</v>
      </c>
      <c r="R57" t="str">
        <f>'SOR bracket'!D40</f>
        <v>Nebraska Cornhuskers</v>
      </c>
      <c r="S57">
        <f>'SOR bracket'!C40</f>
        <v>5</v>
      </c>
      <c r="T57" t="str">
        <f>'SOR bracket'!A40</f>
        <v>WEST</v>
      </c>
    </row>
    <row r="58" spans="1:20" x14ac:dyDescent="0.25">
      <c r="A58" t="str">
        <f t="shared" si="11"/>
        <v>Miami Hurricanes</v>
      </c>
      <c r="B58">
        <f t="shared" si="12"/>
        <v>8</v>
      </c>
      <c r="C58" t="str">
        <f t="shared" si="13"/>
        <v>WEST</v>
      </c>
      <c r="D58">
        <f t="shared" si="14"/>
        <v>9</v>
      </c>
      <c r="E58" t="str">
        <f t="shared" si="15"/>
        <v>EAST</v>
      </c>
      <c r="F58">
        <f t="shared" si="16"/>
        <v>-1</v>
      </c>
      <c r="G58" t="str">
        <f t="shared" si="17"/>
        <v>⬇ Underseeded</v>
      </c>
      <c r="H58" t="str">
        <f t="shared" si="18"/>
        <v>Yes</v>
      </c>
      <c r="I58" t="str">
        <f t="shared" si="19"/>
        <v>No</v>
      </c>
      <c r="J58" t="str">
        <f t="shared" si="20"/>
        <v>🟠 Minor</v>
      </c>
      <c r="K58" t="str">
        <f t="shared" si="21"/>
        <v>Yes</v>
      </c>
      <c r="N58" t="str">
        <f>'📋 Bracket Input'!G41</f>
        <v>Belmont Bruins</v>
      </c>
      <c r="O58">
        <f>'📋 Bracket Input'!F41</f>
        <v>12</v>
      </c>
      <c r="P58" t="str">
        <f>'📋 Bracket Input'!A41</f>
        <v>WEST</v>
      </c>
      <c r="R58" t="str">
        <f>'SOR bracket'!G40</f>
        <v>New Mexico Lobos</v>
      </c>
      <c r="S58">
        <f>'SOR bracket'!F40</f>
        <v>12</v>
      </c>
      <c r="T58" t="str">
        <f>'SOR bracket'!A40</f>
        <v>WEST</v>
      </c>
    </row>
    <row r="59" spans="1:20" x14ac:dyDescent="0.25">
      <c r="A59" t="str">
        <f t="shared" si="11"/>
        <v>Georgia Bulldogs</v>
      </c>
      <c r="B59">
        <f t="shared" si="12"/>
        <v>9</v>
      </c>
      <c r="C59" t="str">
        <f t="shared" si="13"/>
        <v>WEST</v>
      </c>
      <c r="D59">
        <f t="shared" si="14"/>
        <v>9</v>
      </c>
      <c r="E59" t="str">
        <f t="shared" si="15"/>
        <v>WEST</v>
      </c>
      <c r="F59">
        <f t="shared" si="16"/>
        <v>0</v>
      </c>
      <c r="G59" t="str">
        <f t="shared" si="17"/>
        <v>✅ Match</v>
      </c>
      <c r="H59" t="str">
        <f t="shared" si="18"/>
        <v>No</v>
      </c>
      <c r="I59" t="str">
        <f t="shared" si="19"/>
        <v>No</v>
      </c>
      <c r="J59" t="str">
        <f t="shared" si="20"/>
        <v>✅ Aligned</v>
      </c>
      <c r="K59" t="str">
        <f t="shared" si="21"/>
        <v>Yes</v>
      </c>
      <c r="N59" t="str">
        <f>'📋 Bracket Input'!D42</f>
        <v>Alabama Crimson Tide</v>
      </c>
      <c r="O59">
        <f>'📋 Bracket Input'!C42</f>
        <v>4</v>
      </c>
      <c r="P59" t="str">
        <f>'📋 Bracket Input'!A42</f>
        <v>WEST</v>
      </c>
      <c r="R59" t="str">
        <f>'SOR bracket'!D41</f>
        <v>North Carolina Tar Heels</v>
      </c>
      <c r="S59">
        <f>'SOR bracket'!C41</f>
        <v>4</v>
      </c>
      <c r="T59" t="str">
        <f>'SOR bracket'!A41</f>
        <v>WEST</v>
      </c>
    </row>
    <row r="60" spans="1:20" x14ac:dyDescent="0.25">
      <c r="A60" t="str">
        <f t="shared" si="11"/>
        <v>North Carolina Tar Heels</v>
      </c>
      <c r="B60">
        <f t="shared" si="12"/>
        <v>5</v>
      </c>
      <c r="C60" t="str">
        <f t="shared" si="13"/>
        <v>WEST</v>
      </c>
      <c r="D60">
        <f t="shared" si="14"/>
        <v>4</v>
      </c>
      <c r="E60" t="str">
        <f t="shared" si="15"/>
        <v>WEST</v>
      </c>
      <c r="F60">
        <f t="shared" si="16"/>
        <v>1</v>
      </c>
      <c r="G60" t="str">
        <f t="shared" si="17"/>
        <v>⬆ Overseeded</v>
      </c>
      <c r="H60" t="str">
        <f t="shared" si="18"/>
        <v>No</v>
      </c>
      <c r="I60" t="str">
        <f t="shared" si="19"/>
        <v>No</v>
      </c>
      <c r="J60" t="str">
        <f t="shared" si="20"/>
        <v>🟠 Minor</v>
      </c>
      <c r="K60" t="str">
        <f t="shared" si="21"/>
        <v>Yes</v>
      </c>
      <c r="N60" t="str">
        <f>'📋 Bracket Input'!G42</f>
        <v>UNC Wilmington Seahawks</v>
      </c>
      <c r="O60">
        <f>'📋 Bracket Input'!F42</f>
        <v>13</v>
      </c>
      <c r="P60" t="str">
        <f>'📋 Bracket Input'!A42</f>
        <v>WEST</v>
      </c>
      <c r="R60" t="str">
        <f>'SOR bracket'!G41</f>
        <v>San Diego State Aztecs</v>
      </c>
      <c r="S60">
        <f>'SOR bracket'!F41</f>
        <v>13</v>
      </c>
      <c r="T60" t="str">
        <f>'SOR bracket'!A41</f>
        <v>WEST</v>
      </c>
    </row>
    <row r="61" spans="1:20" x14ac:dyDescent="0.25">
      <c r="A61" t="str">
        <f t="shared" si="11"/>
        <v>Belmont Bruins</v>
      </c>
      <c r="B61">
        <f t="shared" si="12"/>
        <v>12</v>
      </c>
      <c r="C61" t="str">
        <f t="shared" si="13"/>
        <v>WEST</v>
      </c>
      <c r="D61">
        <f t="shared" si="14"/>
        <v>15</v>
      </c>
      <c r="E61" t="str">
        <f t="shared" si="15"/>
        <v>MIDWEST</v>
      </c>
      <c r="F61">
        <f t="shared" si="16"/>
        <v>-3</v>
      </c>
      <c r="G61" t="str">
        <f t="shared" si="17"/>
        <v>⬇ Underseeded</v>
      </c>
      <c r="H61" t="str">
        <f t="shared" si="18"/>
        <v>Yes</v>
      </c>
      <c r="I61" t="str">
        <f t="shared" si="19"/>
        <v>⚠️ YES</v>
      </c>
      <c r="J61" t="str">
        <f t="shared" si="20"/>
        <v>🔴 Major Mismatch</v>
      </c>
      <c r="K61" t="str">
        <f t="shared" si="21"/>
        <v>Yes</v>
      </c>
      <c r="N61" t="str">
        <f>'📋 Bracket Input'!D43</f>
        <v>TCU Horned Frogs</v>
      </c>
      <c r="O61">
        <f>'📋 Bracket Input'!C43</f>
        <v>11</v>
      </c>
      <c r="P61" t="str">
        <f>'📋 Bracket Input'!A43</f>
        <v>WEST</v>
      </c>
      <c r="R61" t="str">
        <f>'SOR bracket'!D42</f>
        <v>Iowa Hawkeyes</v>
      </c>
      <c r="S61">
        <f>'SOR bracket'!C42</f>
        <v>11</v>
      </c>
      <c r="T61" t="str">
        <f>'SOR bracket'!A42</f>
        <v>WEST</v>
      </c>
    </row>
    <row r="62" spans="1:20" x14ac:dyDescent="0.25">
      <c r="A62" t="str">
        <f t="shared" si="11"/>
        <v>Alabama Crimson Tide</v>
      </c>
      <c r="B62">
        <f t="shared" si="12"/>
        <v>4</v>
      </c>
      <c r="C62" t="str">
        <f t="shared" si="13"/>
        <v>WEST</v>
      </c>
      <c r="D62">
        <f t="shared" si="14"/>
        <v>3</v>
      </c>
      <c r="E62" t="str">
        <f t="shared" si="15"/>
        <v>MIDWEST</v>
      </c>
      <c r="F62">
        <f t="shared" si="16"/>
        <v>1</v>
      </c>
      <c r="G62" t="str">
        <f t="shared" si="17"/>
        <v>⬆ Overseeded</v>
      </c>
      <c r="H62" t="str">
        <f t="shared" si="18"/>
        <v>Yes</v>
      </c>
      <c r="I62" t="str">
        <f t="shared" si="19"/>
        <v>No</v>
      </c>
      <c r="J62" t="str">
        <f t="shared" si="20"/>
        <v>🟠 Minor</v>
      </c>
      <c r="K62" t="str">
        <f t="shared" si="21"/>
        <v>Yes</v>
      </c>
      <c r="N62" t="str">
        <f>'📋 Bracket Input'!G43</f>
        <v>Indiana Hoosiers</v>
      </c>
      <c r="O62">
        <f>'📋 Bracket Input'!F43</f>
        <v>11</v>
      </c>
      <c r="P62" t="str">
        <f>'📋 Bracket Input'!A43</f>
        <v>WEST</v>
      </c>
      <c r="R62" t="str">
        <f>'SOR bracket'!G42</f>
        <v>Colorado State Rams</v>
      </c>
      <c r="S62">
        <f>'SOR bracket'!F42</f>
        <v>11</v>
      </c>
      <c r="T62" t="str">
        <f>'SOR bracket'!A42</f>
        <v>WEST</v>
      </c>
    </row>
    <row r="63" spans="1:20" x14ac:dyDescent="0.25">
      <c r="A63" t="str">
        <f t="shared" si="11"/>
        <v>UNC Wilmington Seahawks</v>
      </c>
      <c r="B63">
        <f t="shared" si="12"/>
        <v>13</v>
      </c>
      <c r="C63" t="str">
        <f t="shared" si="13"/>
        <v>WEST</v>
      </c>
      <c r="D63" t="str">
        <f t="shared" si="14"/>
        <v/>
      </c>
      <c r="E63" t="str">
        <f t="shared" si="15"/>
        <v/>
      </c>
      <c r="F63" t="str">
        <f t="shared" si="16"/>
        <v/>
      </c>
      <c r="G63" t="str">
        <f t="shared" si="17"/>
        <v>Not in SOR</v>
      </c>
      <c r="H63" t="str">
        <f t="shared" si="18"/>
        <v/>
      </c>
      <c r="I63" t="str">
        <f t="shared" si="19"/>
        <v/>
      </c>
      <c r="J63" t="str">
        <f t="shared" si="20"/>
        <v>🔵 Actual only</v>
      </c>
      <c r="K63" t="str">
        <f t="shared" si="21"/>
        <v>No</v>
      </c>
      <c r="N63" t="str">
        <f>'📋 Bracket Input'!D44</f>
        <v>Kentucky Wildcats</v>
      </c>
      <c r="O63">
        <f>'📋 Bracket Input'!C44</f>
        <v>6</v>
      </c>
      <c r="P63" t="str">
        <f>'📋 Bracket Input'!A44</f>
        <v>WEST</v>
      </c>
      <c r="R63" t="str">
        <f>'SOR bracket'!D43</f>
        <v>Tennessee Volunteers</v>
      </c>
      <c r="S63">
        <f>'SOR bracket'!C43</f>
        <v>6</v>
      </c>
      <c r="T63" t="str">
        <f>'SOR bracket'!A43</f>
        <v>WEST</v>
      </c>
    </row>
    <row r="64" spans="1:20" x14ac:dyDescent="0.25">
      <c r="A64" t="str">
        <f t="shared" si="11"/>
        <v>TCU Horned Frogs</v>
      </c>
      <c r="B64">
        <f t="shared" si="12"/>
        <v>11</v>
      </c>
      <c r="C64" t="str">
        <f t="shared" si="13"/>
        <v>WEST</v>
      </c>
      <c r="D64">
        <f t="shared" si="14"/>
        <v>11</v>
      </c>
      <c r="E64" t="str">
        <f t="shared" si="15"/>
        <v>EAST</v>
      </c>
      <c r="F64">
        <f t="shared" si="16"/>
        <v>0</v>
      </c>
      <c r="G64" t="str">
        <f t="shared" si="17"/>
        <v>✅ Match</v>
      </c>
      <c r="H64" t="str">
        <f t="shared" si="18"/>
        <v>Yes</v>
      </c>
      <c r="I64" t="str">
        <f t="shared" si="19"/>
        <v>No</v>
      </c>
      <c r="J64" t="str">
        <f t="shared" si="20"/>
        <v>✅ Aligned</v>
      </c>
      <c r="K64" t="str">
        <f t="shared" si="21"/>
        <v>Yes</v>
      </c>
      <c r="N64" t="str">
        <f>'📋 Bracket Input'!D45</f>
        <v>Texas Tech Red Raiders</v>
      </c>
      <c r="O64">
        <f>'📋 Bracket Input'!C45</f>
        <v>3</v>
      </c>
      <c r="P64" t="str">
        <f>'📋 Bracket Input'!A45</f>
        <v>WEST</v>
      </c>
      <c r="R64" t="str">
        <f>'SOR bracket'!D44</f>
        <v>Illinois Fighting Illini</v>
      </c>
      <c r="S64">
        <f>'SOR bracket'!C44</f>
        <v>3</v>
      </c>
      <c r="T64" t="str">
        <f>'SOR bracket'!A44</f>
        <v>WEST</v>
      </c>
    </row>
    <row r="65" spans="1:20" x14ac:dyDescent="0.25">
      <c r="A65" t="str">
        <f t="shared" si="11"/>
        <v>Indiana Hoosiers</v>
      </c>
      <c r="B65">
        <f t="shared" si="12"/>
        <v>11</v>
      </c>
      <c r="C65" t="str">
        <f t="shared" si="13"/>
        <v>WEST</v>
      </c>
      <c r="D65">
        <f t="shared" si="14"/>
        <v>14</v>
      </c>
      <c r="E65" t="str">
        <f t="shared" si="15"/>
        <v>WEST</v>
      </c>
      <c r="F65">
        <f t="shared" si="16"/>
        <v>-3</v>
      </c>
      <c r="G65" t="str">
        <f t="shared" si="17"/>
        <v>⬇ Underseeded</v>
      </c>
      <c r="H65" t="str">
        <f t="shared" si="18"/>
        <v>No</v>
      </c>
      <c r="I65" t="str">
        <f t="shared" si="19"/>
        <v>⚠️ YES</v>
      </c>
      <c r="J65" t="str">
        <f t="shared" si="20"/>
        <v>🔴 Major Mismatch</v>
      </c>
      <c r="K65" t="str">
        <f t="shared" si="21"/>
        <v>Yes</v>
      </c>
      <c r="N65" t="str">
        <f>'📋 Bracket Input'!G45</f>
        <v>North Dakota State Bison</v>
      </c>
      <c r="O65">
        <f>'📋 Bracket Input'!F45</f>
        <v>14</v>
      </c>
      <c r="P65" t="str">
        <f>'📋 Bracket Input'!A45</f>
        <v>WEST</v>
      </c>
      <c r="R65" t="str">
        <f>'SOR bracket'!G44</f>
        <v>Indiana Hoosiers</v>
      </c>
      <c r="S65">
        <f>'SOR bracket'!F44</f>
        <v>14</v>
      </c>
      <c r="T65" t="str">
        <f>'SOR bracket'!A44</f>
        <v>WEST</v>
      </c>
    </row>
    <row r="66" spans="1:20" x14ac:dyDescent="0.25">
      <c r="A66" t="str">
        <f t="shared" si="11"/>
        <v>Kentucky Wildcats</v>
      </c>
      <c r="B66">
        <f t="shared" si="12"/>
        <v>6</v>
      </c>
      <c r="C66" t="str">
        <f t="shared" si="13"/>
        <v>WEST</v>
      </c>
      <c r="D66">
        <f t="shared" si="14"/>
        <v>7</v>
      </c>
      <c r="E66" t="str">
        <f t="shared" si="15"/>
        <v>MIDWEST</v>
      </c>
      <c r="F66">
        <f t="shared" si="16"/>
        <v>-1</v>
      </c>
      <c r="G66" t="str">
        <f t="shared" si="17"/>
        <v>⬇ Underseeded</v>
      </c>
      <c r="H66" t="str">
        <f t="shared" si="18"/>
        <v>Yes</v>
      </c>
      <c r="I66" t="str">
        <f t="shared" si="19"/>
        <v>No</v>
      </c>
      <c r="J66" t="str">
        <f t="shared" si="20"/>
        <v>🟠 Minor</v>
      </c>
      <c r="K66" t="str">
        <f t="shared" si="21"/>
        <v>Yes</v>
      </c>
      <c r="N66" t="str">
        <f>'📋 Bracket Input'!D46</f>
        <v>Saint Mary's Gaels</v>
      </c>
      <c r="O66">
        <f>'📋 Bracket Input'!C46</f>
        <v>7</v>
      </c>
      <c r="P66" t="str">
        <f>'📋 Bracket Input'!A46</f>
        <v>WEST</v>
      </c>
      <c r="R66" t="str">
        <f>'SOR bracket'!D45</f>
        <v>Clemson Tigers</v>
      </c>
      <c r="S66">
        <f>'SOR bracket'!C45</f>
        <v>7</v>
      </c>
      <c r="T66" t="str">
        <f>'SOR bracket'!A45</f>
        <v>WEST</v>
      </c>
    </row>
    <row r="67" spans="1:20" x14ac:dyDescent="0.25">
      <c r="A67" t="str">
        <f t="shared" si="11"/>
        <v>Texas Tech Red Raiders</v>
      </c>
      <c r="B67">
        <f t="shared" si="12"/>
        <v>3</v>
      </c>
      <c r="C67" t="str">
        <f t="shared" si="13"/>
        <v>WEST</v>
      </c>
      <c r="D67">
        <f t="shared" si="14"/>
        <v>4</v>
      </c>
      <c r="E67" t="str">
        <f t="shared" si="15"/>
        <v>MIDWEST</v>
      </c>
      <c r="F67">
        <f t="shared" si="16"/>
        <v>-1</v>
      </c>
      <c r="G67" t="str">
        <f t="shared" si="17"/>
        <v>⬇ Underseeded</v>
      </c>
      <c r="H67" t="str">
        <f t="shared" si="18"/>
        <v>Yes</v>
      </c>
      <c r="I67" t="str">
        <f t="shared" si="19"/>
        <v>No</v>
      </c>
      <c r="J67" t="str">
        <f t="shared" si="20"/>
        <v>🟠 Minor</v>
      </c>
      <c r="K67" t="str">
        <f t="shared" si="21"/>
        <v>Yes</v>
      </c>
      <c r="N67" t="str">
        <f>'📋 Bracket Input'!G46</f>
        <v>SMU Mustangs</v>
      </c>
      <c r="O67">
        <f>'📋 Bracket Input'!F46</f>
        <v>10</v>
      </c>
      <c r="P67" t="str">
        <f>'📋 Bracket Input'!A46</f>
        <v>WEST</v>
      </c>
      <c r="R67" t="str">
        <f>'SOR bracket'!G45</f>
        <v>South Florida Bulls</v>
      </c>
      <c r="S67">
        <f>'SOR bracket'!F45</f>
        <v>10</v>
      </c>
      <c r="T67" t="str">
        <f>'SOR bracket'!A45</f>
        <v>WEST</v>
      </c>
    </row>
    <row r="68" spans="1:20" x14ac:dyDescent="0.25">
      <c r="A68" t="str">
        <f t="shared" si="11"/>
        <v>North Dakota State Bison</v>
      </c>
      <c r="B68">
        <f t="shared" si="12"/>
        <v>14</v>
      </c>
      <c r="C68" t="str">
        <f t="shared" si="13"/>
        <v>WEST</v>
      </c>
      <c r="D68" t="str">
        <f t="shared" si="14"/>
        <v/>
      </c>
      <c r="E68" t="str">
        <f t="shared" si="15"/>
        <v/>
      </c>
      <c r="F68" t="str">
        <f t="shared" si="16"/>
        <v/>
      </c>
      <c r="G68" t="str">
        <f t="shared" si="17"/>
        <v>Not in SOR</v>
      </c>
      <c r="H68" t="str">
        <f t="shared" si="18"/>
        <v/>
      </c>
      <c r="I68" t="str">
        <f t="shared" si="19"/>
        <v/>
      </c>
      <c r="J68" t="str">
        <f t="shared" si="20"/>
        <v>🔵 Actual only</v>
      </c>
      <c r="K68" t="str">
        <f t="shared" si="21"/>
        <v>No</v>
      </c>
      <c r="N68" t="str">
        <f>'📋 Bracket Input'!D47</f>
        <v>Michigan State Spartans</v>
      </c>
      <c r="O68">
        <f>'📋 Bracket Input'!C47</f>
        <v>2</v>
      </c>
      <c r="P68" t="str">
        <f>'📋 Bracket Input'!A47</f>
        <v>WEST</v>
      </c>
      <c r="R68" t="str">
        <f>'SOR bracket'!D46</f>
        <v>Purdue Boilermakers</v>
      </c>
      <c r="S68">
        <f>'SOR bracket'!C46</f>
        <v>2</v>
      </c>
      <c r="T68" t="str">
        <f>'SOR bracket'!A46</f>
        <v>WEST</v>
      </c>
    </row>
    <row r="69" spans="1:20" x14ac:dyDescent="0.25">
      <c r="A69" t="str">
        <f t="shared" ref="A69:A100" si="22">N66</f>
        <v>Saint Mary's Gaels</v>
      </c>
      <c r="B69">
        <f t="shared" ref="B69:B100" si="23">O66</f>
        <v>7</v>
      </c>
      <c r="C69" t="str">
        <f t="shared" ref="C69:C100" si="24">P66</f>
        <v>WEST</v>
      </c>
      <c r="D69">
        <f t="shared" si="14"/>
        <v>6</v>
      </c>
      <c r="E69" t="str">
        <f t="shared" si="15"/>
        <v>SOUTH</v>
      </c>
      <c r="F69">
        <f t="shared" si="16"/>
        <v>1</v>
      </c>
      <c r="G69" t="str">
        <f t="shared" ref="G69:G100" si="25">IF(F69="","Not in SOR",IF(F69&gt;0,"⬆ Overseeded",IF(F69&lt;0,"⬇ Underseeded","✅ Match")))</f>
        <v>⬆ Overseeded</v>
      </c>
      <c r="H69" t="str">
        <f t="shared" si="18"/>
        <v>Yes</v>
      </c>
      <c r="I69" t="str">
        <f t="shared" si="19"/>
        <v>No</v>
      </c>
      <c r="J69" t="str">
        <f t="shared" si="20"/>
        <v>🟠 Minor</v>
      </c>
      <c r="K69" t="str">
        <f t="shared" si="21"/>
        <v>Yes</v>
      </c>
      <c r="N69" t="str">
        <f>'📋 Bracket Input'!G47</f>
        <v>Portland State Vikings</v>
      </c>
      <c r="O69">
        <f>'📋 Bracket Input'!F47</f>
        <v>15</v>
      </c>
      <c r="P69" t="str">
        <f>'📋 Bracket Input'!A47</f>
        <v>WEST</v>
      </c>
      <c r="R69" t="str">
        <f>'SOR bracket'!G46</f>
        <v>USC Trojans</v>
      </c>
      <c r="S69">
        <f>'SOR bracket'!F46</f>
        <v>15</v>
      </c>
      <c r="T69" t="str">
        <f>'SOR bracket'!A46</f>
        <v>WEST</v>
      </c>
    </row>
    <row r="70" spans="1:20" x14ac:dyDescent="0.25">
      <c r="A70" t="str">
        <f t="shared" si="22"/>
        <v>SMU Mustangs</v>
      </c>
      <c r="B70">
        <f t="shared" si="23"/>
        <v>10</v>
      </c>
      <c r="C70" t="str">
        <f t="shared" si="24"/>
        <v>WEST</v>
      </c>
      <c r="D70">
        <f t="shared" si="14"/>
        <v>11</v>
      </c>
      <c r="E70" t="str">
        <f t="shared" si="15"/>
        <v>SOUTH</v>
      </c>
      <c r="F70">
        <f t="shared" si="16"/>
        <v>-1</v>
      </c>
      <c r="G70" t="str">
        <f t="shared" si="25"/>
        <v>⬇ Underseeded</v>
      </c>
      <c r="H70" t="str">
        <f t="shared" si="18"/>
        <v>Yes</v>
      </c>
      <c r="I70" t="str">
        <f t="shared" si="19"/>
        <v>No</v>
      </c>
      <c r="J70" t="str">
        <f t="shared" si="20"/>
        <v>🟠 Minor</v>
      </c>
      <c r="K70" t="str">
        <f t="shared" si="21"/>
        <v>Yes</v>
      </c>
    </row>
    <row r="71" spans="1:20" x14ac:dyDescent="0.25">
      <c r="A71" t="str">
        <f t="shared" si="22"/>
        <v>Michigan State Spartans</v>
      </c>
      <c r="B71">
        <f t="shared" si="23"/>
        <v>2</v>
      </c>
      <c r="C71" t="str">
        <f t="shared" si="24"/>
        <v>WEST</v>
      </c>
      <c r="D71">
        <f t="shared" si="14"/>
        <v>2</v>
      </c>
      <c r="E71" t="str">
        <f t="shared" si="15"/>
        <v>EAST</v>
      </c>
      <c r="F71">
        <f t="shared" si="16"/>
        <v>0</v>
      </c>
      <c r="G71" t="str">
        <f t="shared" si="25"/>
        <v>✅ Match</v>
      </c>
      <c r="H71" t="str">
        <f t="shared" si="18"/>
        <v>Yes</v>
      </c>
      <c r="I71" t="str">
        <f t="shared" si="19"/>
        <v>No</v>
      </c>
      <c r="J71" t="str">
        <f t="shared" si="20"/>
        <v>✅ Aligned</v>
      </c>
      <c r="K71" t="str">
        <f t="shared" si="21"/>
        <v>Yes</v>
      </c>
    </row>
    <row r="72" spans="1:20" x14ac:dyDescent="0.25">
      <c r="A72" t="str">
        <f t="shared" si="22"/>
        <v>Portland State Vikings</v>
      </c>
      <c r="B72">
        <f t="shared" si="23"/>
        <v>15</v>
      </c>
      <c r="C72" t="str">
        <f t="shared" si="24"/>
        <v>WEST</v>
      </c>
      <c r="D72" t="str">
        <f t="shared" si="14"/>
        <v/>
      </c>
      <c r="E72" t="str">
        <f t="shared" si="15"/>
        <v/>
      </c>
      <c r="F72" t="str">
        <f t="shared" si="16"/>
        <v/>
      </c>
      <c r="G72" t="str">
        <f t="shared" si="25"/>
        <v>Not in SOR</v>
      </c>
      <c r="H72" t="str">
        <f t="shared" si="18"/>
        <v/>
      </c>
      <c r="I72" t="str">
        <f t="shared" si="19"/>
        <v/>
      </c>
      <c r="J72" t="str">
        <f t="shared" si="20"/>
        <v>🔵 Actual only</v>
      </c>
      <c r="K72" t="str">
        <f t="shared" si="21"/>
        <v>No</v>
      </c>
    </row>
    <row r="75" spans="1:20" x14ac:dyDescent="0.25">
      <c r="A75" s="240" t="s">
        <v>786</v>
      </c>
      <c r="B75" s="241"/>
      <c r="C75" s="241"/>
      <c r="D75" s="241"/>
      <c r="E75" s="241"/>
      <c r="F75" s="241"/>
      <c r="G75" s="241"/>
      <c r="H75" s="241"/>
      <c r="I75" s="241"/>
      <c r="J75" s="241"/>
      <c r="K75" s="241"/>
    </row>
    <row r="76" spans="1:20" x14ac:dyDescent="0.25">
      <c r="A76" s="242" t="s">
        <v>627</v>
      </c>
      <c r="B76" s="242" t="s">
        <v>778</v>
      </c>
      <c r="C76" s="242" t="s">
        <v>779</v>
      </c>
      <c r="D76" s="242" t="s">
        <v>787</v>
      </c>
      <c r="E76" s="242" t="s">
        <v>788</v>
      </c>
    </row>
    <row r="77" spans="1:20" x14ac:dyDescent="0.25">
      <c r="A77" t="str">
        <f t="shared" ref="A77:A108" si="26">R2</f>
        <v>George Mason Patriots</v>
      </c>
      <c r="B77">
        <f t="shared" ref="B77:B108" si="27">S2</f>
        <v>16</v>
      </c>
      <c r="C77" t="str">
        <f t="shared" ref="C77:C108" si="28">T2</f>
        <v>EAST</v>
      </c>
      <c r="D77" t="str">
        <f t="shared" ref="D77:D108" si="29">IF(ISNUMBER(MATCH(A77,$N$2:$N$69,0)),"Yes","No")</f>
        <v>No</v>
      </c>
      <c r="E77" t="str">
        <f t="shared" ref="E77:E108" si="30">IF(D77="No","🟢 SOR pick only","In both brackets")</f>
        <v>🟢 SOR pick only</v>
      </c>
    </row>
    <row r="78" spans="1:20" x14ac:dyDescent="0.25">
      <c r="A78" t="str">
        <f t="shared" si="26"/>
        <v>Colorado Buffaloes</v>
      </c>
      <c r="B78">
        <f t="shared" si="27"/>
        <v>16</v>
      </c>
      <c r="C78" t="str">
        <f t="shared" si="28"/>
        <v>EAST</v>
      </c>
      <c r="D78" t="str">
        <f t="shared" si="29"/>
        <v>No</v>
      </c>
      <c r="E78" t="str">
        <f t="shared" si="30"/>
        <v>🟢 SOR pick only</v>
      </c>
    </row>
    <row r="79" spans="1:20" x14ac:dyDescent="0.25">
      <c r="A79" t="str">
        <f t="shared" si="26"/>
        <v>Michigan Wolverines</v>
      </c>
      <c r="B79">
        <f t="shared" si="27"/>
        <v>1</v>
      </c>
      <c r="C79" t="str">
        <f t="shared" si="28"/>
        <v>EAST</v>
      </c>
      <c r="D79" t="str">
        <f t="shared" si="29"/>
        <v>Yes</v>
      </c>
      <c r="E79" t="str">
        <f t="shared" si="30"/>
        <v>In both brackets</v>
      </c>
    </row>
    <row r="80" spans="1:20" x14ac:dyDescent="0.25">
      <c r="A80" t="str">
        <f t="shared" si="26"/>
        <v>Santa Clara Broncos</v>
      </c>
      <c r="B80">
        <f t="shared" si="27"/>
        <v>8</v>
      </c>
      <c r="C80" t="str">
        <f t="shared" si="28"/>
        <v>EAST</v>
      </c>
      <c r="D80" t="str">
        <f t="shared" si="29"/>
        <v>Yes</v>
      </c>
      <c r="E80" t="str">
        <f t="shared" si="30"/>
        <v>In both brackets</v>
      </c>
    </row>
    <row r="81" spans="1:5" x14ac:dyDescent="0.25">
      <c r="A81" t="str">
        <f t="shared" si="26"/>
        <v>Miami Hurricanes</v>
      </c>
      <c r="B81">
        <f t="shared" si="27"/>
        <v>9</v>
      </c>
      <c r="C81" t="str">
        <f t="shared" si="28"/>
        <v>EAST</v>
      </c>
      <c r="D81" t="str">
        <f t="shared" si="29"/>
        <v>Yes</v>
      </c>
      <c r="E81" t="str">
        <f t="shared" si="30"/>
        <v>In both brackets</v>
      </c>
    </row>
    <row r="82" spans="1:5" x14ac:dyDescent="0.25">
      <c r="A82" t="str">
        <f t="shared" si="26"/>
        <v>Kansas Jayhawks</v>
      </c>
      <c r="B82">
        <f t="shared" si="27"/>
        <v>5</v>
      </c>
      <c r="C82" t="str">
        <f t="shared" si="28"/>
        <v>EAST</v>
      </c>
      <c r="D82" t="str">
        <f t="shared" si="29"/>
        <v>Yes</v>
      </c>
      <c r="E82" t="str">
        <f t="shared" si="30"/>
        <v>In both brackets</v>
      </c>
    </row>
    <row r="83" spans="1:5" x14ac:dyDescent="0.25">
      <c r="A83" t="str">
        <f t="shared" si="26"/>
        <v>Arizona State Sun Devils</v>
      </c>
      <c r="B83">
        <f t="shared" si="27"/>
        <v>12</v>
      </c>
      <c r="C83" t="str">
        <f t="shared" si="28"/>
        <v>EAST</v>
      </c>
      <c r="D83" t="str">
        <f t="shared" si="29"/>
        <v>No</v>
      </c>
      <c r="E83" t="str">
        <f t="shared" si="30"/>
        <v>🟢 SOR pick only</v>
      </c>
    </row>
    <row r="84" spans="1:5" x14ac:dyDescent="0.25">
      <c r="A84" t="str">
        <f t="shared" si="26"/>
        <v>Gonzaga Bulldogs</v>
      </c>
      <c r="B84">
        <f t="shared" si="27"/>
        <v>4</v>
      </c>
      <c r="C84" t="str">
        <f t="shared" si="28"/>
        <v>EAST</v>
      </c>
      <c r="D84" t="str">
        <f t="shared" si="29"/>
        <v>Yes</v>
      </c>
      <c r="E84" t="str">
        <f t="shared" si="30"/>
        <v>In both brackets</v>
      </c>
    </row>
    <row r="85" spans="1:5" x14ac:dyDescent="0.25">
      <c r="A85" t="str">
        <f t="shared" si="26"/>
        <v>Seton Hall Pirates</v>
      </c>
      <c r="B85">
        <f t="shared" si="27"/>
        <v>13</v>
      </c>
      <c r="C85" t="str">
        <f t="shared" si="28"/>
        <v>EAST</v>
      </c>
      <c r="D85" t="str">
        <f t="shared" si="29"/>
        <v>No</v>
      </c>
      <c r="E85" t="str">
        <f t="shared" si="30"/>
        <v>🟢 SOR pick only</v>
      </c>
    </row>
    <row r="86" spans="1:5" x14ac:dyDescent="0.25">
      <c r="A86" t="str">
        <f t="shared" si="26"/>
        <v>Wisconsin Badgers</v>
      </c>
      <c r="B86">
        <f t="shared" si="27"/>
        <v>6</v>
      </c>
      <c r="C86" t="str">
        <f t="shared" si="28"/>
        <v>EAST</v>
      </c>
      <c r="D86" t="str">
        <f t="shared" si="29"/>
        <v>Yes</v>
      </c>
      <c r="E86" t="str">
        <f t="shared" si="30"/>
        <v>In both brackets</v>
      </c>
    </row>
    <row r="87" spans="1:5" x14ac:dyDescent="0.25">
      <c r="A87" t="str">
        <f t="shared" si="26"/>
        <v>TCU Horned Frogs</v>
      </c>
      <c r="B87">
        <f t="shared" si="27"/>
        <v>11</v>
      </c>
      <c r="C87" t="str">
        <f t="shared" si="28"/>
        <v>EAST</v>
      </c>
      <c r="D87" t="str">
        <f t="shared" si="29"/>
        <v>Yes</v>
      </c>
      <c r="E87" t="str">
        <f t="shared" si="30"/>
        <v>In both brackets</v>
      </c>
    </row>
    <row r="88" spans="1:5" x14ac:dyDescent="0.25">
      <c r="A88" t="str">
        <f t="shared" si="26"/>
        <v>Vanderbilt Commodores</v>
      </c>
      <c r="B88">
        <f t="shared" si="27"/>
        <v>3</v>
      </c>
      <c r="C88" t="str">
        <f t="shared" si="28"/>
        <v>EAST</v>
      </c>
      <c r="D88" t="str">
        <f t="shared" si="29"/>
        <v>Yes</v>
      </c>
      <c r="E88" t="str">
        <f t="shared" si="30"/>
        <v>In both brackets</v>
      </c>
    </row>
    <row r="89" spans="1:5" x14ac:dyDescent="0.25">
      <c r="A89" t="str">
        <f t="shared" si="26"/>
        <v>Stanford Cardinal</v>
      </c>
      <c r="B89">
        <f t="shared" si="27"/>
        <v>14</v>
      </c>
      <c r="C89" t="str">
        <f t="shared" si="28"/>
        <v>EAST</v>
      </c>
      <c r="D89" t="str">
        <f t="shared" si="29"/>
        <v>No</v>
      </c>
      <c r="E89" t="str">
        <f t="shared" si="30"/>
        <v>🟢 SOR pick only</v>
      </c>
    </row>
    <row r="90" spans="1:5" x14ac:dyDescent="0.25">
      <c r="A90" t="str">
        <f t="shared" si="26"/>
        <v>BYU Cougars</v>
      </c>
      <c r="B90">
        <f t="shared" si="27"/>
        <v>7</v>
      </c>
      <c r="C90" t="str">
        <f t="shared" si="28"/>
        <v>EAST</v>
      </c>
      <c r="D90" t="str">
        <f t="shared" si="29"/>
        <v>Yes</v>
      </c>
      <c r="E90" t="str">
        <f t="shared" si="30"/>
        <v>In both brackets</v>
      </c>
    </row>
    <row r="91" spans="1:5" x14ac:dyDescent="0.25">
      <c r="A91" t="str">
        <f t="shared" si="26"/>
        <v>Missouri Tigers</v>
      </c>
      <c r="B91">
        <f t="shared" si="27"/>
        <v>10</v>
      </c>
      <c r="C91" t="str">
        <f t="shared" si="28"/>
        <v>EAST</v>
      </c>
      <c r="D91" t="str">
        <f t="shared" si="29"/>
        <v>Yes</v>
      </c>
      <c r="E91" t="str">
        <f t="shared" si="30"/>
        <v>In both brackets</v>
      </c>
    </row>
    <row r="92" spans="1:5" x14ac:dyDescent="0.25">
      <c r="A92" t="str">
        <f t="shared" si="26"/>
        <v>Michigan State Spartans</v>
      </c>
      <c r="B92">
        <f t="shared" si="27"/>
        <v>2</v>
      </c>
      <c r="C92" t="str">
        <f t="shared" si="28"/>
        <v>EAST</v>
      </c>
      <c r="D92" t="str">
        <f t="shared" si="29"/>
        <v>Yes</v>
      </c>
      <c r="E92" t="str">
        <f t="shared" si="30"/>
        <v>In both brackets</v>
      </c>
    </row>
    <row r="93" spans="1:5" x14ac:dyDescent="0.25">
      <c r="A93" t="str">
        <f t="shared" si="26"/>
        <v>Boise State Broncos</v>
      </c>
      <c r="B93">
        <f t="shared" si="27"/>
        <v>15</v>
      </c>
      <c r="C93" t="str">
        <f t="shared" si="28"/>
        <v>EAST</v>
      </c>
      <c r="D93" t="str">
        <f t="shared" si="29"/>
        <v>No</v>
      </c>
      <c r="E93" t="str">
        <f t="shared" si="30"/>
        <v>🟢 SOR pick only</v>
      </c>
    </row>
    <row r="94" spans="1:5" x14ac:dyDescent="0.25">
      <c r="A94" t="str">
        <f t="shared" si="26"/>
        <v>SMU Mustangs</v>
      </c>
      <c r="B94">
        <f t="shared" si="27"/>
        <v>11</v>
      </c>
      <c r="C94" t="str">
        <f t="shared" si="28"/>
        <v>SOUTH</v>
      </c>
      <c r="D94" t="str">
        <f t="shared" si="29"/>
        <v>Yes</v>
      </c>
      <c r="E94" t="str">
        <f t="shared" si="30"/>
        <v>In both brackets</v>
      </c>
    </row>
    <row r="95" spans="1:5" x14ac:dyDescent="0.25">
      <c r="A95" t="str">
        <f t="shared" si="26"/>
        <v>McNeese Cowboys</v>
      </c>
      <c r="B95">
        <f t="shared" si="27"/>
        <v>11</v>
      </c>
      <c r="C95" t="str">
        <f t="shared" si="28"/>
        <v>SOUTH</v>
      </c>
      <c r="D95" t="str">
        <f t="shared" si="29"/>
        <v>No</v>
      </c>
      <c r="E95" t="str">
        <f t="shared" si="30"/>
        <v>🟢 SOR pick only</v>
      </c>
    </row>
    <row r="96" spans="1:5" x14ac:dyDescent="0.25">
      <c r="A96" t="str">
        <f t="shared" si="26"/>
        <v>Duke Blue Devils</v>
      </c>
      <c r="B96">
        <f t="shared" si="27"/>
        <v>1</v>
      </c>
      <c r="C96" t="str">
        <f t="shared" si="28"/>
        <v>SOUTH</v>
      </c>
      <c r="D96" t="str">
        <f t="shared" si="29"/>
        <v>Yes</v>
      </c>
      <c r="E96" t="str">
        <f t="shared" si="30"/>
        <v>In both brackets</v>
      </c>
    </row>
    <row r="97" spans="1:5" x14ac:dyDescent="0.25">
      <c r="A97" t="str">
        <f t="shared" si="26"/>
        <v>Cincinnati Bearcats</v>
      </c>
      <c r="B97">
        <f t="shared" si="27"/>
        <v>16</v>
      </c>
      <c r="C97" t="str">
        <f t="shared" si="28"/>
        <v>SOUTH</v>
      </c>
      <c r="D97" t="str">
        <f t="shared" si="29"/>
        <v>No</v>
      </c>
      <c r="E97" t="str">
        <f t="shared" si="30"/>
        <v>🟢 SOR pick only</v>
      </c>
    </row>
    <row r="98" spans="1:5" x14ac:dyDescent="0.25">
      <c r="A98" t="str">
        <f t="shared" si="26"/>
        <v>NC State Wolfpack</v>
      </c>
      <c r="B98">
        <f t="shared" si="27"/>
        <v>8</v>
      </c>
      <c r="C98" t="str">
        <f t="shared" si="28"/>
        <v>SOUTH</v>
      </c>
      <c r="D98" t="str">
        <f t="shared" si="29"/>
        <v>Yes</v>
      </c>
      <c r="E98" t="str">
        <f t="shared" si="30"/>
        <v>In both brackets</v>
      </c>
    </row>
    <row r="99" spans="1:5" x14ac:dyDescent="0.25">
      <c r="A99" t="str">
        <f t="shared" si="26"/>
        <v>Saint Louis Billikens</v>
      </c>
      <c r="B99">
        <f t="shared" si="27"/>
        <v>9</v>
      </c>
      <c r="C99" t="str">
        <f t="shared" si="28"/>
        <v>SOUTH</v>
      </c>
      <c r="D99" t="str">
        <f t="shared" si="29"/>
        <v>Yes</v>
      </c>
      <c r="E99" t="str">
        <f t="shared" si="30"/>
        <v>In both brackets</v>
      </c>
    </row>
    <row r="100" spans="1:5" x14ac:dyDescent="0.25">
      <c r="A100" t="str">
        <f t="shared" si="26"/>
        <v>Virginia Cavaliers</v>
      </c>
      <c r="B100">
        <f t="shared" si="27"/>
        <v>5</v>
      </c>
      <c r="C100" t="str">
        <f t="shared" si="28"/>
        <v>SOUTH</v>
      </c>
      <c r="D100" t="str">
        <f t="shared" si="29"/>
        <v>Yes</v>
      </c>
      <c r="E100" t="str">
        <f t="shared" si="30"/>
        <v>In both brackets</v>
      </c>
    </row>
    <row r="101" spans="1:5" x14ac:dyDescent="0.25">
      <c r="A101" t="str">
        <f t="shared" si="26"/>
        <v>Auburn Tigers</v>
      </c>
      <c r="B101">
        <f t="shared" si="27"/>
        <v>12</v>
      </c>
      <c r="C101" t="str">
        <f t="shared" si="28"/>
        <v>SOUTH</v>
      </c>
      <c r="D101" t="str">
        <f t="shared" si="29"/>
        <v>No</v>
      </c>
      <c r="E101" t="str">
        <f t="shared" si="30"/>
        <v>🟢 SOR pick only</v>
      </c>
    </row>
    <row r="102" spans="1:5" x14ac:dyDescent="0.25">
      <c r="A102" t="str">
        <f t="shared" si="26"/>
        <v>Arkansas Razorbacks</v>
      </c>
      <c r="B102">
        <f t="shared" si="27"/>
        <v>4</v>
      </c>
      <c r="C102" t="str">
        <f t="shared" si="28"/>
        <v>SOUTH</v>
      </c>
      <c r="D102" t="str">
        <f t="shared" si="29"/>
        <v>Yes</v>
      </c>
      <c r="E102" t="str">
        <f t="shared" si="30"/>
        <v>In both brackets</v>
      </c>
    </row>
    <row r="103" spans="1:5" x14ac:dyDescent="0.25">
      <c r="A103" t="str">
        <f t="shared" si="26"/>
        <v>Virginia Tech Hokies</v>
      </c>
      <c r="B103">
        <f t="shared" si="27"/>
        <v>13</v>
      </c>
      <c r="C103" t="str">
        <f t="shared" si="28"/>
        <v>SOUTH</v>
      </c>
      <c r="D103" t="str">
        <f t="shared" si="29"/>
        <v>No</v>
      </c>
      <c r="E103" t="str">
        <f t="shared" si="30"/>
        <v>🟢 SOR pick only</v>
      </c>
    </row>
    <row r="104" spans="1:5" x14ac:dyDescent="0.25">
      <c r="A104" t="str">
        <f t="shared" si="26"/>
        <v>Saint Mary's Gaels</v>
      </c>
      <c r="B104">
        <f t="shared" si="27"/>
        <v>6</v>
      </c>
      <c r="C104" t="str">
        <f t="shared" si="28"/>
        <v>SOUTH</v>
      </c>
      <c r="D104" t="str">
        <f t="shared" si="29"/>
        <v>Yes</v>
      </c>
      <c r="E104" t="str">
        <f t="shared" si="30"/>
        <v>In both brackets</v>
      </c>
    </row>
    <row r="105" spans="1:5" x14ac:dyDescent="0.25">
      <c r="A105" t="str">
        <f t="shared" si="26"/>
        <v>St. John's Red Storm</v>
      </c>
      <c r="B105">
        <f t="shared" si="27"/>
        <v>3</v>
      </c>
      <c r="C105" t="str">
        <f t="shared" si="28"/>
        <v>SOUTH</v>
      </c>
      <c r="D105" t="str">
        <f t="shared" si="29"/>
        <v>Yes</v>
      </c>
      <c r="E105" t="str">
        <f t="shared" si="30"/>
        <v>In both brackets</v>
      </c>
    </row>
    <row r="106" spans="1:5" x14ac:dyDescent="0.25">
      <c r="A106" t="str">
        <f t="shared" si="26"/>
        <v>Oklahoma State Cowboys</v>
      </c>
      <c r="B106">
        <f t="shared" si="27"/>
        <v>14</v>
      </c>
      <c r="C106" t="str">
        <f t="shared" si="28"/>
        <v>SOUTH</v>
      </c>
      <c r="D106" t="str">
        <f t="shared" si="29"/>
        <v>No</v>
      </c>
      <c r="E106" t="str">
        <f t="shared" si="30"/>
        <v>🟢 SOR pick only</v>
      </c>
    </row>
    <row r="107" spans="1:5" x14ac:dyDescent="0.25">
      <c r="A107" t="str">
        <f t="shared" si="26"/>
        <v>Louisville Cardinals</v>
      </c>
      <c r="B107">
        <f t="shared" si="27"/>
        <v>7</v>
      </c>
      <c r="C107" t="str">
        <f t="shared" si="28"/>
        <v>SOUTH</v>
      </c>
      <c r="D107" t="str">
        <f t="shared" si="29"/>
        <v>Yes</v>
      </c>
      <c r="E107" t="str">
        <f t="shared" si="30"/>
        <v>In both brackets</v>
      </c>
    </row>
    <row r="108" spans="1:5" x14ac:dyDescent="0.25">
      <c r="A108" t="str">
        <f t="shared" si="26"/>
        <v>UCLA Bruins</v>
      </c>
      <c r="B108">
        <f t="shared" si="27"/>
        <v>10</v>
      </c>
      <c r="C108" t="str">
        <f t="shared" si="28"/>
        <v>SOUTH</v>
      </c>
      <c r="D108" t="str">
        <f t="shared" si="29"/>
        <v>Yes</v>
      </c>
      <c r="E108" t="str">
        <f t="shared" si="30"/>
        <v>In both brackets</v>
      </c>
    </row>
    <row r="109" spans="1:5" x14ac:dyDescent="0.25">
      <c r="A109" t="str">
        <f t="shared" ref="A109:A140" si="31">R34</f>
        <v>Florida Gators</v>
      </c>
      <c r="B109">
        <f t="shared" ref="B109:B140" si="32">S34</f>
        <v>2</v>
      </c>
      <c r="C109" t="str">
        <f t="shared" ref="C109:C140" si="33">T34</f>
        <v>SOUTH</v>
      </c>
      <c r="D109" t="str">
        <f t="shared" ref="D109:D144" si="34">IF(ISNUMBER(MATCH(A109,$N$2:$N$69,0)),"Yes","No")</f>
        <v>Yes</v>
      </c>
      <c r="E109" t="str">
        <f t="shared" ref="E109:E140" si="35">IF(D109="No","🟢 SOR pick only","In both brackets")</f>
        <v>In both brackets</v>
      </c>
    </row>
    <row r="110" spans="1:5" x14ac:dyDescent="0.25">
      <c r="A110" t="str">
        <f t="shared" si="31"/>
        <v>Tulsa Golden Hurricane</v>
      </c>
      <c r="B110">
        <f t="shared" si="32"/>
        <v>15</v>
      </c>
      <c r="C110" t="str">
        <f t="shared" si="33"/>
        <v>SOUTH</v>
      </c>
      <c r="D110" t="str">
        <f t="shared" si="34"/>
        <v>No</v>
      </c>
      <c r="E110" t="str">
        <f t="shared" si="35"/>
        <v>🟢 SOR pick only</v>
      </c>
    </row>
    <row r="111" spans="1:5" x14ac:dyDescent="0.25">
      <c r="A111" t="str">
        <f t="shared" si="31"/>
        <v>Yale Bulldogs</v>
      </c>
      <c r="B111">
        <f t="shared" si="32"/>
        <v>16</v>
      </c>
      <c r="C111" t="str">
        <f t="shared" si="33"/>
        <v>MIDWEST</v>
      </c>
      <c r="D111" t="str">
        <f t="shared" si="34"/>
        <v>Yes</v>
      </c>
      <c r="E111" t="str">
        <f t="shared" si="35"/>
        <v>In both brackets</v>
      </c>
    </row>
    <row r="112" spans="1:5" x14ac:dyDescent="0.25">
      <c r="A112" t="str">
        <f t="shared" si="31"/>
        <v>Oklahoma Sooners</v>
      </c>
      <c r="B112">
        <f t="shared" si="32"/>
        <v>16</v>
      </c>
      <c r="C112" t="str">
        <f t="shared" si="33"/>
        <v>MIDWEST</v>
      </c>
      <c r="D112" t="str">
        <f t="shared" si="34"/>
        <v>No</v>
      </c>
      <c r="E112" t="str">
        <f t="shared" si="35"/>
        <v>🟢 SOR pick only</v>
      </c>
    </row>
    <row r="113" spans="1:5" x14ac:dyDescent="0.25">
      <c r="A113" t="str">
        <f t="shared" si="31"/>
        <v>Arizona Wildcats</v>
      </c>
      <c r="B113">
        <f t="shared" si="32"/>
        <v>1</v>
      </c>
      <c r="C113" t="str">
        <f t="shared" si="33"/>
        <v>MIDWEST</v>
      </c>
      <c r="D113" t="str">
        <f t="shared" si="34"/>
        <v>Yes</v>
      </c>
      <c r="E113" t="str">
        <f t="shared" si="35"/>
        <v>In both brackets</v>
      </c>
    </row>
    <row r="114" spans="1:5" x14ac:dyDescent="0.25">
      <c r="A114" t="str">
        <f t="shared" si="31"/>
        <v>UCF Knights</v>
      </c>
      <c r="B114">
        <f t="shared" si="32"/>
        <v>8</v>
      </c>
      <c r="C114" t="str">
        <f t="shared" si="33"/>
        <v>MIDWEST</v>
      </c>
      <c r="D114" t="str">
        <f t="shared" si="34"/>
        <v>Yes</v>
      </c>
      <c r="E114" t="str">
        <f t="shared" si="35"/>
        <v>In both brackets</v>
      </c>
    </row>
    <row r="115" spans="1:5" x14ac:dyDescent="0.25">
      <c r="A115" t="str">
        <f t="shared" si="31"/>
        <v>Ohio State Buckeyes</v>
      </c>
      <c r="B115">
        <f t="shared" si="32"/>
        <v>9</v>
      </c>
      <c r="C115" t="str">
        <f t="shared" si="33"/>
        <v>MIDWEST</v>
      </c>
      <c r="D115" t="str">
        <f t="shared" si="34"/>
        <v>Yes</v>
      </c>
      <c r="E115" t="str">
        <f t="shared" si="35"/>
        <v>In both brackets</v>
      </c>
    </row>
    <row r="116" spans="1:5" x14ac:dyDescent="0.25">
      <c r="A116" t="str">
        <f t="shared" si="31"/>
        <v>Iowa State Cyclones</v>
      </c>
      <c r="B116">
        <f t="shared" si="32"/>
        <v>5</v>
      </c>
      <c r="C116" t="str">
        <f t="shared" si="33"/>
        <v>MIDWEST</v>
      </c>
      <c r="D116" t="str">
        <f t="shared" si="34"/>
        <v>Yes</v>
      </c>
      <c r="E116" t="str">
        <f t="shared" si="35"/>
        <v>In both brackets</v>
      </c>
    </row>
    <row r="117" spans="1:5" x14ac:dyDescent="0.25">
      <c r="A117" t="str">
        <f t="shared" si="31"/>
        <v>Dayton Flyers</v>
      </c>
      <c r="B117">
        <f t="shared" si="32"/>
        <v>12</v>
      </c>
      <c r="C117" t="str">
        <f t="shared" si="33"/>
        <v>MIDWEST</v>
      </c>
      <c r="D117" t="str">
        <f t="shared" si="34"/>
        <v>No</v>
      </c>
      <c r="E117" t="str">
        <f t="shared" si="35"/>
        <v>🟢 SOR pick only</v>
      </c>
    </row>
    <row r="118" spans="1:5" x14ac:dyDescent="0.25">
      <c r="A118" t="str">
        <f t="shared" si="31"/>
        <v>Texas Tech Red Raiders</v>
      </c>
      <c r="B118">
        <f t="shared" si="32"/>
        <v>4</v>
      </c>
      <c r="C118" t="str">
        <f t="shared" si="33"/>
        <v>MIDWEST</v>
      </c>
      <c r="D118" t="str">
        <f t="shared" si="34"/>
        <v>Yes</v>
      </c>
      <c r="E118" t="str">
        <f t="shared" si="35"/>
        <v>In both brackets</v>
      </c>
    </row>
    <row r="119" spans="1:5" x14ac:dyDescent="0.25">
      <c r="A119" t="str">
        <f t="shared" si="31"/>
        <v>California Golden Bears</v>
      </c>
      <c r="B119">
        <f t="shared" si="32"/>
        <v>13</v>
      </c>
      <c r="C119" t="str">
        <f t="shared" si="33"/>
        <v>MIDWEST</v>
      </c>
      <c r="D119" t="str">
        <f t="shared" si="34"/>
        <v>No</v>
      </c>
      <c r="E119" t="str">
        <f t="shared" si="35"/>
        <v>🟢 SOR pick only</v>
      </c>
    </row>
    <row r="120" spans="1:5" x14ac:dyDescent="0.25">
      <c r="A120" t="str">
        <f t="shared" si="31"/>
        <v>Villanova Wildcats</v>
      </c>
      <c r="B120">
        <f t="shared" si="32"/>
        <v>6</v>
      </c>
      <c r="C120" t="str">
        <f t="shared" si="33"/>
        <v>MIDWEST</v>
      </c>
      <c r="D120" t="str">
        <f t="shared" si="34"/>
        <v>Yes</v>
      </c>
      <c r="E120" t="str">
        <f t="shared" si="35"/>
        <v>In both brackets</v>
      </c>
    </row>
    <row r="121" spans="1:5" x14ac:dyDescent="0.25">
      <c r="A121" t="str">
        <f t="shared" si="31"/>
        <v>Texas A&amp;M Aggies</v>
      </c>
      <c r="B121">
        <f t="shared" si="32"/>
        <v>11</v>
      </c>
      <c r="C121" t="str">
        <f t="shared" si="33"/>
        <v>MIDWEST</v>
      </c>
      <c r="D121" t="str">
        <f t="shared" si="34"/>
        <v>Yes</v>
      </c>
      <c r="E121" t="str">
        <f t="shared" si="35"/>
        <v>In both brackets</v>
      </c>
    </row>
    <row r="122" spans="1:5" x14ac:dyDescent="0.25">
      <c r="A122" t="str">
        <f t="shared" si="31"/>
        <v>Alabama Crimson Tide</v>
      </c>
      <c r="B122">
        <f t="shared" si="32"/>
        <v>3</v>
      </c>
      <c r="C122" t="str">
        <f t="shared" si="33"/>
        <v>MIDWEST</v>
      </c>
      <c r="D122" t="str">
        <f t="shared" si="34"/>
        <v>Yes</v>
      </c>
      <c r="E122" t="str">
        <f t="shared" si="35"/>
        <v>In both brackets</v>
      </c>
    </row>
    <row r="123" spans="1:5" x14ac:dyDescent="0.25">
      <c r="A123" t="str">
        <f t="shared" si="31"/>
        <v>Texas Longhorns</v>
      </c>
      <c r="B123">
        <f t="shared" si="32"/>
        <v>14</v>
      </c>
      <c r="C123" t="str">
        <f t="shared" si="33"/>
        <v>MIDWEST</v>
      </c>
      <c r="D123" t="str">
        <f t="shared" si="34"/>
        <v>Yes</v>
      </c>
      <c r="E123" t="str">
        <f t="shared" si="35"/>
        <v>In both brackets</v>
      </c>
    </row>
    <row r="124" spans="1:5" x14ac:dyDescent="0.25">
      <c r="A124" t="str">
        <f t="shared" si="31"/>
        <v>Kentucky Wildcats</v>
      </c>
      <c r="B124">
        <f t="shared" si="32"/>
        <v>7</v>
      </c>
      <c r="C124" t="str">
        <f t="shared" si="33"/>
        <v>MIDWEST</v>
      </c>
      <c r="D124" t="str">
        <f t="shared" si="34"/>
        <v>Yes</v>
      </c>
      <c r="E124" t="str">
        <f t="shared" si="35"/>
        <v>In both brackets</v>
      </c>
    </row>
    <row r="125" spans="1:5" x14ac:dyDescent="0.25">
      <c r="A125" t="str">
        <f t="shared" si="31"/>
        <v>VCU Rams</v>
      </c>
      <c r="B125">
        <f t="shared" si="32"/>
        <v>10</v>
      </c>
      <c r="C125" t="str">
        <f t="shared" si="33"/>
        <v>MIDWEST</v>
      </c>
      <c r="D125" t="str">
        <f t="shared" si="34"/>
        <v>No</v>
      </c>
      <c r="E125" t="str">
        <f t="shared" si="35"/>
        <v>🟢 SOR pick only</v>
      </c>
    </row>
    <row r="126" spans="1:5" x14ac:dyDescent="0.25">
      <c r="A126" t="str">
        <f t="shared" si="31"/>
        <v>Houston Cougars</v>
      </c>
      <c r="B126">
        <f t="shared" si="32"/>
        <v>2</v>
      </c>
      <c r="C126" t="str">
        <f t="shared" si="33"/>
        <v>MIDWEST</v>
      </c>
      <c r="D126" t="str">
        <f t="shared" si="34"/>
        <v>Yes</v>
      </c>
      <c r="E126" t="str">
        <f t="shared" si="35"/>
        <v>In both brackets</v>
      </c>
    </row>
    <row r="127" spans="1:5" x14ac:dyDescent="0.25">
      <c r="A127" t="str">
        <f t="shared" si="31"/>
        <v>Belmont Bruins</v>
      </c>
      <c r="B127">
        <f t="shared" si="32"/>
        <v>15</v>
      </c>
      <c r="C127" t="str">
        <f t="shared" si="33"/>
        <v>MIDWEST</v>
      </c>
      <c r="D127" t="str">
        <f t="shared" si="34"/>
        <v>Yes</v>
      </c>
      <c r="E127" t="str">
        <f t="shared" si="35"/>
        <v>In both brackets</v>
      </c>
    </row>
    <row r="128" spans="1:5" x14ac:dyDescent="0.25">
      <c r="A128" t="str">
        <f t="shared" si="31"/>
        <v>UConn Huskies</v>
      </c>
      <c r="B128">
        <f t="shared" si="32"/>
        <v>1</v>
      </c>
      <c r="C128" t="str">
        <f t="shared" si="33"/>
        <v>WEST</v>
      </c>
      <c r="D128" t="str">
        <f t="shared" si="34"/>
        <v>Yes</v>
      </c>
      <c r="E128" t="str">
        <f t="shared" si="35"/>
        <v>In both brackets</v>
      </c>
    </row>
    <row r="129" spans="1:5" x14ac:dyDescent="0.25">
      <c r="A129" t="str">
        <f t="shared" si="31"/>
        <v>Nevada Wolf Pack</v>
      </c>
      <c r="B129">
        <f t="shared" si="32"/>
        <v>16</v>
      </c>
      <c r="C129" t="str">
        <f t="shared" si="33"/>
        <v>WEST</v>
      </c>
      <c r="D129" t="str">
        <f t="shared" si="34"/>
        <v>No</v>
      </c>
      <c r="E129" t="str">
        <f t="shared" si="35"/>
        <v>🟢 SOR pick only</v>
      </c>
    </row>
    <row r="130" spans="1:5" x14ac:dyDescent="0.25">
      <c r="A130" t="str">
        <f t="shared" si="31"/>
        <v>Utah State Aggies</v>
      </c>
      <c r="B130">
        <f t="shared" si="32"/>
        <v>8</v>
      </c>
      <c r="C130" t="str">
        <f t="shared" si="33"/>
        <v>WEST</v>
      </c>
      <c r="D130" t="str">
        <f t="shared" si="34"/>
        <v>Yes</v>
      </c>
      <c r="E130" t="str">
        <f t="shared" si="35"/>
        <v>In both brackets</v>
      </c>
    </row>
    <row r="131" spans="1:5" x14ac:dyDescent="0.25">
      <c r="A131" t="str">
        <f t="shared" si="31"/>
        <v>Georgia Bulldogs</v>
      </c>
      <c r="B131">
        <f t="shared" si="32"/>
        <v>9</v>
      </c>
      <c r="C131" t="str">
        <f t="shared" si="33"/>
        <v>WEST</v>
      </c>
      <c r="D131" t="str">
        <f t="shared" si="34"/>
        <v>Yes</v>
      </c>
      <c r="E131" t="str">
        <f t="shared" si="35"/>
        <v>In both brackets</v>
      </c>
    </row>
    <row r="132" spans="1:5" x14ac:dyDescent="0.25">
      <c r="A132" t="str">
        <f t="shared" si="31"/>
        <v>Nebraska Cornhuskers</v>
      </c>
      <c r="B132">
        <f t="shared" si="32"/>
        <v>5</v>
      </c>
      <c r="C132" t="str">
        <f t="shared" si="33"/>
        <v>WEST</v>
      </c>
      <c r="D132" t="str">
        <f t="shared" si="34"/>
        <v>Yes</v>
      </c>
      <c r="E132" t="str">
        <f t="shared" si="35"/>
        <v>In both brackets</v>
      </c>
    </row>
    <row r="133" spans="1:5" x14ac:dyDescent="0.25">
      <c r="A133" t="str">
        <f t="shared" si="31"/>
        <v>New Mexico Lobos</v>
      </c>
      <c r="B133">
        <f t="shared" si="32"/>
        <v>12</v>
      </c>
      <c r="C133" t="str">
        <f t="shared" si="33"/>
        <v>WEST</v>
      </c>
      <c r="D133" t="str">
        <f t="shared" si="34"/>
        <v>Yes</v>
      </c>
      <c r="E133" t="str">
        <f t="shared" si="35"/>
        <v>In both brackets</v>
      </c>
    </row>
    <row r="134" spans="1:5" x14ac:dyDescent="0.25">
      <c r="A134" t="str">
        <f t="shared" si="31"/>
        <v>North Carolina Tar Heels</v>
      </c>
      <c r="B134">
        <f t="shared" si="32"/>
        <v>4</v>
      </c>
      <c r="C134" t="str">
        <f t="shared" si="33"/>
        <v>WEST</v>
      </c>
      <c r="D134" t="str">
        <f t="shared" si="34"/>
        <v>Yes</v>
      </c>
      <c r="E134" t="str">
        <f t="shared" si="35"/>
        <v>In both brackets</v>
      </c>
    </row>
    <row r="135" spans="1:5" x14ac:dyDescent="0.25">
      <c r="A135" t="str">
        <f t="shared" si="31"/>
        <v>San Diego State Aztecs</v>
      </c>
      <c r="B135">
        <f t="shared" si="32"/>
        <v>13</v>
      </c>
      <c r="C135" t="str">
        <f t="shared" si="33"/>
        <v>WEST</v>
      </c>
      <c r="D135" t="str">
        <f t="shared" si="34"/>
        <v>No</v>
      </c>
      <c r="E135" t="str">
        <f t="shared" si="35"/>
        <v>🟢 SOR pick only</v>
      </c>
    </row>
    <row r="136" spans="1:5" x14ac:dyDescent="0.25">
      <c r="A136" t="str">
        <f t="shared" si="31"/>
        <v>Iowa Hawkeyes</v>
      </c>
      <c r="B136">
        <f t="shared" si="32"/>
        <v>11</v>
      </c>
      <c r="C136" t="str">
        <f t="shared" si="33"/>
        <v>WEST</v>
      </c>
      <c r="D136" t="str">
        <f t="shared" si="34"/>
        <v>Yes</v>
      </c>
      <c r="E136" t="str">
        <f t="shared" si="35"/>
        <v>In both brackets</v>
      </c>
    </row>
    <row r="137" spans="1:5" x14ac:dyDescent="0.25">
      <c r="A137" t="str">
        <f t="shared" si="31"/>
        <v>Colorado State Rams</v>
      </c>
      <c r="B137">
        <f t="shared" si="32"/>
        <v>11</v>
      </c>
      <c r="C137" t="str">
        <f t="shared" si="33"/>
        <v>WEST</v>
      </c>
      <c r="D137" t="str">
        <f t="shared" si="34"/>
        <v>No</v>
      </c>
      <c r="E137" t="str">
        <f t="shared" si="35"/>
        <v>🟢 SOR pick only</v>
      </c>
    </row>
    <row r="138" spans="1:5" x14ac:dyDescent="0.25">
      <c r="A138" t="str">
        <f t="shared" si="31"/>
        <v>Tennessee Volunteers</v>
      </c>
      <c r="B138">
        <f t="shared" si="32"/>
        <v>6</v>
      </c>
      <c r="C138" t="str">
        <f t="shared" si="33"/>
        <v>WEST</v>
      </c>
      <c r="D138" t="str">
        <f t="shared" si="34"/>
        <v>Yes</v>
      </c>
      <c r="E138" t="str">
        <f t="shared" si="35"/>
        <v>In both brackets</v>
      </c>
    </row>
    <row r="139" spans="1:5" x14ac:dyDescent="0.25">
      <c r="A139" t="str">
        <f t="shared" si="31"/>
        <v>Illinois Fighting Illini</v>
      </c>
      <c r="B139">
        <f t="shared" si="32"/>
        <v>3</v>
      </c>
      <c r="C139" t="str">
        <f t="shared" si="33"/>
        <v>WEST</v>
      </c>
      <c r="D139" t="str">
        <f t="shared" si="34"/>
        <v>Yes</v>
      </c>
      <c r="E139" t="str">
        <f t="shared" si="35"/>
        <v>In both brackets</v>
      </c>
    </row>
    <row r="140" spans="1:5" x14ac:dyDescent="0.25">
      <c r="A140" t="str">
        <f t="shared" si="31"/>
        <v>Indiana Hoosiers</v>
      </c>
      <c r="B140">
        <f t="shared" si="32"/>
        <v>14</v>
      </c>
      <c r="C140" t="str">
        <f t="shared" si="33"/>
        <v>WEST</v>
      </c>
      <c r="D140" t="str">
        <f t="shared" si="34"/>
        <v>Yes</v>
      </c>
      <c r="E140" t="str">
        <f t="shared" si="35"/>
        <v>In both brackets</v>
      </c>
    </row>
    <row r="141" spans="1:5" x14ac:dyDescent="0.25">
      <c r="A141" t="str">
        <f t="shared" ref="A141:A172" si="36">R66</f>
        <v>Clemson Tigers</v>
      </c>
      <c r="B141">
        <f t="shared" ref="B141:B172" si="37">S66</f>
        <v>7</v>
      </c>
      <c r="C141" t="str">
        <f t="shared" ref="C141:C172" si="38">T66</f>
        <v>WEST</v>
      </c>
      <c r="D141" t="str">
        <f t="shared" si="34"/>
        <v>Yes</v>
      </c>
      <c r="E141" t="str">
        <f t="shared" ref="E141:E172" si="39">IF(D141="No","🟢 SOR pick only","In both brackets")</f>
        <v>In both brackets</v>
      </c>
    </row>
    <row r="142" spans="1:5" x14ac:dyDescent="0.25">
      <c r="A142" t="str">
        <f t="shared" si="36"/>
        <v>South Florida Bulls</v>
      </c>
      <c r="B142">
        <f t="shared" si="37"/>
        <v>10</v>
      </c>
      <c r="C142" t="str">
        <f t="shared" si="38"/>
        <v>WEST</v>
      </c>
      <c r="D142" t="str">
        <f t="shared" si="34"/>
        <v>Yes</v>
      </c>
      <c r="E142" t="str">
        <f t="shared" si="39"/>
        <v>In both brackets</v>
      </c>
    </row>
    <row r="143" spans="1:5" x14ac:dyDescent="0.25">
      <c r="A143" t="str">
        <f t="shared" si="36"/>
        <v>Purdue Boilermakers</v>
      </c>
      <c r="B143">
        <f t="shared" si="37"/>
        <v>2</v>
      </c>
      <c r="C143" t="str">
        <f t="shared" si="38"/>
        <v>WEST</v>
      </c>
      <c r="D143" t="str">
        <f t="shared" si="34"/>
        <v>Yes</v>
      </c>
      <c r="E143" t="str">
        <f t="shared" si="39"/>
        <v>In both brackets</v>
      </c>
    </row>
    <row r="144" spans="1:5" x14ac:dyDescent="0.25">
      <c r="A144" t="str">
        <f t="shared" si="36"/>
        <v>USC Trojans</v>
      </c>
      <c r="B144">
        <f t="shared" si="37"/>
        <v>15</v>
      </c>
      <c r="C144" t="str">
        <f t="shared" si="38"/>
        <v>WEST</v>
      </c>
      <c r="D144" t="str">
        <f t="shared" si="34"/>
        <v>No</v>
      </c>
      <c r="E144" t="str">
        <f t="shared" si="39"/>
        <v>🟢 SOR pick only</v>
      </c>
    </row>
    <row r="146" spans="1:7" ht="15.75" customHeight="1" x14ac:dyDescent="0.25">
      <c r="A146" s="243" t="s">
        <v>789</v>
      </c>
      <c r="B146" s="236"/>
      <c r="C146" s="236"/>
      <c r="D146" s="236"/>
      <c r="E146" s="236"/>
      <c r="F146" s="236"/>
      <c r="G146" s="236"/>
    </row>
    <row r="148" spans="1:7" x14ac:dyDescent="0.25">
      <c r="A148" s="238" t="s">
        <v>596</v>
      </c>
      <c r="B148" s="239" t="s">
        <v>790</v>
      </c>
      <c r="E148" s="238" t="s">
        <v>791</v>
      </c>
      <c r="F148" s="239" t="s">
        <v>792</v>
      </c>
    </row>
    <row r="149" spans="1:7" x14ac:dyDescent="0.25">
      <c r="A149" t="s">
        <v>793</v>
      </c>
      <c r="B149" s="244">
        <f>COUNTIF(K5:K72,"Yes")</f>
        <v>48</v>
      </c>
      <c r="E149" t="s">
        <v>794</v>
      </c>
      <c r="F149" s="245">
        <f>COUNTIF(J5:J72,"*Major*")</f>
        <v>6</v>
      </c>
    </row>
    <row r="150" spans="1:7" x14ac:dyDescent="0.25">
      <c r="A150" t="s">
        <v>795</v>
      </c>
      <c r="B150" s="244">
        <f>COUNTIF(K5:K72,"No")</f>
        <v>20</v>
      </c>
      <c r="E150" t="s">
        <v>796</v>
      </c>
      <c r="F150" s="246">
        <f>COUNTIF(J5:J72,"*Notable*")</f>
        <v>6</v>
      </c>
    </row>
    <row r="151" spans="1:7" x14ac:dyDescent="0.25">
      <c r="A151" t="s">
        <v>797</v>
      </c>
      <c r="B151" s="244">
        <f>COUNTIF(D77:D144,"No")</f>
        <v>20</v>
      </c>
      <c r="E151" t="s">
        <v>798</v>
      </c>
      <c r="F151" s="247">
        <f>COUNTIF(J5:J72,"*Minor*")</f>
        <v>24</v>
      </c>
    </row>
    <row r="152" spans="1:7" x14ac:dyDescent="0.25">
      <c r="A152" t="s">
        <v>799</v>
      </c>
      <c r="B152" s="244" t="str">
        <f>TEXT(B149/68,"0.0%")</f>
        <v>70.6%</v>
      </c>
      <c r="E152" t="s">
        <v>800</v>
      </c>
      <c r="F152" s="248">
        <f>COUNTIF(J5:J72,"*Aligned*")</f>
        <v>12</v>
      </c>
    </row>
    <row r="153" spans="1:7" x14ac:dyDescent="0.25">
      <c r="E153" t="s">
        <v>801</v>
      </c>
      <c r="F153" s="251">
        <f>COUNTIF(J5:J72,"*Actual*")</f>
        <v>20</v>
      </c>
    </row>
    <row r="154" spans="1:7" x14ac:dyDescent="0.25">
      <c r="A154" t="s">
        <v>802</v>
      </c>
      <c r="B154" s="245">
        <f>COUNTIF(I5:I72,"*YES*")</f>
        <v>12</v>
      </c>
    </row>
    <row r="155" spans="1:7" x14ac:dyDescent="0.25">
      <c r="A155" t="s">
        <v>803</v>
      </c>
      <c r="B155" s="244">
        <f>COUNTIF(G5:G72,"*Overseeded*")</f>
        <v>14</v>
      </c>
    </row>
    <row r="156" spans="1:7" x14ac:dyDescent="0.25">
      <c r="A156" t="s">
        <v>804</v>
      </c>
      <c r="B156" s="244">
        <f>COUNTIF(G5:G72,"*Underseeded*")</f>
        <v>22</v>
      </c>
    </row>
    <row r="157" spans="1:7" x14ac:dyDescent="0.25">
      <c r="A157" t="s">
        <v>805</v>
      </c>
      <c r="B157" s="244">
        <f>COUNTIFS(F5:F72,0,H5:H72,"Yes")</f>
        <v>8</v>
      </c>
    </row>
    <row r="159" spans="1:7" x14ac:dyDescent="0.25">
      <c r="A159" s="252" t="s">
        <v>806</v>
      </c>
      <c r="B159" s="249">
        <f t="array" ref="B159">IFERROR(SUMPRODUCT(ABS(IF(ISNUMBER(F5:F72),F5:F72,0)))/COUNTIF(K5:K72,"Yes"),"")</f>
        <v>1.1666666666666667</v>
      </c>
    </row>
    <row r="162" spans="1:1" x14ac:dyDescent="0.25">
      <c r="A162" s="237" t="s">
        <v>807</v>
      </c>
    </row>
  </sheetData>
  <autoFilter ref="A4:K72" xr:uid="{00000000-0009-0000-0000-00000D000000}">
    <sortState xmlns:xlrd2="http://schemas.microsoft.com/office/spreadsheetml/2017/richdata2" ref="A5:K72">
      <sortCondition sortBy="cellColor" ref="F4:F72" dxfId="5"/>
    </sortState>
  </autoFilter>
  <conditionalFormatting sqref="F5:F72">
    <cfRule type="cellIs" dxfId="4" priority="1" operator="greaterThanOrEqual">
      <formula>3</formula>
    </cfRule>
    <cfRule type="cellIs" dxfId="3" priority="2" operator="lessThanOrEqual">
      <formula>-3</formula>
    </cfRule>
    <cfRule type="cellIs" dxfId="2" priority="3" operator="equal">
      <formula>2</formula>
    </cfRule>
    <cfRule type="cellIs" dxfId="1" priority="4" operator="equal">
      <formula>-2</formula>
    </cfRule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📋 Bracket Input</vt:lpstr>
      <vt:lpstr>⚙️ Sim Engine</vt:lpstr>
      <vt:lpstr>Enhanced Matchup Model</vt:lpstr>
      <vt:lpstr>📊 Team Lookup</vt:lpstr>
      <vt:lpstr>🏆 Results Dashboard</vt:lpstr>
      <vt:lpstr>Quick Start Guide</vt:lpstr>
      <vt:lpstr>Model Documentation</vt:lpstr>
      <vt:lpstr>Team Stats</vt:lpstr>
      <vt:lpstr>Opponents stats vs</vt:lpstr>
      <vt:lpstr>SOS</vt:lpstr>
      <vt:lpstr>SOR bracket</vt:lpstr>
      <vt:lpstr>Four Factors</vt:lpstr>
      <vt:lpstr>Backtest Results</vt:lpstr>
      <vt:lpstr>🔍 Seed Comparison</vt:lpstr>
      <vt:lpstr>TeamList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jacob guyerson</cp:lastModifiedBy>
  <cp:revision>0</cp:revision>
  <dcterms:created xsi:type="dcterms:W3CDTF">2025-12-14T04:39:49Z</dcterms:created>
  <dcterms:modified xsi:type="dcterms:W3CDTF">2026-03-06T20:18:49Z</dcterms:modified>
  <dc:language>en-US</dc:language>
</cp:coreProperties>
</file>